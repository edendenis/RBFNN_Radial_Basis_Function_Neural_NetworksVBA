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EP\RBF\Banco de Dados\André Lobo\"/>
    </mc:Choice>
  </mc:AlternateContent>
  <bookViews>
    <workbookView xWindow="0" yWindow="0" windowWidth="20490" windowHeight="7530"/>
  </bookViews>
  <sheets>
    <sheet name="Plan1" sheetId="1" r:id="rId1"/>
    <sheet name="Plan3" sheetId="3" r:id="rId2"/>
  </sheets>
  <definedNames>
    <definedName name="_xlnm._FilterDatabase" localSheetId="0" hidden="1">Plan1!$A$1:$O$33</definedName>
  </definedNames>
  <calcPr calcId="171027"/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2" i="1"/>
  <c r="J4" i="1" l="1"/>
  <c r="J6" i="1"/>
  <c r="J7" i="1"/>
  <c r="J2" i="1"/>
  <c r="J8" i="1"/>
  <c r="J12" i="1"/>
  <c r="J16" i="1"/>
  <c r="J17" i="1"/>
  <c r="J19" i="1"/>
  <c r="J10" i="1"/>
  <c r="J18" i="1"/>
  <c r="J20" i="1"/>
  <c r="J23" i="1"/>
  <c r="J22" i="1"/>
  <c r="J24" i="1"/>
  <c r="J27" i="1"/>
  <c r="J28" i="1"/>
  <c r="J29" i="1"/>
  <c r="J32" i="1"/>
  <c r="J33" i="1" l="1"/>
  <c r="J25" i="1"/>
  <c r="J21" i="1"/>
  <c r="J14" i="1"/>
  <c r="J31" i="1"/>
  <c r="J30" i="1"/>
  <c r="J26" i="1"/>
  <c r="J15" i="1"/>
  <c r="J13" i="1"/>
  <c r="J11" i="1"/>
  <c r="J9" i="1"/>
  <c r="J5" i="1"/>
  <c r="J3" i="1"/>
  <c r="N33" i="1" l="1"/>
  <c r="N24" i="1"/>
  <c r="N14" i="1"/>
  <c r="N2" i="1"/>
  <c r="N17" i="1"/>
  <c r="N28" i="1"/>
  <c r="N4" i="1"/>
  <c r="N8" i="1"/>
  <c r="N23" i="1"/>
  <c r="N27" i="1"/>
  <c r="N32" i="1"/>
  <c r="N12" i="1"/>
  <c r="N16" i="1"/>
  <c r="N10" i="1"/>
  <c r="N20" i="1"/>
  <c r="N21" i="1"/>
  <c r="N22" i="1"/>
  <c r="N25" i="1"/>
  <c r="N29" i="1"/>
  <c r="N19" i="1"/>
  <c r="N6" i="1"/>
  <c r="N7" i="1"/>
  <c r="N18" i="1"/>
  <c r="N3" i="1" l="1"/>
  <c r="N31" i="1"/>
  <c r="N26" i="1"/>
  <c r="N30" i="1"/>
  <c r="N5" i="1"/>
  <c r="N15" i="1"/>
  <c r="N13" i="1"/>
  <c r="N11" i="1"/>
  <c r="N9" i="1"/>
</calcChain>
</file>

<file path=xl/sharedStrings.xml><?xml version="1.0" encoding="utf-8"?>
<sst xmlns="http://schemas.openxmlformats.org/spreadsheetml/2006/main" count="14" uniqueCount="14">
  <si>
    <t>Licoes</t>
  </si>
  <si>
    <t xml:space="preserve">Total domicílios part. permanentes 2010                                                                       </t>
  </si>
  <si>
    <t xml:space="preserve">Alugado        2010                                                        </t>
  </si>
  <si>
    <t xml:space="preserve">Cedido total   2010                                                        </t>
  </si>
  <si>
    <t xml:space="preserve">Outra condição de ocupação       2010                                                                  </t>
  </si>
  <si>
    <t xml:space="preserve">próprio terreno não próprio(cedido+outra condição) estimado 2010                                                                  </t>
  </si>
  <si>
    <t>famílias conviventes 2010 * 70%</t>
  </si>
  <si>
    <t>DEMANDA VIRTUAL</t>
  </si>
  <si>
    <t xml:space="preserve">OFERTA CDHU PÓS CENSO 2010 </t>
  </si>
  <si>
    <t>DEMANDA VIRTUAL REMANESCENTE</t>
  </si>
  <si>
    <t>DEMANDA POTENCIAL com taxa padrão</t>
  </si>
  <si>
    <t>DEMANDA POTENCIAL</t>
  </si>
  <si>
    <t>Nº MÁXIMO DE UNIDADES</t>
  </si>
  <si>
    <t>POPULAÇÃO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</si>
</sst>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(* #,##0_);_(* \(#,##0\);_(* &quot;-&quot;??_);_(@_)"/>
    <numFmt numFmtId="166" formatCode="0.0"/>
  </numFmts>
  <fonts count="9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sz val="9"/>
      <color indexed="8"/>
      <name val="Arial"/>
      <family val="2"/>
    </font>
    <font>
      <sz val="11"/>
      <color theme="1"/>
      <name val="Calibri"/>
      <family val="2"/>
      <scheme val="minor"/>
    </font>
    <font>
      <sz val="9"/>
      <name val="Univers"/>
      <family val="2"/>
    </font>
    <font>
      <sz val="9"/>
      <name val="Univers"/>
    </font>
    <font>
      <b/>
      <sz val="9"/>
      <color rgb="FFFF0000"/>
      <name val="Arial"/>
      <family val="2"/>
    </font>
    <font>
      <sz val="9"/>
      <name val="Arial"/>
      <family val="2"/>
    </font>
    <font>
      <b/>
      <sz val="9"/>
      <name val="Univers"/>
      <family val="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3">
    <xf numFmtId="0" fontId="0" fillId="0" borderId="0" xfId="0"/>
    <xf numFmtId="0" fontId="4" fillId="3" borderId="1" xfId="0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>
      <alignment horizontal="center" vertical="center" wrapText="1"/>
    </xf>
    <xf numFmtId="0" fontId="6" fillId="5" borderId="1" xfId="0" applyNumberFormat="1" applyFont="1" applyFill="1" applyBorder="1" applyAlignment="1">
      <alignment wrapText="1"/>
    </xf>
    <xf numFmtId="0" fontId="7" fillId="6" borderId="0" xfId="0" applyNumberFormat="1" applyFont="1" applyFill="1" applyAlignment="1">
      <alignment horizontal="center" vertical="center" wrapText="1"/>
    </xf>
    <xf numFmtId="0" fontId="7" fillId="4" borderId="1" xfId="0" applyNumberFormat="1" applyFont="1" applyFill="1" applyBorder="1" applyAlignment="1">
      <alignment horizontal="center" vertical="center" wrapText="1"/>
    </xf>
    <xf numFmtId="0" fontId="7" fillId="6" borderId="1" xfId="0" applyNumberFormat="1" applyFont="1" applyFill="1" applyBorder="1" applyAlignment="1">
      <alignment horizontal="center" vertical="center" wrapText="1"/>
    </xf>
    <xf numFmtId="0" fontId="7" fillId="2" borderId="1" xfId="0" applyNumberFormat="1" applyFont="1" applyFill="1" applyBorder="1" applyAlignment="1">
      <alignment horizontal="center" vertical="center" wrapText="1"/>
    </xf>
    <xf numFmtId="0" fontId="7" fillId="3" borderId="1" xfId="1" applyNumberFormat="1" applyFont="1" applyFill="1" applyBorder="1" applyAlignment="1">
      <alignment horizontal="center" vertical="center" wrapText="1"/>
    </xf>
    <xf numFmtId="0" fontId="4" fillId="7" borderId="1" xfId="0" applyNumberFormat="1" applyFont="1" applyFill="1" applyBorder="1" applyAlignment="1"/>
    <xf numFmtId="1" fontId="4" fillId="7" borderId="1" xfId="0" applyNumberFormat="1" applyFont="1" applyFill="1" applyBorder="1" applyAlignment="1"/>
    <xf numFmtId="165" fontId="5" fillId="7" borderId="1" xfId="1" applyNumberFormat="1" applyFont="1" applyFill="1" applyBorder="1" applyAlignment="1"/>
    <xf numFmtId="165" fontId="2" fillId="7" borderId="2" xfId="1" applyNumberFormat="1" applyFont="1" applyFill="1" applyBorder="1"/>
    <xf numFmtId="0" fontId="8" fillId="7" borderId="1" xfId="0" applyNumberFormat="1" applyFont="1" applyFill="1" applyBorder="1" applyAlignment="1"/>
    <xf numFmtId="165" fontId="8" fillId="0" borderId="1" xfId="1" applyNumberFormat="1" applyFont="1" applyBorder="1" applyAlignment="1"/>
    <xf numFmtId="0" fontId="7" fillId="0" borderId="3" xfId="0" applyNumberFormat="1" applyFont="1" applyBorder="1"/>
    <xf numFmtId="166" fontId="8" fillId="0" borderId="0" xfId="0" applyNumberFormat="1" applyFont="1" applyBorder="1" applyAlignment="1"/>
    <xf numFmtId="3" fontId="2" fillId="0" borderId="0" xfId="0" applyNumberFormat="1" applyFont="1" applyBorder="1" applyAlignment="1">
      <alignment horizontal="center" vertical="center" wrapText="1"/>
    </xf>
    <xf numFmtId="0" fontId="0" fillId="0" borderId="1" xfId="0" applyBorder="1"/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/>
    <xf numFmtId="3" fontId="2" fillId="0" borderId="0" xfId="0" applyNumberFormat="1" applyFont="1" applyFill="1" applyBorder="1" applyAlignment="1">
      <alignment horizontal="center" vertical="center" wrapText="1"/>
    </xf>
    <xf numFmtId="3" fontId="2" fillId="0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tabSelected="1" zoomScaleNormal="100" workbookViewId="0"/>
  </sheetViews>
  <sheetFormatPr defaultRowHeight="15"/>
  <cols>
    <col min="2" max="14" width="15.7109375" customWidth="1"/>
    <col min="15" max="15" width="11.140625" customWidth="1"/>
    <col min="16" max="16" width="15.7109375" customWidth="1"/>
  </cols>
  <sheetData>
    <row r="1" spans="1:19" ht="62.25" customHeight="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8" t="s">
        <v>13</v>
      </c>
      <c r="L1" s="6" t="s">
        <v>10</v>
      </c>
      <c r="M1" s="7" t="s">
        <v>11</v>
      </c>
      <c r="N1" s="7" t="s">
        <v>12</v>
      </c>
      <c r="O1" s="19"/>
      <c r="P1" s="19"/>
      <c r="Q1" s="20"/>
    </row>
    <row r="2" spans="1:19" ht="24.95" customHeight="1">
      <c r="A2" s="18">
        <v>1</v>
      </c>
      <c r="B2" s="9">
        <v>9881</v>
      </c>
      <c r="C2" s="9">
        <v>2455</v>
      </c>
      <c r="D2" s="9">
        <v>1328</v>
      </c>
      <c r="E2" s="9">
        <v>142</v>
      </c>
      <c r="F2" s="10">
        <v>364</v>
      </c>
      <c r="G2" s="11">
        <v>540</v>
      </c>
      <c r="H2" s="12">
        <f>G2+C2+D2+E2+F2</f>
        <v>4829</v>
      </c>
      <c r="I2" s="13">
        <v>0</v>
      </c>
      <c r="J2" s="14">
        <f t="shared" ref="J2:J4" si="0">H2-I2</f>
        <v>4829</v>
      </c>
      <c r="K2" s="15">
        <v>32148</v>
      </c>
      <c r="L2" s="22">
        <v>1932</v>
      </c>
      <c r="M2" s="14">
        <f t="shared" ref="M2:M33" si="1">MAX(L2:L2)</f>
        <v>1932</v>
      </c>
      <c r="N2" s="14">
        <f t="shared" ref="N2:N33" si="2">IF(M2&lt;800,(M2/2.5),(M2/2))</f>
        <v>966</v>
      </c>
      <c r="O2" s="21"/>
      <c r="P2" s="21"/>
      <c r="Q2" s="21"/>
      <c r="R2" s="16"/>
      <c r="S2" s="17"/>
    </row>
    <row r="3" spans="1:19" ht="24.95" customHeight="1">
      <c r="A3" s="18">
        <v>2</v>
      </c>
      <c r="B3" s="9">
        <v>4875</v>
      </c>
      <c r="C3" s="9">
        <v>866</v>
      </c>
      <c r="D3" s="9">
        <v>765</v>
      </c>
      <c r="E3" s="9">
        <v>10</v>
      </c>
      <c r="F3" s="10">
        <v>40</v>
      </c>
      <c r="G3" s="11">
        <v>217</v>
      </c>
      <c r="H3" s="12">
        <f t="shared" ref="H3:H33" si="3">G3+C3+D3+E3+F3</f>
        <v>1898</v>
      </c>
      <c r="I3" s="13">
        <v>191</v>
      </c>
      <c r="J3" s="14">
        <f t="shared" si="0"/>
        <v>1707</v>
      </c>
      <c r="K3" s="15">
        <v>15607</v>
      </c>
      <c r="L3" s="22">
        <v>683</v>
      </c>
      <c r="M3" s="14">
        <f t="shared" si="1"/>
        <v>683</v>
      </c>
      <c r="N3" s="14">
        <f t="shared" si="2"/>
        <v>273.2</v>
      </c>
      <c r="O3" s="21"/>
      <c r="P3" s="21"/>
      <c r="Q3" s="21"/>
      <c r="R3" s="16"/>
      <c r="S3" s="17"/>
    </row>
    <row r="4" spans="1:19" ht="24.95" customHeight="1">
      <c r="A4" s="18">
        <v>3</v>
      </c>
      <c r="B4" s="9">
        <v>7046</v>
      </c>
      <c r="C4" s="9">
        <v>1251</v>
      </c>
      <c r="D4" s="9">
        <v>929</v>
      </c>
      <c r="E4" s="9">
        <v>15</v>
      </c>
      <c r="F4" s="10">
        <v>336</v>
      </c>
      <c r="G4" s="11">
        <v>271</v>
      </c>
      <c r="H4" s="12">
        <f t="shared" si="3"/>
        <v>2802</v>
      </c>
      <c r="I4" s="13">
        <v>212</v>
      </c>
      <c r="J4" s="14">
        <f t="shared" si="0"/>
        <v>2590</v>
      </c>
      <c r="K4" s="15">
        <v>22210</v>
      </c>
      <c r="L4" s="22">
        <v>1036</v>
      </c>
      <c r="M4" s="14">
        <f t="shared" si="1"/>
        <v>1036</v>
      </c>
      <c r="N4" s="14">
        <f t="shared" si="2"/>
        <v>518</v>
      </c>
      <c r="O4" s="21"/>
      <c r="P4" s="21"/>
      <c r="Q4" s="21"/>
      <c r="R4" s="16"/>
      <c r="S4" s="17"/>
    </row>
    <row r="5" spans="1:19" ht="24.95" customHeight="1">
      <c r="A5" s="18">
        <v>4</v>
      </c>
      <c r="B5" s="9">
        <v>17740</v>
      </c>
      <c r="C5" s="9">
        <v>3425</v>
      </c>
      <c r="D5" s="9">
        <v>1731</v>
      </c>
      <c r="E5" s="9">
        <v>55</v>
      </c>
      <c r="F5" s="10">
        <v>336</v>
      </c>
      <c r="G5" s="11">
        <v>864</v>
      </c>
      <c r="H5" s="12">
        <f t="shared" si="3"/>
        <v>6411</v>
      </c>
      <c r="I5" s="13">
        <v>1</v>
      </c>
      <c r="J5" s="14">
        <f t="shared" ref="J5:J10" si="4">H5-I5</f>
        <v>6410</v>
      </c>
      <c r="K5" s="15">
        <v>56476</v>
      </c>
      <c r="L5" s="22">
        <v>1923</v>
      </c>
      <c r="M5" s="14">
        <f t="shared" si="1"/>
        <v>1923</v>
      </c>
      <c r="N5" s="14">
        <f t="shared" si="2"/>
        <v>961.5</v>
      </c>
      <c r="O5" s="21"/>
      <c r="P5" s="21"/>
      <c r="Q5" s="21"/>
      <c r="R5" s="16"/>
      <c r="S5" s="17"/>
    </row>
    <row r="6" spans="1:19" ht="24.95" customHeight="1">
      <c r="A6" s="18">
        <v>5</v>
      </c>
      <c r="B6" s="9">
        <v>4149</v>
      </c>
      <c r="C6" s="9">
        <v>937</v>
      </c>
      <c r="D6" s="9">
        <v>549</v>
      </c>
      <c r="E6" s="9">
        <v>24</v>
      </c>
      <c r="F6" s="10">
        <v>134</v>
      </c>
      <c r="G6" s="11">
        <v>200</v>
      </c>
      <c r="H6" s="12">
        <f t="shared" si="3"/>
        <v>1844</v>
      </c>
      <c r="I6" s="13">
        <v>0</v>
      </c>
      <c r="J6" s="14">
        <f t="shared" si="4"/>
        <v>1844</v>
      </c>
      <c r="K6" s="15">
        <v>13645</v>
      </c>
      <c r="L6" s="22">
        <v>738</v>
      </c>
      <c r="M6" s="14">
        <f t="shared" si="1"/>
        <v>738</v>
      </c>
      <c r="N6" s="14">
        <f t="shared" si="2"/>
        <v>295.2</v>
      </c>
      <c r="O6" s="21"/>
      <c r="P6" s="21"/>
      <c r="Q6" s="21"/>
      <c r="R6" s="16"/>
      <c r="S6" s="17"/>
    </row>
    <row r="7" spans="1:19" ht="24.95" customHeight="1">
      <c r="A7" s="18">
        <v>6</v>
      </c>
      <c r="B7" s="9">
        <v>4774</v>
      </c>
      <c r="C7" s="9">
        <v>1147</v>
      </c>
      <c r="D7" s="9">
        <v>608</v>
      </c>
      <c r="E7" s="9">
        <v>13</v>
      </c>
      <c r="F7" s="10">
        <v>49</v>
      </c>
      <c r="G7" s="11">
        <v>154</v>
      </c>
      <c r="H7" s="12">
        <f t="shared" si="3"/>
        <v>1971</v>
      </c>
      <c r="I7" s="13">
        <v>0</v>
      </c>
      <c r="J7" s="14">
        <f t="shared" si="4"/>
        <v>1971</v>
      </c>
      <c r="K7" s="15">
        <v>14529</v>
      </c>
      <c r="L7" s="22">
        <v>788</v>
      </c>
      <c r="M7" s="14">
        <f t="shared" si="1"/>
        <v>788</v>
      </c>
      <c r="N7" s="14">
        <f t="shared" si="2"/>
        <v>315.2</v>
      </c>
      <c r="O7" s="21"/>
      <c r="P7" s="21"/>
      <c r="Q7" s="21"/>
      <c r="R7" s="16"/>
      <c r="S7" s="17"/>
    </row>
    <row r="8" spans="1:19" ht="24.95" customHeight="1">
      <c r="A8" s="18">
        <v>7</v>
      </c>
      <c r="B8" s="9">
        <v>5350</v>
      </c>
      <c r="C8" s="9">
        <v>981</v>
      </c>
      <c r="D8" s="9">
        <v>678</v>
      </c>
      <c r="E8" s="9">
        <v>13</v>
      </c>
      <c r="F8" s="10">
        <v>78</v>
      </c>
      <c r="G8" s="11">
        <v>263</v>
      </c>
      <c r="H8" s="12">
        <f t="shared" si="3"/>
        <v>2013</v>
      </c>
      <c r="I8" s="13">
        <v>66</v>
      </c>
      <c r="J8" s="14">
        <f t="shared" si="4"/>
        <v>1947</v>
      </c>
      <c r="K8" s="15">
        <v>16607</v>
      </c>
      <c r="L8" s="22">
        <v>779</v>
      </c>
      <c r="M8" s="14">
        <f t="shared" si="1"/>
        <v>779</v>
      </c>
      <c r="N8" s="14">
        <f t="shared" si="2"/>
        <v>311.60000000000002</v>
      </c>
      <c r="O8" s="21"/>
      <c r="P8" s="21"/>
      <c r="Q8" s="21"/>
      <c r="R8" s="16"/>
      <c r="S8" s="17"/>
    </row>
    <row r="9" spans="1:19" ht="24.95" customHeight="1">
      <c r="A9" s="18">
        <v>8</v>
      </c>
      <c r="B9" s="9">
        <v>7209</v>
      </c>
      <c r="C9" s="9">
        <v>1412</v>
      </c>
      <c r="D9" s="9">
        <v>795</v>
      </c>
      <c r="E9" s="9">
        <v>7</v>
      </c>
      <c r="F9" s="10">
        <v>160</v>
      </c>
      <c r="G9" s="11">
        <v>346</v>
      </c>
      <c r="H9" s="12">
        <f t="shared" si="3"/>
        <v>2720</v>
      </c>
      <c r="I9" s="13">
        <v>124</v>
      </c>
      <c r="J9" s="14">
        <f t="shared" si="4"/>
        <v>2596</v>
      </c>
      <c r="K9" s="15">
        <v>23371</v>
      </c>
      <c r="L9" s="22">
        <v>1038</v>
      </c>
      <c r="M9" s="14">
        <f t="shared" si="1"/>
        <v>1038</v>
      </c>
      <c r="N9" s="14">
        <f t="shared" si="2"/>
        <v>519</v>
      </c>
      <c r="O9" s="21"/>
      <c r="P9" s="21"/>
      <c r="Q9" s="21"/>
      <c r="R9" s="16"/>
      <c r="S9" s="17"/>
    </row>
    <row r="10" spans="1:19" ht="24.95" customHeight="1">
      <c r="A10" s="18">
        <v>9</v>
      </c>
      <c r="B10" s="9">
        <v>13600</v>
      </c>
      <c r="C10" s="9">
        <v>2226</v>
      </c>
      <c r="D10" s="9">
        <v>1725</v>
      </c>
      <c r="E10" s="9">
        <v>58</v>
      </c>
      <c r="F10" s="10">
        <v>373</v>
      </c>
      <c r="G10" s="11">
        <v>659</v>
      </c>
      <c r="H10" s="12">
        <f t="shared" si="3"/>
        <v>5041</v>
      </c>
      <c r="I10" s="13">
        <v>109</v>
      </c>
      <c r="J10" s="14">
        <f t="shared" si="4"/>
        <v>4932</v>
      </c>
      <c r="K10" s="15">
        <v>46178</v>
      </c>
      <c r="L10" s="22">
        <v>1973</v>
      </c>
      <c r="M10" s="14">
        <f t="shared" si="1"/>
        <v>1973</v>
      </c>
      <c r="N10" s="14">
        <f t="shared" si="2"/>
        <v>986.5</v>
      </c>
      <c r="O10" s="21"/>
      <c r="P10" s="21"/>
      <c r="Q10" s="21"/>
      <c r="R10" s="16"/>
      <c r="S10" s="17"/>
    </row>
    <row r="11" spans="1:19" ht="24.95" customHeight="1">
      <c r="A11" s="18">
        <v>10</v>
      </c>
      <c r="B11" s="9">
        <v>2159</v>
      </c>
      <c r="C11" s="9">
        <v>605</v>
      </c>
      <c r="D11" s="9">
        <v>150</v>
      </c>
      <c r="E11" s="9">
        <v>4</v>
      </c>
      <c r="F11" s="10">
        <v>146</v>
      </c>
      <c r="G11" s="11">
        <v>111</v>
      </c>
      <c r="H11" s="12">
        <f t="shared" si="3"/>
        <v>1016</v>
      </c>
      <c r="I11" s="13">
        <v>0</v>
      </c>
      <c r="J11" s="14">
        <f t="shared" ref="J11:J14" si="5">H11-I11</f>
        <v>1016</v>
      </c>
      <c r="K11" s="15">
        <v>7065</v>
      </c>
      <c r="L11" s="22">
        <v>559</v>
      </c>
      <c r="M11" s="14">
        <f t="shared" si="1"/>
        <v>559</v>
      </c>
      <c r="N11" s="14">
        <f t="shared" si="2"/>
        <v>223.6</v>
      </c>
      <c r="O11" s="21"/>
      <c r="P11" s="21"/>
      <c r="Q11" s="21"/>
      <c r="R11" s="16"/>
      <c r="S11" s="17"/>
    </row>
    <row r="12" spans="1:19" ht="24.95" customHeight="1">
      <c r="A12" s="18">
        <v>11</v>
      </c>
      <c r="B12" s="9">
        <v>5313</v>
      </c>
      <c r="C12" s="9">
        <v>895</v>
      </c>
      <c r="D12" s="9">
        <v>633</v>
      </c>
      <c r="E12" s="9">
        <v>36</v>
      </c>
      <c r="F12" s="10">
        <v>26</v>
      </c>
      <c r="G12" s="11">
        <v>267</v>
      </c>
      <c r="H12" s="12">
        <f t="shared" si="3"/>
        <v>1857</v>
      </c>
      <c r="I12" s="13">
        <v>139</v>
      </c>
      <c r="J12" s="14">
        <f t="shared" si="5"/>
        <v>1718</v>
      </c>
      <c r="K12" s="15">
        <v>17371</v>
      </c>
      <c r="L12" s="22">
        <v>687</v>
      </c>
      <c r="M12" s="14">
        <f t="shared" si="1"/>
        <v>687</v>
      </c>
      <c r="N12" s="14">
        <f t="shared" si="2"/>
        <v>274.8</v>
      </c>
      <c r="O12" s="21"/>
      <c r="P12" s="21"/>
      <c r="Q12" s="21"/>
      <c r="R12" s="16"/>
      <c r="S12" s="17"/>
    </row>
    <row r="13" spans="1:19" ht="24.95" customHeight="1">
      <c r="A13" s="18">
        <v>12</v>
      </c>
      <c r="B13" s="9">
        <v>9216</v>
      </c>
      <c r="C13" s="9">
        <v>1821</v>
      </c>
      <c r="D13" s="9">
        <v>725</v>
      </c>
      <c r="E13" s="9">
        <v>23</v>
      </c>
      <c r="F13" s="10">
        <v>26</v>
      </c>
      <c r="G13" s="11">
        <v>457</v>
      </c>
      <c r="H13" s="12">
        <f t="shared" si="3"/>
        <v>3052</v>
      </c>
      <c r="I13" s="13">
        <v>0</v>
      </c>
      <c r="J13" s="14">
        <f t="shared" si="5"/>
        <v>3052</v>
      </c>
      <c r="K13" s="15">
        <v>31691</v>
      </c>
      <c r="L13" s="22">
        <v>1221</v>
      </c>
      <c r="M13" s="14">
        <f t="shared" si="1"/>
        <v>1221</v>
      </c>
      <c r="N13" s="14">
        <f t="shared" si="2"/>
        <v>610.5</v>
      </c>
      <c r="O13" s="21"/>
      <c r="P13" s="21"/>
      <c r="Q13" s="21"/>
      <c r="R13" s="16"/>
      <c r="S13" s="17"/>
    </row>
    <row r="14" spans="1:19" ht="24.95" customHeight="1">
      <c r="A14" s="18">
        <v>13</v>
      </c>
      <c r="B14" s="9">
        <v>2426</v>
      </c>
      <c r="C14" s="9">
        <v>850</v>
      </c>
      <c r="D14" s="9">
        <v>275</v>
      </c>
      <c r="E14" s="9">
        <v>2</v>
      </c>
      <c r="F14" s="10">
        <v>150</v>
      </c>
      <c r="G14" s="11">
        <v>113</v>
      </c>
      <c r="H14" s="12">
        <f t="shared" si="3"/>
        <v>1390</v>
      </c>
      <c r="I14" s="13">
        <v>0</v>
      </c>
      <c r="J14" s="14">
        <f t="shared" si="5"/>
        <v>1390</v>
      </c>
      <c r="K14" s="15">
        <v>7939</v>
      </c>
      <c r="L14" s="22">
        <v>765</v>
      </c>
      <c r="M14" s="14">
        <f t="shared" si="1"/>
        <v>765</v>
      </c>
      <c r="N14" s="14">
        <f t="shared" si="2"/>
        <v>306</v>
      </c>
      <c r="O14" s="21"/>
      <c r="P14" s="21"/>
      <c r="Q14" s="21"/>
      <c r="R14" s="16"/>
      <c r="S14" s="17"/>
    </row>
    <row r="15" spans="1:19" ht="24.95" customHeight="1">
      <c r="A15" s="18">
        <v>14</v>
      </c>
      <c r="B15" s="9">
        <v>6048</v>
      </c>
      <c r="C15" s="9">
        <v>1345</v>
      </c>
      <c r="D15" s="9">
        <v>674</v>
      </c>
      <c r="E15" s="9">
        <v>16</v>
      </c>
      <c r="F15" s="10">
        <v>21</v>
      </c>
      <c r="G15" s="11">
        <v>328</v>
      </c>
      <c r="H15" s="12">
        <f t="shared" si="3"/>
        <v>2384</v>
      </c>
      <c r="I15" s="13">
        <v>0</v>
      </c>
      <c r="J15" s="14">
        <f t="shared" ref="J15:J18" si="6">H15-I15</f>
        <v>2384</v>
      </c>
      <c r="K15" s="15">
        <v>19858</v>
      </c>
      <c r="L15" s="22">
        <v>954</v>
      </c>
      <c r="M15" s="14">
        <f t="shared" si="1"/>
        <v>954</v>
      </c>
      <c r="N15" s="14">
        <f t="shared" si="2"/>
        <v>477</v>
      </c>
      <c r="O15" s="21"/>
      <c r="P15" s="21"/>
      <c r="Q15" s="21"/>
      <c r="R15" s="16"/>
      <c r="S15" s="17"/>
    </row>
    <row r="16" spans="1:19" ht="24.95" customHeight="1">
      <c r="A16" s="18">
        <v>15</v>
      </c>
      <c r="B16" s="9">
        <v>3644</v>
      </c>
      <c r="C16" s="9">
        <v>903</v>
      </c>
      <c r="D16" s="9">
        <v>453</v>
      </c>
      <c r="E16" s="9">
        <v>5</v>
      </c>
      <c r="F16" s="10">
        <v>78</v>
      </c>
      <c r="G16" s="11">
        <v>151</v>
      </c>
      <c r="H16" s="12">
        <f t="shared" si="3"/>
        <v>1590</v>
      </c>
      <c r="I16" s="13">
        <v>16</v>
      </c>
      <c r="J16" s="14">
        <f t="shared" si="6"/>
        <v>1574</v>
      </c>
      <c r="K16" s="15">
        <v>10896</v>
      </c>
      <c r="L16" s="22">
        <v>630</v>
      </c>
      <c r="M16" s="14">
        <f t="shared" si="1"/>
        <v>630</v>
      </c>
      <c r="N16" s="14">
        <f t="shared" si="2"/>
        <v>252</v>
      </c>
      <c r="O16" s="21"/>
      <c r="P16" s="21"/>
      <c r="Q16" s="21"/>
      <c r="R16" s="16"/>
      <c r="S16" s="17"/>
    </row>
    <row r="17" spans="1:19" ht="24.95" customHeight="1">
      <c r="A17" s="18">
        <v>16</v>
      </c>
      <c r="B17" s="9">
        <v>2248</v>
      </c>
      <c r="C17" s="9">
        <v>521</v>
      </c>
      <c r="D17" s="9">
        <v>294</v>
      </c>
      <c r="E17" s="9">
        <v>2</v>
      </c>
      <c r="F17" s="10">
        <v>24</v>
      </c>
      <c r="G17" s="11">
        <v>131</v>
      </c>
      <c r="H17" s="12">
        <f t="shared" si="3"/>
        <v>972</v>
      </c>
      <c r="I17" s="13">
        <v>0</v>
      </c>
      <c r="J17" s="14">
        <f t="shared" si="6"/>
        <v>972</v>
      </c>
      <c r="K17" s="15">
        <v>7275</v>
      </c>
      <c r="L17" s="22">
        <v>535</v>
      </c>
      <c r="M17" s="14">
        <f t="shared" si="1"/>
        <v>535</v>
      </c>
      <c r="N17" s="14">
        <f t="shared" si="2"/>
        <v>214</v>
      </c>
      <c r="O17" s="21"/>
      <c r="P17" s="21"/>
      <c r="Q17" s="21"/>
      <c r="R17" s="16"/>
      <c r="S17" s="17"/>
    </row>
    <row r="18" spans="1:19" ht="24.95" customHeight="1">
      <c r="A18" s="18">
        <v>17</v>
      </c>
      <c r="B18" s="9">
        <v>5526</v>
      </c>
      <c r="C18" s="9">
        <v>646</v>
      </c>
      <c r="D18" s="9">
        <v>824</v>
      </c>
      <c r="E18" s="9">
        <v>12</v>
      </c>
      <c r="F18" s="10">
        <v>720</v>
      </c>
      <c r="G18" s="11">
        <v>282</v>
      </c>
      <c r="H18" s="12">
        <f t="shared" si="3"/>
        <v>2484</v>
      </c>
      <c r="I18" s="13">
        <v>89</v>
      </c>
      <c r="J18" s="14">
        <f t="shared" si="6"/>
        <v>2395</v>
      </c>
      <c r="K18" s="15">
        <v>17858</v>
      </c>
      <c r="L18" s="22">
        <v>958</v>
      </c>
      <c r="M18" s="14">
        <f t="shared" si="1"/>
        <v>958</v>
      </c>
      <c r="N18" s="14">
        <f t="shared" si="2"/>
        <v>479</v>
      </c>
      <c r="O18" s="21"/>
      <c r="P18" s="21"/>
      <c r="Q18" s="21"/>
      <c r="R18" s="16"/>
      <c r="S18" s="17"/>
    </row>
    <row r="19" spans="1:19" ht="24.95" customHeight="1">
      <c r="A19" s="18">
        <v>18</v>
      </c>
      <c r="B19" s="9">
        <v>21187</v>
      </c>
      <c r="C19" s="9">
        <v>3976</v>
      </c>
      <c r="D19" s="9">
        <v>1796</v>
      </c>
      <c r="E19" s="9">
        <v>81</v>
      </c>
      <c r="F19" s="10">
        <v>152</v>
      </c>
      <c r="G19" s="11">
        <v>1141</v>
      </c>
      <c r="H19" s="12">
        <f t="shared" si="3"/>
        <v>7146</v>
      </c>
      <c r="I19" s="13">
        <v>0</v>
      </c>
      <c r="J19" s="14">
        <f t="shared" ref="J19:J20" si="7">H19-I19</f>
        <v>7146</v>
      </c>
      <c r="K19" s="15">
        <v>68537</v>
      </c>
      <c r="L19" s="22">
        <v>2144</v>
      </c>
      <c r="M19" s="14">
        <f t="shared" si="1"/>
        <v>2144</v>
      </c>
      <c r="N19" s="14">
        <f t="shared" si="2"/>
        <v>1072</v>
      </c>
      <c r="O19" s="21"/>
      <c r="P19" s="21"/>
      <c r="Q19" s="21"/>
      <c r="R19" s="16"/>
      <c r="S19" s="17"/>
    </row>
    <row r="20" spans="1:19" ht="24.95" customHeight="1">
      <c r="A20" s="18">
        <v>19</v>
      </c>
      <c r="B20" s="9">
        <v>1648</v>
      </c>
      <c r="C20" s="9">
        <v>260</v>
      </c>
      <c r="D20" s="9">
        <v>303</v>
      </c>
      <c r="E20" s="9">
        <v>8</v>
      </c>
      <c r="F20" s="10">
        <v>61</v>
      </c>
      <c r="G20" s="11">
        <v>65</v>
      </c>
      <c r="H20" s="12">
        <f t="shared" si="3"/>
        <v>697</v>
      </c>
      <c r="I20" s="13">
        <v>0</v>
      </c>
      <c r="J20" s="14">
        <f t="shared" si="7"/>
        <v>697</v>
      </c>
      <c r="K20" s="15">
        <v>5349</v>
      </c>
      <c r="L20" s="22">
        <v>383</v>
      </c>
      <c r="M20" s="14">
        <f t="shared" si="1"/>
        <v>383</v>
      </c>
      <c r="N20" s="14">
        <f t="shared" si="2"/>
        <v>153.19999999999999</v>
      </c>
      <c r="O20" s="21"/>
      <c r="P20" s="21"/>
      <c r="Q20" s="21"/>
      <c r="R20" s="16"/>
      <c r="S20" s="17"/>
    </row>
    <row r="21" spans="1:19" ht="24.95" customHeight="1">
      <c r="A21" s="18">
        <v>20</v>
      </c>
      <c r="B21" s="9">
        <v>1262</v>
      </c>
      <c r="C21" s="9">
        <v>190</v>
      </c>
      <c r="D21" s="9">
        <v>199</v>
      </c>
      <c r="E21" s="9">
        <v>12</v>
      </c>
      <c r="F21" s="10">
        <v>184</v>
      </c>
      <c r="G21" s="11">
        <v>71</v>
      </c>
      <c r="H21" s="12">
        <f t="shared" si="3"/>
        <v>656</v>
      </c>
      <c r="I21" s="13">
        <v>130</v>
      </c>
      <c r="J21" s="14">
        <f t="shared" ref="J21:J24" si="8">H21-I21</f>
        <v>526</v>
      </c>
      <c r="K21" s="15">
        <v>3855</v>
      </c>
      <c r="L21" s="22">
        <v>289</v>
      </c>
      <c r="M21" s="14">
        <f t="shared" si="1"/>
        <v>289</v>
      </c>
      <c r="N21" s="14">
        <f t="shared" si="2"/>
        <v>115.6</v>
      </c>
      <c r="O21" s="21"/>
      <c r="P21" s="21"/>
      <c r="Q21" s="21"/>
      <c r="R21" s="16"/>
      <c r="S21" s="17"/>
    </row>
    <row r="22" spans="1:19" ht="24.95" customHeight="1">
      <c r="A22" s="18">
        <v>21</v>
      </c>
      <c r="B22" s="9">
        <v>17460</v>
      </c>
      <c r="C22" s="9">
        <v>3916</v>
      </c>
      <c r="D22" s="9">
        <v>1161</v>
      </c>
      <c r="E22" s="9">
        <v>46</v>
      </c>
      <c r="F22" s="10">
        <v>388</v>
      </c>
      <c r="G22" s="11">
        <v>734</v>
      </c>
      <c r="H22" s="12">
        <f t="shared" si="3"/>
        <v>6245</v>
      </c>
      <c r="I22" s="13">
        <v>0</v>
      </c>
      <c r="J22" s="14">
        <f t="shared" si="8"/>
        <v>6245</v>
      </c>
      <c r="K22" s="15">
        <v>53792</v>
      </c>
      <c r="L22" s="22">
        <v>1874</v>
      </c>
      <c r="M22" s="14">
        <f t="shared" si="1"/>
        <v>1874</v>
      </c>
      <c r="N22" s="14">
        <f t="shared" si="2"/>
        <v>937</v>
      </c>
      <c r="O22" s="21"/>
      <c r="P22" s="21"/>
      <c r="Q22" s="21"/>
      <c r="R22" s="16"/>
      <c r="S22" s="17"/>
    </row>
    <row r="23" spans="1:19" ht="24.95" customHeight="1">
      <c r="A23" s="18">
        <v>22</v>
      </c>
      <c r="B23" s="9">
        <v>14947</v>
      </c>
      <c r="C23" s="9">
        <v>3407</v>
      </c>
      <c r="D23" s="9">
        <v>1354</v>
      </c>
      <c r="E23" s="9">
        <v>12</v>
      </c>
      <c r="F23" s="10">
        <v>109</v>
      </c>
      <c r="G23" s="11">
        <v>675</v>
      </c>
      <c r="H23" s="12">
        <f t="shared" si="3"/>
        <v>5557</v>
      </c>
      <c r="I23" s="13">
        <v>0</v>
      </c>
      <c r="J23" s="14">
        <f t="shared" si="8"/>
        <v>5557</v>
      </c>
      <c r="K23" s="15">
        <v>46642</v>
      </c>
      <c r="L23" s="22">
        <v>2223</v>
      </c>
      <c r="M23" s="14">
        <f t="shared" si="1"/>
        <v>2223</v>
      </c>
      <c r="N23" s="14">
        <f t="shared" si="2"/>
        <v>1111.5</v>
      </c>
      <c r="O23" s="21"/>
      <c r="P23" s="21"/>
      <c r="Q23" s="21"/>
      <c r="R23" s="16"/>
      <c r="S23" s="17"/>
    </row>
    <row r="24" spans="1:19" ht="24.95" customHeight="1">
      <c r="A24" s="18">
        <v>23</v>
      </c>
      <c r="B24" s="9">
        <v>15815</v>
      </c>
      <c r="C24" s="9">
        <v>3488</v>
      </c>
      <c r="D24" s="9">
        <v>1163</v>
      </c>
      <c r="E24" s="9">
        <v>28</v>
      </c>
      <c r="F24" s="10">
        <v>61</v>
      </c>
      <c r="G24" s="11">
        <v>794</v>
      </c>
      <c r="H24" s="12">
        <f t="shared" si="3"/>
        <v>5534</v>
      </c>
      <c r="I24" s="13">
        <v>0</v>
      </c>
      <c r="J24" s="14">
        <f t="shared" si="8"/>
        <v>5534</v>
      </c>
      <c r="K24" s="15">
        <v>51242</v>
      </c>
      <c r="L24" s="22">
        <v>1660</v>
      </c>
      <c r="M24" s="14">
        <f t="shared" si="1"/>
        <v>1660</v>
      </c>
      <c r="N24" s="14">
        <f t="shared" si="2"/>
        <v>830</v>
      </c>
      <c r="O24" s="21"/>
      <c r="P24" s="21"/>
      <c r="Q24" s="21"/>
      <c r="R24" s="16"/>
      <c r="S24" s="17"/>
    </row>
    <row r="25" spans="1:19" ht="24.95" customHeight="1">
      <c r="A25" s="18">
        <v>24</v>
      </c>
      <c r="B25" s="9">
        <v>558</v>
      </c>
      <c r="C25" s="9">
        <v>92</v>
      </c>
      <c r="D25" s="9">
        <v>129</v>
      </c>
      <c r="E25" s="9">
        <v>1</v>
      </c>
      <c r="F25" s="10">
        <v>13</v>
      </c>
      <c r="G25" s="11">
        <v>23</v>
      </c>
      <c r="H25" s="12">
        <f t="shared" si="3"/>
        <v>258</v>
      </c>
      <c r="I25" s="13">
        <v>26</v>
      </c>
      <c r="J25" s="14">
        <f t="shared" ref="J25:J27" si="9">H25-I25</f>
        <v>232</v>
      </c>
      <c r="K25" s="15">
        <v>1779</v>
      </c>
      <c r="L25" s="22">
        <v>128</v>
      </c>
      <c r="M25" s="14">
        <f t="shared" si="1"/>
        <v>128</v>
      </c>
      <c r="N25" s="14">
        <f t="shared" si="2"/>
        <v>51.2</v>
      </c>
      <c r="O25" s="21"/>
      <c r="P25" s="21"/>
      <c r="Q25" s="21"/>
      <c r="R25" s="16"/>
      <c r="S25" s="17"/>
    </row>
    <row r="26" spans="1:19" ht="24.95" customHeight="1">
      <c r="A26" s="18">
        <v>25</v>
      </c>
      <c r="B26" s="9">
        <v>1831</v>
      </c>
      <c r="C26" s="9">
        <v>165</v>
      </c>
      <c r="D26" s="9">
        <v>344</v>
      </c>
      <c r="E26" s="9">
        <v>1</v>
      </c>
      <c r="F26" s="10">
        <v>165</v>
      </c>
      <c r="G26" s="11">
        <v>51</v>
      </c>
      <c r="H26" s="12">
        <f t="shared" si="3"/>
        <v>726</v>
      </c>
      <c r="I26" s="13">
        <v>0</v>
      </c>
      <c r="J26" s="14">
        <f t="shared" si="9"/>
        <v>726</v>
      </c>
      <c r="K26" s="15">
        <v>5780</v>
      </c>
      <c r="L26" s="22">
        <v>399</v>
      </c>
      <c r="M26" s="14">
        <f t="shared" si="1"/>
        <v>399</v>
      </c>
      <c r="N26" s="14">
        <f t="shared" si="2"/>
        <v>159.6</v>
      </c>
      <c r="O26" s="21"/>
      <c r="P26" s="21"/>
      <c r="Q26" s="21"/>
      <c r="R26" s="16"/>
      <c r="S26" s="17"/>
    </row>
    <row r="27" spans="1:19" ht="24.95" customHeight="1">
      <c r="A27" s="18">
        <v>26</v>
      </c>
      <c r="B27" s="9">
        <v>19273</v>
      </c>
      <c r="C27" s="9">
        <v>3028</v>
      </c>
      <c r="D27" s="9">
        <v>2097</v>
      </c>
      <c r="E27" s="9">
        <v>346</v>
      </c>
      <c r="F27" s="10">
        <v>1054</v>
      </c>
      <c r="G27" s="11">
        <v>1018</v>
      </c>
      <c r="H27" s="12">
        <f t="shared" si="3"/>
        <v>7543</v>
      </c>
      <c r="I27" s="13">
        <v>338</v>
      </c>
      <c r="J27" s="14">
        <f t="shared" si="9"/>
        <v>7205</v>
      </c>
      <c r="K27" s="15">
        <v>59773</v>
      </c>
      <c r="L27" s="22">
        <v>2162</v>
      </c>
      <c r="M27" s="14">
        <f t="shared" si="1"/>
        <v>2162</v>
      </c>
      <c r="N27" s="14">
        <f t="shared" si="2"/>
        <v>1081</v>
      </c>
      <c r="O27" s="21"/>
      <c r="P27" s="21"/>
      <c r="Q27" s="21"/>
      <c r="R27" s="16"/>
      <c r="S27" s="17"/>
    </row>
    <row r="28" spans="1:19" ht="24.95" customHeight="1">
      <c r="A28" s="18">
        <v>27</v>
      </c>
      <c r="B28" s="9">
        <v>2880</v>
      </c>
      <c r="C28" s="9">
        <v>420</v>
      </c>
      <c r="D28" s="9">
        <v>457</v>
      </c>
      <c r="E28" s="9">
        <v>7</v>
      </c>
      <c r="F28" s="10">
        <v>89</v>
      </c>
      <c r="G28" s="11">
        <v>108</v>
      </c>
      <c r="H28" s="12">
        <f t="shared" si="3"/>
        <v>1081</v>
      </c>
      <c r="I28" s="13">
        <v>66</v>
      </c>
      <c r="J28" s="14">
        <f t="shared" ref="J28" si="10">H28-I28</f>
        <v>1015</v>
      </c>
      <c r="K28" s="15">
        <v>8787</v>
      </c>
      <c r="L28" s="22">
        <v>558</v>
      </c>
      <c r="M28" s="14">
        <f t="shared" si="1"/>
        <v>558</v>
      </c>
      <c r="N28" s="14">
        <f t="shared" si="2"/>
        <v>223.2</v>
      </c>
      <c r="O28" s="21"/>
      <c r="P28" s="21"/>
      <c r="Q28" s="21"/>
      <c r="R28" s="16"/>
      <c r="S28" s="17"/>
    </row>
    <row r="29" spans="1:19" ht="24.95" customHeight="1">
      <c r="A29" s="18">
        <v>28</v>
      </c>
      <c r="B29" s="9">
        <v>910</v>
      </c>
      <c r="C29" s="9">
        <v>89</v>
      </c>
      <c r="D29" s="9">
        <v>138</v>
      </c>
      <c r="E29" s="9">
        <v>2</v>
      </c>
      <c r="F29" s="10">
        <v>25</v>
      </c>
      <c r="G29" s="11">
        <v>28</v>
      </c>
      <c r="H29" s="12">
        <f t="shared" si="3"/>
        <v>282</v>
      </c>
      <c r="I29" s="13">
        <v>56</v>
      </c>
      <c r="J29" s="14">
        <f t="shared" ref="J29:J30" si="11">H29-I29</f>
        <v>226</v>
      </c>
      <c r="K29" s="15">
        <v>2543</v>
      </c>
      <c r="L29" s="22">
        <v>124</v>
      </c>
      <c r="M29" s="14">
        <f t="shared" si="1"/>
        <v>124</v>
      </c>
      <c r="N29" s="14">
        <f t="shared" si="2"/>
        <v>49.6</v>
      </c>
      <c r="O29" s="21"/>
      <c r="P29" s="21"/>
      <c r="Q29" s="21"/>
      <c r="R29" s="16"/>
      <c r="S29" s="17"/>
    </row>
    <row r="30" spans="1:19" ht="24.95" customHeight="1">
      <c r="A30" s="18">
        <v>29</v>
      </c>
      <c r="B30" s="9">
        <v>23603</v>
      </c>
      <c r="C30" s="9">
        <v>5552</v>
      </c>
      <c r="D30" s="9">
        <v>3201</v>
      </c>
      <c r="E30" s="9">
        <v>80</v>
      </c>
      <c r="F30" s="10">
        <v>904</v>
      </c>
      <c r="G30" s="11">
        <v>1037</v>
      </c>
      <c r="H30" s="12">
        <f t="shared" si="3"/>
        <v>10774</v>
      </c>
      <c r="I30" s="13">
        <v>0</v>
      </c>
      <c r="J30" s="14">
        <f t="shared" si="11"/>
        <v>10774</v>
      </c>
      <c r="K30" s="15">
        <v>73942</v>
      </c>
      <c r="L30" s="22">
        <v>3232</v>
      </c>
      <c r="M30" s="14">
        <f t="shared" si="1"/>
        <v>3232</v>
      </c>
      <c r="N30" s="14">
        <f t="shared" si="2"/>
        <v>1616</v>
      </c>
      <c r="O30" s="21"/>
      <c r="P30" s="21"/>
      <c r="Q30" s="21"/>
      <c r="R30" s="16"/>
      <c r="S30" s="17"/>
    </row>
    <row r="31" spans="1:19" ht="24.95" customHeight="1">
      <c r="A31" s="18">
        <v>30</v>
      </c>
      <c r="B31" s="9">
        <v>1090</v>
      </c>
      <c r="C31" s="9">
        <v>122</v>
      </c>
      <c r="D31" s="9">
        <v>150</v>
      </c>
      <c r="E31" s="9">
        <v>3</v>
      </c>
      <c r="F31" s="10">
        <v>40</v>
      </c>
      <c r="G31" s="11">
        <v>55</v>
      </c>
      <c r="H31" s="12">
        <f t="shared" si="3"/>
        <v>370</v>
      </c>
      <c r="I31" s="13">
        <v>41</v>
      </c>
      <c r="J31" s="14">
        <f t="shared" ref="J31:J33" si="12">H31-I31</f>
        <v>329</v>
      </c>
      <c r="K31" s="15">
        <v>3383</v>
      </c>
      <c r="L31" s="22">
        <v>181</v>
      </c>
      <c r="M31" s="14">
        <f t="shared" si="1"/>
        <v>181</v>
      </c>
      <c r="N31" s="14">
        <f t="shared" si="2"/>
        <v>72.400000000000006</v>
      </c>
      <c r="O31" s="21"/>
      <c r="P31" s="21"/>
      <c r="Q31" s="21"/>
      <c r="R31" s="16"/>
      <c r="S31" s="17"/>
    </row>
    <row r="32" spans="1:19" ht="24.95" customHeight="1">
      <c r="A32" s="18">
        <v>31</v>
      </c>
      <c r="B32" s="9">
        <v>3815</v>
      </c>
      <c r="C32" s="9">
        <v>544</v>
      </c>
      <c r="D32" s="9">
        <v>726</v>
      </c>
      <c r="E32" s="9">
        <v>20</v>
      </c>
      <c r="F32" s="10">
        <v>323</v>
      </c>
      <c r="G32" s="11">
        <v>209</v>
      </c>
      <c r="H32" s="12">
        <f t="shared" si="3"/>
        <v>1822</v>
      </c>
      <c r="I32" s="13">
        <v>58</v>
      </c>
      <c r="J32" s="14">
        <f t="shared" si="12"/>
        <v>1764</v>
      </c>
      <c r="K32" s="15">
        <v>12737</v>
      </c>
      <c r="L32" s="22">
        <v>706</v>
      </c>
      <c r="M32" s="14">
        <f t="shared" si="1"/>
        <v>706</v>
      </c>
      <c r="N32" s="14">
        <f t="shared" si="2"/>
        <v>282.39999999999998</v>
      </c>
      <c r="O32" s="21"/>
      <c r="P32" s="21"/>
      <c r="Q32" s="21"/>
      <c r="R32" s="16"/>
      <c r="S32" s="17"/>
    </row>
    <row r="33" spans="1:19" ht="24.95" customHeight="1">
      <c r="A33" s="18">
        <v>32</v>
      </c>
      <c r="B33" s="9">
        <v>3025</v>
      </c>
      <c r="C33" s="9">
        <v>544</v>
      </c>
      <c r="D33" s="9">
        <v>379</v>
      </c>
      <c r="E33" s="9">
        <v>6</v>
      </c>
      <c r="F33" s="10">
        <v>133</v>
      </c>
      <c r="G33" s="11">
        <v>100</v>
      </c>
      <c r="H33" s="12">
        <f t="shared" si="3"/>
        <v>1162</v>
      </c>
      <c r="I33" s="13">
        <v>172</v>
      </c>
      <c r="J33" s="14">
        <f t="shared" si="12"/>
        <v>990</v>
      </c>
      <c r="K33" s="15">
        <v>8836</v>
      </c>
      <c r="L33" s="22">
        <v>545</v>
      </c>
      <c r="M33" s="14">
        <f t="shared" si="1"/>
        <v>545</v>
      </c>
      <c r="N33" s="14">
        <f t="shared" si="2"/>
        <v>218</v>
      </c>
      <c r="O33" s="21"/>
      <c r="P33" s="21"/>
      <c r="Q33" s="21"/>
      <c r="R33" s="16"/>
      <c r="S33" s="1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34" sqref="H34"/>
    </sheetView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2014-04-13T13:15:48Z</dcterms:created>
  <dcterms:modified xsi:type="dcterms:W3CDTF">2016-08-05T04:35:07Z</dcterms:modified>
</cp:coreProperties>
</file>