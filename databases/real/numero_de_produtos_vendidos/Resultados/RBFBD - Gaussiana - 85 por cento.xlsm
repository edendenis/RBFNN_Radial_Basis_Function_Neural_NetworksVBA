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Google Drive\EdenSoft\Aplicativos\RBFBD\Banco de Dados\Número de produtos vendidos\Resultados\"/>
    </mc:Choice>
  </mc:AlternateContent>
  <bookViews>
    <workbookView xWindow="360" yWindow="45" windowWidth="3585" windowHeight="4935" tabRatio="886" firstSheet="6" activeTab="13"/>
  </bookViews>
  <sheets>
    <sheet name="Executar" sheetId="1" r:id="rId1"/>
    <sheet name="Tabela Entrada-Saída" sheetId="2" r:id="rId2"/>
    <sheet name="Coordenadas dos Polos" sheetId="3" r:id="rId3"/>
    <sheet name="Cálculos Diversos" sheetId="4" r:id="rId4"/>
    <sheet name="Matrix (R)" sheetId="5" r:id="rId5"/>
    <sheet name="Matrix (R)^t" sheetId="6" r:id="rId6"/>
    <sheet name="Matrix (R)^t.(R)" sheetId="7" r:id="rId7"/>
    <sheet name="Matrix ((R)^t.(R))^(-1)" sheetId="8" r:id="rId8"/>
    <sheet name="Matrix (((R)^t.(R))^(-1)).(R)^t" sheetId="9" r:id="rId9"/>
    <sheet name="Solução" sheetId="10" r:id="rId10"/>
    <sheet name="Formulário" sheetId="11" r:id="rId11"/>
    <sheet name="Sem Outlayers" sheetId="14" r:id="rId12"/>
    <sheet name="Coeficiente de Acerto" sheetId="12" r:id="rId13"/>
    <sheet name="Outlayers" sheetId="13" r:id="rId14"/>
  </sheets>
  <definedNames>
    <definedName name="_xlnm._FilterDatabase" localSheetId="12" hidden="1">'Coeficiente de Acerto'!$A$372:$W$782</definedName>
    <definedName name="_xlnm.Print_Titles" localSheetId="11">'Sem Outlayers'!$1:$1</definedName>
  </definedNames>
  <calcPr calcId="171027"/>
</workbook>
</file>

<file path=xl/calcChain.xml><?xml version="1.0" encoding="utf-8"?>
<calcChain xmlns="http://schemas.openxmlformats.org/spreadsheetml/2006/main">
  <c r="A29" i="12" l="1" a="1"/>
  <c r="A34" i="12" s="1"/>
  <c r="GP16" i="3"/>
  <c r="GB16" i="3"/>
  <c r="FN16" i="3"/>
  <c r="EZ16" i="3"/>
  <c r="EL16" i="3"/>
  <c r="DX16" i="3"/>
  <c r="DJ16" i="3"/>
  <c r="CV16" i="3"/>
  <c r="CH16" i="3"/>
  <c r="BT16" i="3"/>
  <c r="BF16" i="3"/>
  <c r="AR16" i="3"/>
  <c r="AD16" i="3"/>
  <c r="P16" i="3"/>
  <c r="GP15" i="3"/>
  <c r="GB15" i="3"/>
  <c r="FN15" i="3"/>
  <c r="EZ15" i="3"/>
  <c r="EL15" i="3"/>
  <c r="DX15" i="3"/>
  <c r="DJ15" i="3"/>
  <c r="CV15" i="3"/>
  <c r="CH15" i="3"/>
  <c r="BT15" i="3"/>
  <c r="BF15" i="3"/>
  <c r="AR15" i="3"/>
  <c r="AD15" i="3"/>
  <c r="P15" i="3"/>
  <c r="GP14" i="3"/>
  <c r="GB14" i="3"/>
  <c r="FN14" i="3"/>
  <c r="EZ14" i="3"/>
  <c r="EL14" i="3"/>
  <c r="DX14" i="3"/>
  <c r="DJ14" i="3"/>
  <c r="CV14" i="3"/>
  <c r="CH14" i="3"/>
  <c r="BT14" i="3"/>
  <c r="BF14" i="3"/>
  <c r="AR14" i="3"/>
  <c r="AD14" i="3"/>
  <c r="P14" i="3"/>
  <c r="GP13" i="3"/>
  <c r="GB13" i="3"/>
  <c r="FN13" i="3"/>
  <c r="EZ13" i="3"/>
  <c r="EL13" i="3"/>
  <c r="DX13" i="3"/>
  <c r="DJ13" i="3"/>
  <c r="CV13" i="3"/>
  <c r="CH13" i="3"/>
  <c r="BT13" i="3"/>
  <c r="BF13" i="3"/>
  <c r="AR13" i="3"/>
  <c r="AD13" i="3"/>
  <c r="P13" i="3"/>
  <c r="GP12" i="3"/>
  <c r="GB12" i="3"/>
  <c r="FN12" i="3"/>
  <c r="EZ12" i="3"/>
  <c r="EL12" i="3"/>
  <c r="DX12" i="3"/>
  <c r="DJ12" i="3"/>
  <c r="CV12" i="3"/>
  <c r="CH12" i="3"/>
  <c r="BT12" i="3"/>
  <c r="BF12" i="3"/>
  <c r="AR12" i="3"/>
  <c r="AD12" i="3"/>
  <c r="P12" i="3"/>
  <c r="GP11" i="3"/>
  <c r="GB11" i="3"/>
  <c r="FN11" i="3"/>
  <c r="EZ11" i="3"/>
  <c r="EL11" i="3"/>
  <c r="DX11" i="3"/>
  <c r="DJ11" i="3"/>
  <c r="CV11" i="3"/>
  <c r="CH11" i="3"/>
  <c r="BT11" i="3"/>
  <c r="BF11" i="3"/>
  <c r="AR11" i="3"/>
  <c r="AD11" i="3"/>
  <c r="P11" i="3"/>
  <c r="GP10" i="3"/>
  <c r="GB10" i="3"/>
  <c r="FN10" i="3"/>
  <c r="EZ10" i="3"/>
  <c r="EL10" i="3"/>
  <c r="DX10" i="3"/>
  <c r="DJ10" i="3"/>
  <c r="CV10" i="3"/>
  <c r="CH10" i="3"/>
  <c r="BT10" i="3"/>
  <c r="BF10" i="3"/>
  <c r="AR10" i="3"/>
  <c r="AD10" i="3"/>
  <c r="P10" i="3"/>
  <c r="GP9" i="3"/>
  <c r="GB9" i="3"/>
  <c r="FN9" i="3"/>
  <c r="EZ9" i="3"/>
  <c r="EL9" i="3"/>
  <c r="DX9" i="3"/>
  <c r="DJ9" i="3"/>
  <c r="CV9" i="3"/>
  <c r="CH9" i="3"/>
  <c r="BT9" i="3"/>
  <c r="BF9" i="3"/>
  <c r="AR9" i="3"/>
  <c r="AD9" i="3"/>
  <c r="P9" i="3"/>
  <c r="GP8" i="3"/>
  <c r="GB8" i="3"/>
  <c r="FN8" i="3"/>
  <c r="EZ8" i="3"/>
  <c r="EL8" i="3"/>
  <c r="DX8" i="3"/>
  <c r="DJ8" i="3"/>
  <c r="CV8" i="3"/>
  <c r="CH8" i="3"/>
  <c r="BT8" i="3"/>
  <c r="BF8" i="3"/>
  <c r="AR8" i="3"/>
  <c r="AD8" i="3"/>
  <c r="P8" i="3"/>
  <c r="GP7" i="3"/>
  <c r="GB7" i="3"/>
  <c r="FN7" i="3"/>
  <c r="EZ7" i="3"/>
  <c r="EL7" i="3"/>
  <c r="DX7" i="3"/>
  <c r="DJ7" i="3"/>
  <c r="CV7" i="3"/>
  <c r="CH7" i="3"/>
  <c r="BT7" i="3"/>
  <c r="BF7" i="3"/>
  <c r="AR7" i="3"/>
  <c r="AD7" i="3"/>
  <c r="P7" i="3"/>
  <c r="GP6" i="3"/>
  <c r="GB6" i="3"/>
  <c r="FN6" i="3"/>
  <c r="EZ6" i="3"/>
  <c r="EL6" i="3"/>
  <c r="DX6" i="3"/>
  <c r="DJ6" i="3"/>
  <c r="CV6" i="3"/>
  <c r="CH6" i="3"/>
  <c r="BT6" i="3"/>
  <c r="BF6" i="3"/>
  <c r="AR6" i="3"/>
  <c r="AD6" i="3"/>
  <c r="P6" i="3"/>
  <c r="GP5" i="3"/>
  <c r="GB5" i="3"/>
  <c r="FN5" i="3"/>
  <c r="EZ5" i="3"/>
  <c r="EL5" i="3"/>
  <c r="DX5" i="3"/>
  <c r="DJ5" i="3"/>
  <c r="CV5" i="3"/>
  <c r="CH5" i="3"/>
  <c r="BT5" i="3"/>
  <c r="BF5" i="3"/>
  <c r="AR5" i="3"/>
  <c r="AD5" i="3"/>
  <c r="P5" i="3"/>
  <c r="GP4" i="3"/>
  <c r="GB4" i="3"/>
  <c r="FN4" i="3"/>
  <c r="EZ4" i="3"/>
  <c r="EL4" i="3"/>
  <c r="DX4" i="3"/>
  <c r="DJ4" i="3"/>
  <c r="CV4" i="3"/>
  <c r="CH4" i="3"/>
  <c r="BT4" i="3"/>
  <c r="BF4" i="3"/>
  <c r="AR4" i="3"/>
  <c r="AD4" i="3"/>
  <c r="P4" i="3"/>
  <c r="GP3" i="3"/>
  <c r="GB3" i="3"/>
  <c r="FN3" i="3"/>
  <c r="EZ3" i="3"/>
  <c r="EL3" i="3"/>
  <c r="DX3" i="3"/>
  <c r="DJ3" i="3"/>
  <c r="CV3" i="3"/>
  <c r="CH3" i="3"/>
  <c r="BT3" i="3"/>
  <c r="BF3" i="3"/>
  <c r="AR3" i="3"/>
  <c r="AD3" i="3"/>
  <c r="P3" i="3"/>
  <c r="A41" i="12" l="1"/>
  <c r="A49" i="12"/>
  <c r="A33" i="12"/>
  <c r="A48" i="12"/>
  <c r="A40" i="12"/>
  <c r="A32" i="12"/>
  <c r="A44" i="12"/>
  <c r="A47" i="12"/>
  <c r="A39" i="12"/>
  <c r="A31" i="12"/>
  <c r="A46" i="12"/>
  <c r="A38" i="12"/>
  <c r="A30" i="12"/>
  <c r="A52" i="12"/>
  <c r="A53" i="12"/>
  <c r="A45" i="12"/>
  <c r="A37" i="12"/>
  <c r="A29" i="12"/>
  <c r="B55" i="12" s="1"/>
  <c r="B16" i="11" s="1"/>
  <c r="A36" i="12"/>
  <c r="A51" i="12"/>
  <c r="A43" i="12"/>
  <c r="A35" i="12"/>
  <c r="A50" i="12"/>
  <c r="A42" i="12"/>
  <c r="B3" i="4"/>
  <c r="B5" i="4" s="1"/>
  <c r="C16" i="10" l="1"/>
  <c r="C8" i="10"/>
  <c r="C15" i="10"/>
  <c r="C7" i="10"/>
  <c r="C14" i="10"/>
  <c r="C6" i="10"/>
  <c r="C13" i="10"/>
  <c r="C5" i="10"/>
  <c r="C12" i="10"/>
  <c r="C4" i="10"/>
  <c r="C11" i="10"/>
  <c r="C10" i="10"/>
  <c r="C9" i="10"/>
  <c r="C3" i="10"/>
  <c r="K26" i="5"/>
  <c r="I26" i="5"/>
  <c r="O25" i="5"/>
  <c r="G25" i="5"/>
  <c r="M24" i="5"/>
  <c r="E24" i="5"/>
  <c r="K23" i="5"/>
  <c r="H26" i="5"/>
  <c r="N25" i="5"/>
  <c r="F25" i="5"/>
  <c r="L24" i="5"/>
  <c r="D24" i="5"/>
  <c r="J23" i="5"/>
  <c r="B23" i="5"/>
  <c r="H22" i="5"/>
  <c r="N21" i="5"/>
  <c r="F21" i="5"/>
  <c r="L20" i="5"/>
  <c r="D20" i="5"/>
  <c r="O26" i="5"/>
  <c r="G26" i="5"/>
  <c r="M25" i="5"/>
  <c r="E25" i="5"/>
  <c r="K24" i="5"/>
  <c r="J26" i="5"/>
  <c r="J25" i="5"/>
  <c r="J24" i="5"/>
  <c r="N23" i="5"/>
  <c r="D23" i="5"/>
  <c r="I22" i="5"/>
  <c r="M21" i="5"/>
  <c r="D21" i="5"/>
  <c r="I20" i="5"/>
  <c r="N19" i="5"/>
  <c r="F19" i="5"/>
  <c r="L18" i="5"/>
  <c r="D18" i="5"/>
  <c r="J17" i="5"/>
  <c r="B17" i="5"/>
  <c r="H16" i="5"/>
  <c r="N15" i="5"/>
  <c r="F15" i="5"/>
  <c r="L14" i="5"/>
  <c r="D14" i="5"/>
  <c r="J13" i="5"/>
  <c r="B13" i="5"/>
  <c r="H12" i="5"/>
  <c r="N11" i="5"/>
  <c r="F11" i="5"/>
  <c r="L10" i="5"/>
  <c r="D10" i="5"/>
  <c r="J9" i="5"/>
  <c r="B9" i="5"/>
  <c r="H8" i="5"/>
  <c r="N7" i="5"/>
  <c r="F7" i="5"/>
  <c r="L6" i="5"/>
  <c r="D6" i="5"/>
  <c r="J5" i="5"/>
  <c r="B5" i="5"/>
  <c r="H4" i="5"/>
  <c r="N3" i="5"/>
  <c r="F3" i="5"/>
  <c r="L2" i="5"/>
  <c r="D2" i="5"/>
  <c r="F26" i="5"/>
  <c r="I25" i="5"/>
  <c r="I24" i="5"/>
  <c r="M23" i="5"/>
  <c r="C23" i="5"/>
  <c r="G22" i="5"/>
  <c r="L21" i="5"/>
  <c r="C21" i="5"/>
  <c r="H20" i="5"/>
  <c r="M19" i="5"/>
  <c r="E19" i="5"/>
  <c r="K18" i="5"/>
  <c r="C18" i="5"/>
  <c r="I17" i="5"/>
  <c r="O16" i="5"/>
  <c r="G16" i="5"/>
  <c r="M15" i="5"/>
  <c r="E15" i="5"/>
  <c r="K14" i="5"/>
  <c r="C14" i="5"/>
  <c r="I13" i="5"/>
  <c r="O12" i="5"/>
  <c r="G12" i="5"/>
  <c r="M11" i="5"/>
  <c r="E11" i="5"/>
  <c r="K10" i="5"/>
  <c r="C10" i="5"/>
  <c r="I9" i="5"/>
  <c r="O8" i="5"/>
  <c r="G8" i="5"/>
  <c r="M7" i="5"/>
  <c r="E7" i="5"/>
  <c r="K6" i="5"/>
  <c r="C6" i="5"/>
  <c r="I5" i="5"/>
  <c r="O4" i="5"/>
  <c r="G4" i="5"/>
  <c r="M3" i="5"/>
  <c r="E3" i="5"/>
  <c r="K2" i="5"/>
  <c r="C2" i="5"/>
  <c r="E26" i="5"/>
  <c r="H25" i="5"/>
  <c r="H24" i="5"/>
  <c r="L23" i="5"/>
  <c r="O22" i="5"/>
  <c r="F22" i="5"/>
  <c r="K21" i="5"/>
  <c r="B21" i="5"/>
  <c r="G20" i="5"/>
  <c r="L19" i="5"/>
  <c r="D19" i="5"/>
  <c r="J18" i="5"/>
  <c r="B18" i="5"/>
  <c r="H17" i="5"/>
  <c r="N16" i="5"/>
  <c r="F16" i="5"/>
  <c r="L15" i="5"/>
  <c r="D15" i="5"/>
  <c r="J14" i="5"/>
  <c r="B14" i="5"/>
  <c r="H13" i="5"/>
  <c r="N12" i="5"/>
  <c r="F12" i="5"/>
  <c r="L11" i="5"/>
  <c r="D11" i="5"/>
  <c r="J10" i="5"/>
  <c r="B10" i="5"/>
  <c r="H9" i="5"/>
  <c r="N8" i="5"/>
  <c r="F8" i="5"/>
  <c r="L7" i="5"/>
  <c r="D7" i="5"/>
  <c r="J6" i="5"/>
  <c r="B6" i="5"/>
  <c r="H5" i="5"/>
  <c r="N4" i="5"/>
  <c r="F4" i="5"/>
  <c r="L3" i="5"/>
  <c r="D3" i="5"/>
  <c r="J2" i="5"/>
  <c r="B2" i="5"/>
  <c r="D26" i="5"/>
  <c r="D25" i="5"/>
  <c r="G24" i="5"/>
  <c r="I23" i="5"/>
  <c r="N22" i="5"/>
  <c r="E22" i="5"/>
  <c r="J21" i="5"/>
  <c r="O20" i="5"/>
  <c r="F20" i="5"/>
  <c r="K19" i="5"/>
  <c r="C19" i="5"/>
  <c r="I18" i="5"/>
  <c r="O17" i="5"/>
  <c r="G17" i="5"/>
  <c r="M16" i="5"/>
  <c r="E16" i="5"/>
  <c r="K15" i="5"/>
  <c r="C15" i="5"/>
  <c r="I14" i="5"/>
  <c r="O13" i="5"/>
  <c r="G13" i="5"/>
  <c r="M12" i="5"/>
  <c r="E12" i="5"/>
  <c r="K11" i="5"/>
  <c r="C11" i="5"/>
  <c r="I10" i="5"/>
  <c r="O9" i="5"/>
  <c r="G9" i="5"/>
  <c r="M8" i="5"/>
  <c r="E8" i="5"/>
  <c r="K7" i="5"/>
  <c r="C7" i="5"/>
  <c r="I6" i="5"/>
  <c r="O5" i="5"/>
  <c r="G5" i="5"/>
  <c r="M4" i="5"/>
  <c r="E4" i="5"/>
  <c r="K3" i="5"/>
  <c r="C3" i="5"/>
  <c r="I2" i="5"/>
  <c r="C26" i="5"/>
  <c r="C25" i="5"/>
  <c r="F24" i="5"/>
  <c r="H23" i="5"/>
  <c r="M22" i="5"/>
  <c r="D22" i="5"/>
  <c r="I21" i="5"/>
  <c r="N20" i="5"/>
  <c r="E20" i="5"/>
  <c r="J19" i="5"/>
  <c r="B19" i="5"/>
  <c r="H18" i="5"/>
  <c r="N17" i="5"/>
  <c r="F17" i="5"/>
  <c r="L16" i="5"/>
  <c r="D16" i="5"/>
  <c r="J15" i="5"/>
  <c r="B15" i="5"/>
  <c r="H14" i="5"/>
  <c r="N13" i="5"/>
  <c r="F13" i="5"/>
  <c r="L12" i="5"/>
  <c r="D12" i="5"/>
  <c r="J11" i="5"/>
  <c r="B11" i="5"/>
  <c r="H10" i="5"/>
  <c r="N9" i="5"/>
  <c r="F9" i="5"/>
  <c r="L8" i="5"/>
  <c r="D8" i="5"/>
  <c r="J7" i="5"/>
  <c r="B7" i="5"/>
  <c r="H6" i="5"/>
  <c r="N5" i="5"/>
  <c r="F5" i="5"/>
  <c r="L4" i="5"/>
  <c r="D4" i="5"/>
  <c r="J3" i="5"/>
  <c r="B3" i="5"/>
  <c r="H2" i="5"/>
  <c r="M26" i="5"/>
  <c r="L25" i="5"/>
  <c r="O24" i="5"/>
  <c r="B24" i="5"/>
  <c r="F23" i="5"/>
  <c r="K22" i="5"/>
  <c r="B22" i="5"/>
  <c r="G21" i="5"/>
  <c r="K20" i="5"/>
  <c r="B20" i="5"/>
  <c r="H19" i="5"/>
  <c r="N18" i="5"/>
  <c r="F18" i="5"/>
  <c r="L17" i="5"/>
  <c r="D17" i="5"/>
  <c r="J16" i="5"/>
  <c r="B16" i="5"/>
  <c r="H15" i="5"/>
  <c r="N14" i="5"/>
  <c r="F14" i="5"/>
  <c r="L13" i="5"/>
  <c r="D13" i="5"/>
  <c r="J12" i="5"/>
  <c r="B12" i="5"/>
  <c r="H11" i="5"/>
  <c r="N10" i="5"/>
  <c r="F10" i="5"/>
  <c r="L9" i="5"/>
  <c r="D9" i="5"/>
  <c r="J8" i="5"/>
  <c r="B8" i="5"/>
  <c r="H7" i="5"/>
  <c r="N6" i="5"/>
  <c r="F6" i="5"/>
  <c r="L5" i="5"/>
  <c r="D5" i="5"/>
  <c r="J4" i="5"/>
  <c r="B4" i="5"/>
  <c r="H3" i="5"/>
  <c r="N2" i="5"/>
  <c r="F2" i="5"/>
  <c r="C24" i="5"/>
  <c r="H21" i="5"/>
  <c r="O18" i="5"/>
  <c r="K16" i="5"/>
  <c r="G14" i="5"/>
  <c r="C12" i="5"/>
  <c r="M9" i="5"/>
  <c r="I7" i="5"/>
  <c r="E5" i="5"/>
  <c r="O2" i="5"/>
  <c r="O23" i="5"/>
  <c r="E21" i="5"/>
  <c r="M18" i="5"/>
  <c r="I16" i="5"/>
  <c r="E14" i="5"/>
  <c r="O11" i="5"/>
  <c r="K9" i="5"/>
  <c r="G7" i="5"/>
  <c r="C5" i="5"/>
  <c r="M2" i="5"/>
  <c r="C17" i="5"/>
  <c r="N26" i="5"/>
  <c r="G23" i="5"/>
  <c r="M20" i="5"/>
  <c r="G18" i="5"/>
  <c r="C16" i="5"/>
  <c r="M13" i="5"/>
  <c r="I11" i="5"/>
  <c r="E9" i="5"/>
  <c r="O6" i="5"/>
  <c r="K4" i="5"/>
  <c r="G2" i="5"/>
  <c r="J22" i="5"/>
  <c r="K17" i="5"/>
  <c r="C13" i="5"/>
  <c r="I8" i="5"/>
  <c r="O3" i="5"/>
  <c r="L26" i="5"/>
  <c r="E23" i="5"/>
  <c r="J20" i="5"/>
  <c r="E18" i="5"/>
  <c r="O15" i="5"/>
  <c r="K13" i="5"/>
  <c r="G11" i="5"/>
  <c r="C9" i="5"/>
  <c r="M6" i="5"/>
  <c r="I4" i="5"/>
  <c r="E2" i="5"/>
  <c r="K25" i="5"/>
  <c r="O19" i="5"/>
  <c r="G15" i="5"/>
  <c r="M10" i="5"/>
  <c r="E6" i="5"/>
  <c r="G19" i="5"/>
  <c r="M14" i="5"/>
  <c r="O7" i="5"/>
  <c r="G3" i="5"/>
  <c r="B26" i="5"/>
  <c r="L22" i="5"/>
  <c r="C20" i="5"/>
  <c r="M17" i="5"/>
  <c r="I15" i="5"/>
  <c r="E13" i="5"/>
  <c r="O10" i="5"/>
  <c r="K8" i="5"/>
  <c r="G6" i="5"/>
  <c r="C4" i="5"/>
  <c r="N24" i="5"/>
  <c r="E10" i="5"/>
  <c r="B25" i="5"/>
  <c r="C22" i="5"/>
  <c r="I19" i="5"/>
  <c r="E17" i="5"/>
  <c r="O14" i="5"/>
  <c r="K12" i="5"/>
  <c r="G10" i="5"/>
  <c r="C8" i="5"/>
  <c r="M5" i="5"/>
  <c r="I3" i="5"/>
  <c r="O21" i="5"/>
  <c r="I12" i="5"/>
  <c r="K5" i="5"/>
  <c r="A2" i="6" l="1" a="1"/>
  <c r="D2" i="6" l="1"/>
  <c r="L2" i="6"/>
  <c r="T2" i="6"/>
  <c r="C3" i="6"/>
  <c r="K3" i="6"/>
  <c r="S3" i="6"/>
  <c r="B4" i="6"/>
  <c r="J4" i="6"/>
  <c r="R4" i="6"/>
  <c r="A5" i="6"/>
  <c r="I5" i="6"/>
  <c r="Q5" i="6"/>
  <c r="Y5" i="6"/>
  <c r="H6" i="6"/>
  <c r="P6" i="6"/>
  <c r="X6" i="6"/>
  <c r="G7" i="6"/>
  <c r="O7" i="6"/>
  <c r="W7" i="6"/>
  <c r="F2" i="6"/>
  <c r="N2" i="6"/>
  <c r="V2" i="6"/>
  <c r="E3" i="6"/>
  <c r="M3" i="6"/>
  <c r="U3" i="6"/>
  <c r="D4" i="6"/>
  <c r="L4" i="6"/>
  <c r="T4" i="6"/>
  <c r="C5" i="6"/>
  <c r="K5" i="6"/>
  <c r="S5" i="6"/>
  <c r="B6" i="6"/>
  <c r="J6" i="6"/>
  <c r="R6" i="6"/>
  <c r="A7" i="6"/>
  <c r="I7" i="6"/>
  <c r="Q7" i="6"/>
  <c r="Y7" i="6"/>
  <c r="H8" i="6"/>
  <c r="G2" i="6"/>
  <c r="Q2" i="6"/>
  <c r="B3" i="6"/>
  <c r="N3" i="6"/>
  <c r="X3" i="6"/>
  <c r="I4" i="6"/>
  <c r="U4" i="6"/>
  <c r="F5" i="6"/>
  <c r="P5" i="6"/>
  <c r="C6" i="6"/>
  <c r="M6" i="6"/>
  <c r="W6" i="6"/>
  <c r="J7" i="6"/>
  <c r="T7" i="6"/>
  <c r="E8" i="6"/>
  <c r="N8" i="6"/>
  <c r="V8" i="6"/>
  <c r="E9" i="6"/>
  <c r="M9" i="6"/>
  <c r="U9" i="6"/>
  <c r="D10" i="6"/>
  <c r="L10" i="6"/>
  <c r="T10" i="6"/>
  <c r="C11" i="6"/>
  <c r="K11" i="6"/>
  <c r="S11" i="6"/>
  <c r="B12" i="6"/>
  <c r="J12" i="6"/>
  <c r="R12" i="6"/>
  <c r="A13" i="6"/>
  <c r="I13" i="6"/>
  <c r="Q13" i="6"/>
  <c r="Y13" i="6"/>
  <c r="H14" i="6"/>
  <c r="P14" i="6"/>
  <c r="X14" i="6"/>
  <c r="G15" i="6"/>
  <c r="O15" i="6"/>
  <c r="W15" i="6"/>
  <c r="F16" i="6"/>
  <c r="N16" i="6"/>
  <c r="V16" i="6"/>
  <c r="I2" i="6"/>
  <c r="S2" i="6"/>
  <c r="F3" i="6"/>
  <c r="P3" i="6"/>
  <c r="A4" i="6"/>
  <c r="M4" i="6"/>
  <c r="W4" i="6"/>
  <c r="H5" i="6"/>
  <c r="T5" i="6"/>
  <c r="E6" i="6"/>
  <c r="O6" i="6"/>
  <c r="B7" i="6"/>
  <c r="L7" i="6"/>
  <c r="V7" i="6"/>
  <c r="G8" i="6"/>
  <c r="P8" i="6"/>
  <c r="X8" i="6"/>
  <c r="G9" i="6"/>
  <c r="O9" i="6"/>
  <c r="W9" i="6"/>
  <c r="F10" i="6"/>
  <c r="N10" i="6"/>
  <c r="V10" i="6"/>
  <c r="E11" i="6"/>
  <c r="M11" i="6"/>
  <c r="U11" i="6"/>
  <c r="D12" i="6"/>
  <c r="L12" i="6"/>
  <c r="T12" i="6"/>
  <c r="C13" i="6"/>
  <c r="K13" i="6"/>
  <c r="S13" i="6"/>
  <c r="B14" i="6"/>
  <c r="J14" i="6"/>
  <c r="R14" i="6"/>
  <c r="A15" i="6"/>
  <c r="I15" i="6"/>
  <c r="Q15" i="6"/>
  <c r="Y15" i="6"/>
  <c r="H16" i="6"/>
  <c r="P16" i="6"/>
  <c r="X16" i="6"/>
  <c r="J2" i="6"/>
  <c r="U2" i="6"/>
  <c r="G3" i="6"/>
  <c r="Q3" i="6"/>
  <c r="C4" i="6"/>
  <c r="N4" i="6"/>
  <c r="X4" i="6"/>
  <c r="J5" i="6"/>
  <c r="U5" i="6"/>
  <c r="F6" i="6"/>
  <c r="Q6" i="6"/>
  <c r="C7" i="6"/>
  <c r="M7" i="6"/>
  <c r="X7" i="6"/>
  <c r="I8" i="6"/>
  <c r="Q8" i="6"/>
  <c r="Y8" i="6"/>
  <c r="H9" i="6"/>
  <c r="P9" i="6"/>
  <c r="X9" i="6"/>
  <c r="G10" i="6"/>
  <c r="O10" i="6"/>
  <c r="W10" i="6"/>
  <c r="F11" i="6"/>
  <c r="N11" i="6"/>
  <c r="V11" i="6"/>
  <c r="E12" i="6"/>
  <c r="M12" i="6"/>
  <c r="U12" i="6"/>
  <c r="D13" i="6"/>
  <c r="L13" i="6"/>
  <c r="T13" i="6"/>
  <c r="C14" i="6"/>
  <c r="K14" i="6"/>
  <c r="S14" i="6"/>
  <c r="B15" i="6"/>
  <c r="J15" i="6"/>
  <c r="R15" i="6"/>
  <c r="A16" i="6"/>
  <c r="I16" i="6"/>
  <c r="Q16" i="6"/>
  <c r="Y16" i="6"/>
  <c r="A2" i="6"/>
  <c r="K2" i="6"/>
  <c r="W2" i="6"/>
  <c r="H3" i="6"/>
  <c r="R3" i="6"/>
  <c r="E4" i="6"/>
  <c r="O4" i="6"/>
  <c r="Y4" i="6"/>
  <c r="L5" i="6"/>
  <c r="V5" i="6"/>
  <c r="G6" i="6"/>
  <c r="S6" i="6"/>
  <c r="D7" i="6"/>
  <c r="N7" i="6"/>
  <c r="A8" i="6"/>
  <c r="J8" i="6"/>
  <c r="R8" i="6"/>
  <c r="A9" i="6"/>
  <c r="I9" i="6"/>
  <c r="Q9" i="6"/>
  <c r="Y9" i="6"/>
  <c r="H10" i="6"/>
  <c r="P10" i="6"/>
  <c r="X10" i="6"/>
  <c r="G11" i="6"/>
  <c r="O11" i="6"/>
  <c r="W11" i="6"/>
  <c r="F12" i="6"/>
  <c r="N12" i="6"/>
  <c r="V12" i="6"/>
  <c r="E13" i="6"/>
  <c r="M13" i="6"/>
  <c r="U13" i="6"/>
  <c r="D14" i="6"/>
  <c r="L14" i="6"/>
  <c r="T14" i="6"/>
  <c r="C15" i="6"/>
  <c r="K15" i="6"/>
  <c r="S15" i="6"/>
  <c r="B16" i="6"/>
  <c r="J16" i="6"/>
  <c r="R16" i="6"/>
  <c r="H2" i="6"/>
  <c r="D3" i="6"/>
  <c r="Y3" i="6"/>
  <c r="V4" i="6"/>
  <c r="R5" i="6"/>
  <c r="N6" i="6"/>
  <c r="K7" i="6"/>
  <c r="F8" i="6"/>
  <c r="W8" i="6"/>
  <c r="N9" i="6"/>
  <c r="E10" i="6"/>
  <c r="U10" i="6"/>
  <c r="L11" i="6"/>
  <c r="C12" i="6"/>
  <c r="S12" i="6"/>
  <c r="J13" i="6"/>
  <c r="A14" i="6"/>
  <c r="Q14" i="6"/>
  <c r="H15" i="6"/>
  <c r="X15" i="6"/>
  <c r="O16" i="6"/>
  <c r="M2" i="6"/>
  <c r="I3" i="6"/>
  <c r="F4" i="6"/>
  <c r="B5" i="6"/>
  <c r="W5" i="6"/>
  <c r="T6" i="6"/>
  <c r="P7" i="6"/>
  <c r="K8" i="6"/>
  <c r="B9" i="6"/>
  <c r="R9" i="6"/>
  <c r="I10" i="6"/>
  <c r="Y10" i="6"/>
  <c r="P11" i="6"/>
  <c r="G12" i="6"/>
  <c r="W12" i="6"/>
  <c r="N13" i="6"/>
  <c r="E14" i="6"/>
  <c r="U14" i="6"/>
  <c r="L15" i="6"/>
  <c r="C16" i="6"/>
  <c r="S16" i="6"/>
  <c r="O2" i="6"/>
  <c r="J3" i="6"/>
  <c r="G4" i="6"/>
  <c r="D5" i="6"/>
  <c r="X5" i="6"/>
  <c r="U6" i="6"/>
  <c r="R7" i="6"/>
  <c r="L8" i="6"/>
  <c r="C9" i="6"/>
  <c r="S9" i="6"/>
  <c r="J10" i="6"/>
  <c r="A11" i="6"/>
  <c r="Q11" i="6"/>
  <c r="H12" i="6"/>
  <c r="X12" i="6"/>
  <c r="O13" i="6"/>
  <c r="F14" i="6"/>
  <c r="V14" i="6"/>
  <c r="M15" i="6"/>
  <c r="D16" i="6"/>
  <c r="T16" i="6"/>
  <c r="P2" i="6"/>
  <c r="L3" i="6"/>
  <c r="H4" i="6"/>
  <c r="E5" i="6"/>
  <c r="A6" i="6"/>
  <c r="V6" i="6"/>
  <c r="S7" i="6"/>
  <c r="M8" i="6"/>
  <c r="D9" i="6"/>
  <c r="T9" i="6"/>
  <c r="K10" i="6"/>
  <c r="B11" i="6"/>
  <c r="R11" i="6"/>
  <c r="I12" i="6"/>
  <c r="Y12" i="6"/>
  <c r="P13" i="6"/>
  <c r="G14" i="6"/>
  <c r="W14" i="6"/>
  <c r="N15" i="6"/>
  <c r="E16" i="6"/>
  <c r="U16" i="6"/>
  <c r="R2" i="6"/>
  <c r="O3" i="6"/>
  <c r="K4" i="6"/>
  <c r="G5" i="6"/>
  <c r="D6" i="6"/>
  <c r="Y6" i="6"/>
  <c r="U7" i="6"/>
  <c r="O8" i="6"/>
  <c r="F9" i="6"/>
  <c r="V9" i="6"/>
  <c r="M10" i="6"/>
  <c r="D11" i="6"/>
  <c r="T11" i="6"/>
  <c r="K12" i="6"/>
  <c r="B13" i="6"/>
  <c r="R13" i="6"/>
  <c r="I14" i="6"/>
  <c r="Y14" i="6"/>
  <c r="P15" i="6"/>
  <c r="G16" i="6"/>
  <c r="W16" i="6"/>
  <c r="C2" i="6"/>
  <c r="Y2" i="6"/>
  <c r="V3" i="6"/>
  <c r="Q4" i="6"/>
  <c r="N5" i="6"/>
  <c r="K6" i="6"/>
  <c r="F7" i="6"/>
  <c r="C8" i="6"/>
  <c r="T8" i="6"/>
  <c r="K9" i="6"/>
  <c r="B10" i="6"/>
  <c r="R10" i="6"/>
  <c r="I11" i="6"/>
  <c r="Y11" i="6"/>
  <c r="P12" i="6"/>
  <c r="G13" i="6"/>
  <c r="W13" i="6"/>
  <c r="N14" i="6"/>
  <c r="E15" i="6"/>
  <c r="U15" i="6"/>
  <c r="L16" i="6"/>
  <c r="B2" i="6"/>
  <c r="M5" i="6"/>
  <c r="S8" i="6"/>
  <c r="H11" i="6"/>
  <c r="V13" i="6"/>
  <c r="K16" i="6"/>
  <c r="E2" i="6"/>
  <c r="O5" i="6"/>
  <c r="U8" i="6"/>
  <c r="J11" i="6"/>
  <c r="X13" i="6"/>
  <c r="M16" i="6"/>
  <c r="C10" i="6"/>
  <c r="X2" i="6"/>
  <c r="I6" i="6"/>
  <c r="J9" i="6"/>
  <c r="X11" i="6"/>
  <c r="M14" i="6"/>
  <c r="A3" i="6"/>
  <c r="L6" i="6"/>
  <c r="L9" i="6"/>
  <c r="A12" i="6"/>
  <c r="O14" i="6"/>
  <c r="H7" i="6"/>
  <c r="Q12" i="6"/>
  <c r="F15" i="6"/>
  <c r="S4" i="6"/>
  <c r="D8" i="6"/>
  <c r="S10" i="6"/>
  <c r="V15" i="6"/>
  <c r="T3" i="6"/>
  <c r="E7" i="6"/>
  <c r="A10" i="6"/>
  <c r="O12" i="6"/>
  <c r="D15" i="6"/>
  <c r="W3" i="6"/>
  <c r="P4" i="6"/>
  <c r="B8" i="6"/>
  <c r="Q10" i="6"/>
  <c r="F13" i="6"/>
  <c r="T15" i="6"/>
  <c r="H13" i="6"/>
  <c r="A2" i="7" l="1" a="1"/>
  <c r="B2" i="7" l="1"/>
  <c r="J2" i="7"/>
  <c r="C3" i="7"/>
  <c r="K3" i="7"/>
  <c r="D4" i="7"/>
  <c r="L4" i="7"/>
  <c r="C2" i="7"/>
  <c r="K2" i="7"/>
  <c r="D3" i="7"/>
  <c r="L3" i="7"/>
  <c r="E4" i="7"/>
  <c r="M4" i="7"/>
  <c r="D2" i="7"/>
  <c r="N2" i="7"/>
  <c r="I3" i="7"/>
  <c r="F4" i="7"/>
  <c r="A5" i="7"/>
  <c r="I5" i="7"/>
  <c r="B6" i="7"/>
  <c r="J6" i="7"/>
  <c r="C7" i="7"/>
  <c r="K7" i="7"/>
  <c r="D8" i="7"/>
  <c r="L8" i="7"/>
  <c r="E9" i="7"/>
  <c r="M9" i="7"/>
  <c r="F10" i="7"/>
  <c r="N10" i="7"/>
  <c r="G11" i="7"/>
  <c r="O11" i="7"/>
  <c r="H12" i="7"/>
  <c r="A13" i="7"/>
  <c r="I13" i="7"/>
  <c r="B14" i="7"/>
  <c r="J14" i="7"/>
  <c r="C15" i="7"/>
  <c r="K15" i="7"/>
  <c r="D16" i="7"/>
  <c r="L16" i="7"/>
  <c r="F2" i="7"/>
  <c r="A3" i="7"/>
  <c r="M3" i="7"/>
  <c r="H4" i="7"/>
  <c r="C5" i="7"/>
  <c r="K5" i="7"/>
  <c r="D6" i="7"/>
  <c r="L6" i="7"/>
  <c r="E7" i="7"/>
  <c r="M7" i="7"/>
  <c r="F8" i="7"/>
  <c r="N8" i="7"/>
  <c r="G9" i="7"/>
  <c r="O9" i="7"/>
  <c r="H10" i="7"/>
  <c r="A11" i="7"/>
  <c r="I11" i="7"/>
  <c r="B12" i="7"/>
  <c r="J12" i="7"/>
  <c r="C13" i="7"/>
  <c r="K13" i="7"/>
  <c r="D14" i="7"/>
  <c r="L14" i="7"/>
  <c r="E15" i="7"/>
  <c r="M15" i="7"/>
  <c r="F16" i="7"/>
  <c r="N16" i="7"/>
  <c r="H2" i="7"/>
  <c r="E3" i="7"/>
  <c r="O3" i="7"/>
  <c r="J4" i="7"/>
  <c r="E5" i="7"/>
  <c r="M5" i="7"/>
  <c r="F6" i="7"/>
  <c r="N6" i="7"/>
  <c r="G7" i="7"/>
  <c r="O7" i="7"/>
  <c r="H8" i="7"/>
  <c r="A9" i="7"/>
  <c r="I9" i="7"/>
  <c r="B10" i="7"/>
  <c r="J10" i="7"/>
  <c r="C11" i="7"/>
  <c r="K11" i="7"/>
  <c r="D12" i="7"/>
  <c r="L12" i="7"/>
  <c r="E13" i="7"/>
  <c r="M13" i="7"/>
  <c r="F14" i="7"/>
  <c r="N14" i="7"/>
  <c r="G15" i="7"/>
  <c r="O15" i="7"/>
  <c r="H16" i="7"/>
  <c r="E2" i="7"/>
  <c r="G3" i="7"/>
  <c r="I4" i="7"/>
  <c r="H5" i="7"/>
  <c r="G6" i="7"/>
  <c r="D7" i="7"/>
  <c r="B8" i="7"/>
  <c r="O8" i="7"/>
  <c r="L9" i="7"/>
  <c r="K10" i="7"/>
  <c r="H11" i="7"/>
  <c r="F12" i="7"/>
  <c r="D13" i="7"/>
  <c r="A14" i="7"/>
  <c r="O14" i="7"/>
  <c r="L15" i="7"/>
  <c r="J16" i="7"/>
  <c r="G2" i="7"/>
  <c r="H3" i="7"/>
  <c r="K4" i="7"/>
  <c r="J5" i="7"/>
  <c r="H6" i="7"/>
  <c r="F7" i="7"/>
  <c r="C8" i="7"/>
  <c r="B9" i="7"/>
  <c r="N9" i="7"/>
  <c r="L10" i="7"/>
  <c r="J11" i="7"/>
  <c r="G12" i="7"/>
  <c r="F13" i="7"/>
  <c r="C14" i="7"/>
  <c r="A15" i="7"/>
  <c r="N15" i="7"/>
  <c r="I2" i="7"/>
  <c r="J3" i="7"/>
  <c r="N4" i="7"/>
  <c r="L5" i="7"/>
  <c r="I6" i="7"/>
  <c r="H7" i="7"/>
  <c r="E8" i="7"/>
  <c r="C9" i="7"/>
  <c r="A10" i="7"/>
  <c r="M10" i="7"/>
  <c r="L11" i="7"/>
  <c r="I12" i="7"/>
  <c r="G13" i="7"/>
  <c r="E14" i="7"/>
  <c r="B15" i="7"/>
  <c r="A16" i="7"/>
  <c r="M16" i="7"/>
  <c r="L2" i="7"/>
  <c r="N3" i="7"/>
  <c r="O4" i="7"/>
  <c r="N5" i="7"/>
  <c r="K6" i="7"/>
  <c r="I7" i="7"/>
  <c r="G8" i="7"/>
  <c r="D9" i="7"/>
  <c r="C10" i="7"/>
  <c r="O10" i="7"/>
  <c r="M11" i="7"/>
  <c r="K12" i="7"/>
  <c r="H13" i="7"/>
  <c r="G14" i="7"/>
  <c r="D15" i="7"/>
  <c r="B16" i="7"/>
  <c r="O16" i="7"/>
  <c r="M2" i="7"/>
  <c r="A4" i="7"/>
  <c r="B5" i="7"/>
  <c r="O5" i="7"/>
  <c r="M6" i="7"/>
  <c r="J7" i="7"/>
  <c r="I8" i="7"/>
  <c r="F9" i="7"/>
  <c r="D10" i="7"/>
  <c r="B11" i="7"/>
  <c r="N11" i="7"/>
  <c r="M12" i="7"/>
  <c r="J13" i="7"/>
  <c r="H14" i="7"/>
  <c r="F15" i="7"/>
  <c r="C16" i="7"/>
  <c r="C4" i="7"/>
  <c r="O6" i="7"/>
  <c r="M8" i="7"/>
  <c r="E11" i="7"/>
  <c r="L13" i="7"/>
  <c r="J15" i="7"/>
  <c r="G4" i="7"/>
  <c r="A7" i="7"/>
  <c r="H9" i="7"/>
  <c r="F11" i="7"/>
  <c r="N13" i="7"/>
  <c r="E16" i="7"/>
  <c r="D5" i="7"/>
  <c r="B7" i="7"/>
  <c r="J9" i="7"/>
  <c r="A12" i="7"/>
  <c r="O13" i="7"/>
  <c r="G16" i="7"/>
  <c r="A2" i="7"/>
  <c r="F5" i="7"/>
  <c r="L7" i="7"/>
  <c r="K9" i="7"/>
  <c r="C12" i="7"/>
  <c r="I14" i="7"/>
  <c r="I16" i="7"/>
  <c r="O2" i="7"/>
  <c r="G5" i="7"/>
  <c r="N7" i="7"/>
  <c r="E10" i="7"/>
  <c r="E12" i="7"/>
  <c r="K14" i="7"/>
  <c r="K16" i="7"/>
  <c r="F3" i="7"/>
  <c r="C6" i="7"/>
  <c r="J8" i="7"/>
  <c r="I10" i="7"/>
  <c r="O12" i="7"/>
  <c r="H15" i="7"/>
  <c r="B4" i="7"/>
  <c r="E6" i="7"/>
  <c r="K8" i="7"/>
  <c r="A6" i="7"/>
  <c r="A8" i="7"/>
  <c r="G10" i="7"/>
  <c r="B13" i="7"/>
  <c r="D11" i="7"/>
  <c r="N12" i="7"/>
  <c r="B3" i="7"/>
  <c r="M14" i="7"/>
  <c r="I15" i="7"/>
  <c r="A2" i="8" l="1" a="1"/>
  <c r="B2" i="8" l="1"/>
  <c r="J2" i="8"/>
  <c r="C3" i="8"/>
  <c r="K3" i="8"/>
  <c r="D4" i="8"/>
  <c r="L4" i="8"/>
  <c r="E5" i="8"/>
  <c r="M5" i="8"/>
  <c r="F6" i="8"/>
  <c r="N6" i="8"/>
  <c r="G7" i="8"/>
  <c r="O7" i="8"/>
  <c r="H8" i="8"/>
  <c r="A9" i="8"/>
  <c r="I9" i="8"/>
  <c r="B10" i="8"/>
  <c r="J10" i="8"/>
  <c r="C11" i="8"/>
  <c r="K11" i="8"/>
  <c r="D12" i="8"/>
  <c r="L12" i="8"/>
  <c r="E13" i="8"/>
  <c r="M13" i="8"/>
  <c r="F14" i="8"/>
  <c r="N14" i="8"/>
  <c r="G15" i="8"/>
  <c r="O15" i="8"/>
  <c r="H16" i="8"/>
  <c r="D2" i="8"/>
  <c r="L2" i="8"/>
  <c r="E3" i="8"/>
  <c r="M3" i="8"/>
  <c r="F4" i="8"/>
  <c r="N4" i="8"/>
  <c r="G5" i="8"/>
  <c r="O5" i="8"/>
  <c r="H6" i="8"/>
  <c r="A7" i="8"/>
  <c r="I7" i="8"/>
  <c r="B8" i="8"/>
  <c r="J8" i="8"/>
  <c r="C9" i="8"/>
  <c r="K9" i="8"/>
  <c r="D10" i="8"/>
  <c r="L10" i="8"/>
  <c r="E11" i="8"/>
  <c r="M11" i="8"/>
  <c r="F12" i="8"/>
  <c r="N12" i="8"/>
  <c r="G13" i="8"/>
  <c r="O13" i="8"/>
  <c r="H14" i="8"/>
  <c r="A15" i="8"/>
  <c r="I15" i="8"/>
  <c r="B16" i="8"/>
  <c r="J16" i="8"/>
  <c r="E2" i="8"/>
  <c r="M2" i="8"/>
  <c r="F3" i="8"/>
  <c r="N3" i="8"/>
  <c r="G4" i="8"/>
  <c r="O4" i="8"/>
  <c r="H5" i="8"/>
  <c r="A6" i="8"/>
  <c r="I6" i="8"/>
  <c r="B7" i="8"/>
  <c r="J7" i="8"/>
  <c r="C8" i="8"/>
  <c r="K8" i="8"/>
  <c r="D9" i="8"/>
  <c r="L9" i="8"/>
  <c r="E10" i="8"/>
  <c r="M10" i="8"/>
  <c r="F11" i="8"/>
  <c r="N11" i="8"/>
  <c r="G12" i="8"/>
  <c r="O12" i="8"/>
  <c r="H13" i="8"/>
  <c r="A14" i="8"/>
  <c r="I14" i="8"/>
  <c r="B15" i="8"/>
  <c r="J15" i="8"/>
  <c r="C16" i="8"/>
  <c r="K16" i="8"/>
  <c r="F2" i="8"/>
  <c r="N2" i="8"/>
  <c r="G3" i="8"/>
  <c r="O3" i="8"/>
  <c r="H4" i="8"/>
  <c r="A5" i="8"/>
  <c r="I5" i="8"/>
  <c r="B6" i="8"/>
  <c r="J6" i="8"/>
  <c r="C7" i="8"/>
  <c r="K7" i="8"/>
  <c r="D8" i="8"/>
  <c r="L8" i="8"/>
  <c r="E9" i="8"/>
  <c r="M9" i="8"/>
  <c r="F10" i="8"/>
  <c r="N10" i="8"/>
  <c r="G11" i="8"/>
  <c r="O11" i="8"/>
  <c r="H12" i="8"/>
  <c r="A13" i="8"/>
  <c r="I13" i="8"/>
  <c r="A2" i="8"/>
  <c r="B3" i="8"/>
  <c r="C4" i="8"/>
  <c r="D5" i="8"/>
  <c r="E6" i="8"/>
  <c r="F7" i="8"/>
  <c r="G8" i="8"/>
  <c r="H9" i="8"/>
  <c r="I10" i="8"/>
  <c r="J11" i="8"/>
  <c r="K12" i="8"/>
  <c r="L13" i="8"/>
  <c r="K14" i="8"/>
  <c r="H15" i="8"/>
  <c r="F16" i="8"/>
  <c r="G2" i="8"/>
  <c r="H3" i="8"/>
  <c r="I4" i="8"/>
  <c r="J5" i="8"/>
  <c r="K6" i="8"/>
  <c r="L7" i="8"/>
  <c r="M8" i="8"/>
  <c r="N9" i="8"/>
  <c r="O10" i="8"/>
  <c r="A12" i="8"/>
  <c r="B13" i="8"/>
  <c r="B14" i="8"/>
  <c r="M14" i="8"/>
  <c r="L15" i="8"/>
  <c r="I16" i="8"/>
  <c r="I2" i="8"/>
  <c r="J3" i="8"/>
  <c r="K4" i="8"/>
  <c r="L5" i="8"/>
  <c r="M6" i="8"/>
  <c r="N7" i="8"/>
  <c r="O8" i="8"/>
  <c r="A10" i="8"/>
  <c r="B11" i="8"/>
  <c r="C12" i="8"/>
  <c r="D13" i="8"/>
  <c r="D14" i="8"/>
  <c r="C15" i="8"/>
  <c r="N15" i="8"/>
  <c r="M16" i="8"/>
  <c r="O2" i="8"/>
  <c r="J4" i="8"/>
  <c r="D6" i="8"/>
  <c r="A8" i="8"/>
  <c r="J9" i="8"/>
  <c r="H11" i="8"/>
  <c r="C13" i="8"/>
  <c r="J14" i="8"/>
  <c r="A16" i="8"/>
  <c r="A3" i="8"/>
  <c r="M4" i="8"/>
  <c r="G6" i="8"/>
  <c r="E8" i="8"/>
  <c r="O9" i="8"/>
  <c r="I11" i="8"/>
  <c r="F13" i="8"/>
  <c r="L14" i="8"/>
  <c r="D16" i="8"/>
  <c r="D3" i="8"/>
  <c r="B5" i="8"/>
  <c r="L6" i="8"/>
  <c r="F8" i="8"/>
  <c r="C10" i="8"/>
  <c r="L11" i="8"/>
  <c r="J13" i="8"/>
  <c r="O14" i="8"/>
  <c r="E16" i="8"/>
  <c r="I3" i="8"/>
  <c r="C5" i="8"/>
  <c r="O6" i="8"/>
  <c r="I8" i="8"/>
  <c r="G10" i="8"/>
  <c r="B12" i="8"/>
  <c r="K13" i="8"/>
  <c r="D15" i="8"/>
  <c r="G16" i="8"/>
  <c r="L3" i="8"/>
  <c r="F5" i="8"/>
  <c r="D7" i="8"/>
  <c r="N8" i="8"/>
  <c r="H10" i="8"/>
  <c r="E12" i="8"/>
  <c r="N13" i="8"/>
  <c r="E15" i="8"/>
  <c r="L16" i="8"/>
  <c r="K2" i="8"/>
  <c r="H7" i="8"/>
  <c r="I12" i="8"/>
  <c r="M15" i="8"/>
  <c r="A4" i="8"/>
  <c r="M7" i="8"/>
  <c r="J12" i="8"/>
  <c r="N16" i="8"/>
  <c r="B4" i="8"/>
  <c r="B9" i="8"/>
  <c r="M12" i="8"/>
  <c r="O16" i="8"/>
  <c r="E4" i="8"/>
  <c r="F9" i="8"/>
  <c r="C14" i="8"/>
  <c r="K5" i="8"/>
  <c r="G9" i="8"/>
  <c r="E14" i="8"/>
  <c r="C2" i="8"/>
  <c r="C6" i="8"/>
  <c r="A11" i="8"/>
  <c r="F15" i="8"/>
  <c r="H2" i="8"/>
  <c r="E7" i="8"/>
  <c r="D11" i="8"/>
  <c r="K15" i="8"/>
  <c r="K10" i="8"/>
  <c r="N5" i="8"/>
  <c r="G14" i="8"/>
  <c r="A2" i="9" l="1" a="1"/>
  <c r="B2" i="9" l="1"/>
  <c r="J2" i="9"/>
  <c r="R2" i="9"/>
  <c r="A3" i="9"/>
  <c r="I3" i="9"/>
  <c r="Q3" i="9"/>
  <c r="Y3" i="9"/>
  <c r="H4" i="9"/>
  <c r="P4" i="9"/>
  <c r="X4" i="9"/>
  <c r="G5" i="9"/>
  <c r="O5" i="9"/>
  <c r="W5" i="9"/>
  <c r="F6" i="9"/>
  <c r="N6" i="9"/>
  <c r="V6" i="9"/>
  <c r="E7" i="9"/>
  <c r="M7" i="9"/>
  <c r="U7" i="9"/>
  <c r="D8" i="9"/>
  <c r="L8" i="9"/>
  <c r="T8" i="9"/>
  <c r="C9" i="9"/>
  <c r="K9" i="9"/>
  <c r="S9" i="9"/>
  <c r="B10" i="9"/>
  <c r="J10" i="9"/>
  <c r="R10" i="9"/>
  <c r="A11" i="9"/>
  <c r="I11" i="9"/>
  <c r="Q11" i="9"/>
  <c r="Y11" i="9"/>
  <c r="H12" i="9"/>
  <c r="P12" i="9"/>
  <c r="X12" i="9"/>
  <c r="G13" i="9"/>
  <c r="O13" i="9"/>
  <c r="W13" i="9"/>
  <c r="F14" i="9"/>
  <c r="N14" i="9"/>
  <c r="V14" i="9"/>
  <c r="E15" i="9"/>
  <c r="M15" i="9"/>
  <c r="U15" i="9"/>
  <c r="D16" i="9"/>
  <c r="L16" i="9"/>
  <c r="T16" i="9"/>
  <c r="C2" i="9"/>
  <c r="K2" i="9"/>
  <c r="S2" i="9"/>
  <c r="B3" i="9"/>
  <c r="J3" i="9"/>
  <c r="R3" i="9"/>
  <c r="D2" i="9"/>
  <c r="L2" i="9"/>
  <c r="T2" i="9"/>
  <c r="C3" i="9"/>
  <c r="K3" i="9"/>
  <c r="S3" i="9"/>
  <c r="B4" i="9"/>
  <c r="J4" i="9"/>
  <c r="R4" i="9"/>
  <c r="A5" i="9"/>
  <c r="I5" i="9"/>
  <c r="Q5" i="9"/>
  <c r="Y5" i="9"/>
  <c r="H6" i="9"/>
  <c r="P6" i="9"/>
  <c r="X6" i="9"/>
  <c r="G7" i="9"/>
  <c r="O7" i="9"/>
  <c r="W7" i="9"/>
  <c r="F8" i="9"/>
  <c r="N8" i="9"/>
  <c r="V8" i="9"/>
  <c r="E9" i="9"/>
  <c r="M9" i="9"/>
  <c r="U9" i="9"/>
  <c r="D10" i="9"/>
  <c r="L10" i="9"/>
  <c r="T10" i="9"/>
  <c r="C11" i="9"/>
  <c r="K11" i="9"/>
  <c r="S11" i="9"/>
  <c r="B12" i="9"/>
  <c r="J12" i="9"/>
  <c r="R12" i="9"/>
  <c r="A13" i="9"/>
  <c r="I13" i="9"/>
  <c r="Q13" i="9"/>
  <c r="Y13" i="9"/>
  <c r="H14" i="9"/>
  <c r="P14" i="9"/>
  <c r="X14" i="9"/>
  <c r="G15" i="9"/>
  <c r="O15" i="9"/>
  <c r="W15" i="9"/>
  <c r="F16" i="9"/>
  <c r="N16" i="9"/>
  <c r="V16" i="9"/>
  <c r="E2" i="9"/>
  <c r="M2" i="9"/>
  <c r="U2" i="9"/>
  <c r="D3" i="9"/>
  <c r="L3" i="9"/>
  <c r="T3" i="9"/>
  <c r="C4" i="9"/>
  <c r="K4" i="9"/>
  <c r="S4" i="9"/>
  <c r="B5" i="9"/>
  <c r="J5" i="9"/>
  <c r="R5" i="9"/>
  <c r="A6" i="9"/>
  <c r="I6" i="9"/>
  <c r="Q6" i="9"/>
  <c r="Y6" i="9"/>
  <c r="H7" i="9"/>
  <c r="P7" i="9"/>
  <c r="X7" i="9"/>
  <c r="G8" i="9"/>
  <c r="O8" i="9"/>
  <c r="W8" i="9"/>
  <c r="F9" i="9"/>
  <c r="N9" i="9"/>
  <c r="V9" i="9"/>
  <c r="E10" i="9"/>
  <c r="M10" i="9"/>
  <c r="U10" i="9"/>
  <c r="D11" i="9"/>
  <c r="L11" i="9"/>
  <c r="T11" i="9"/>
  <c r="C12" i="9"/>
  <c r="K12" i="9"/>
  <c r="S12" i="9"/>
  <c r="B13" i="9"/>
  <c r="J13" i="9"/>
  <c r="R13" i="9"/>
  <c r="A14" i="9"/>
  <c r="I14" i="9"/>
  <c r="Q14" i="9"/>
  <c r="Y14" i="9"/>
  <c r="H15" i="9"/>
  <c r="P15" i="9"/>
  <c r="X15" i="9"/>
  <c r="G16" i="9"/>
  <c r="O16" i="9"/>
  <c r="W16" i="9"/>
  <c r="F2" i="9"/>
  <c r="N2" i="9"/>
  <c r="V2" i="9"/>
  <c r="E3" i="9"/>
  <c r="M3" i="9"/>
  <c r="U3" i="9"/>
  <c r="D4" i="9"/>
  <c r="L4" i="9"/>
  <c r="T4" i="9"/>
  <c r="C5" i="9"/>
  <c r="K5" i="9"/>
  <c r="S5" i="9"/>
  <c r="B6" i="9"/>
  <c r="J6" i="9"/>
  <c r="R6" i="9"/>
  <c r="A7" i="9"/>
  <c r="I7" i="9"/>
  <c r="Q7" i="9"/>
  <c r="Y7" i="9"/>
  <c r="H8" i="9"/>
  <c r="P8" i="9"/>
  <c r="X8" i="9"/>
  <c r="G9" i="9"/>
  <c r="O9" i="9"/>
  <c r="W9" i="9"/>
  <c r="F10" i="9"/>
  <c r="N10" i="9"/>
  <c r="V10" i="9"/>
  <c r="E11" i="9"/>
  <c r="M11" i="9"/>
  <c r="U11" i="9"/>
  <c r="D12" i="9"/>
  <c r="L12" i="9"/>
  <c r="T12" i="9"/>
  <c r="C13" i="9"/>
  <c r="K13" i="9"/>
  <c r="S13" i="9"/>
  <c r="B14" i="9"/>
  <c r="J14" i="9"/>
  <c r="R14" i="9"/>
  <c r="A15" i="9"/>
  <c r="I15" i="9"/>
  <c r="Q15" i="9"/>
  <c r="Y15" i="9"/>
  <c r="H16" i="9"/>
  <c r="P16" i="9"/>
  <c r="X16" i="9"/>
  <c r="P2" i="9"/>
  <c r="N3" i="9"/>
  <c r="F4" i="9"/>
  <c r="V4" i="9"/>
  <c r="M5" i="9"/>
  <c r="D6" i="9"/>
  <c r="T6" i="9"/>
  <c r="K7" i="9"/>
  <c r="B8" i="9"/>
  <c r="R8" i="9"/>
  <c r="I9" i="9"/>
  <c r="Y9" i="9"/>
  <c r="P10" i="9"/>
  <c r="G11" i="9"/>
  <c r="W11" i="9"/>
  <c r="N12" i="9"/>
  <c r="E13" i="9"/>
  <c r="U13" i="9"/>
  <c r="L14" i="9"/>
  <c r="C15" i="9"/>
  <c r="S15" i="9"/>
  <c r="J16" i="9"/>
  <c r="Q2" i="9"/>
  <c r="O3" i="9"/>
  <c r="G4" i="9"/>
  <c r="W4" i="9"/>
  <c r="N5" i="9"/>
  <c r="E6" i="9"/>
  <c r="U6" i="9"/>
  <c r="L7" i="9"/>
  <c r="C8" i="9"/>
  <c r="S8" i="9"/>
  <c r="J9" i="9"/>
  <c r="A10" i="9"/>
  <c r="Q10" i="9"/>
  <c r="H11" i="9"/>
  <c r="X11" i="9"/>
  <c r="O12" i="9"/>
  <c r="F13" i="9"/>
  <c r="V13" i="9"/>
  <c r="M14" i="9"/>
  <c r="D15" i="9"/>
  <c r="T15" i="9"/>
  <c r="K16" i="9"/>
  <c r="A2" i="9"/>
  <c r="X2" i="9"/>
  <c r="V3" i="9"/>
  <c r="M4" i="9"/>
  <c r="D5" i="9"/>
  <c r="T5" i="9"/>
  <c r="K6" i="9"/>
  <c r="B7" i="9"/>
  <c r="R7" i="9"/>
  <c r="I8" i="9"/>
  <c r="Y8" i="9"/>
  <c r="P9" i="9"/>
  <c r="G10" i="9"/>
  <c r="W10" i="9"/>
  <c r="N11" i="9"/>
  <c r="E12" i="9"/>
  <c r="U12" i="9"/>
  <c r="L13" i="9"/>
  <c r="C14" i="9"/>
  <c r="S14" i="9"/>
  <c r="J15" i="9"/>
  <c r="A16" i="9"/>
  <c r="Q16" i="9"/>
  <c r="H2" i="9"/>
  <c r="F3" i="9"/>
  <c r="X3" i="9"/>
  <c r="O4" i="9"/>
  <c r="F5" i="9"/>
  <c r="V5" i="9"/>
  <c r="M6" i="9"/>
  <c r="D7" i="9"/>
  <c r="T7" i="9"/>
  <c r="K8" i="9"/>
  <c r="B9" i="9"/>
  <c r="R9" i="9"/>
  <c r="I10" i="9"/>
  <c r="Y10" i="9"/>
  <c r="P11" i="9"/>
  <c r="G12" i="9"/>
  <c r="W12" i="9"/>
  <c r="N13" i="9"/>
  <c r="E14" i="9"/>
  <c r="U14" i="9"/>
  <c r="L15" i="9"/>
  <c r="C16" i="9"/>
  <c r="S16" i="9"/>
  <c r="I2" i="9"/>
  <c r="G3" i="9"/>
  <c r="A4" i="9"/>
  <c r="Q4" i="9"/>
  <c r="H5" i="9"/>
  <c r="X5" i="9"/>
  <c r="O6" i="9"/>
  <c r="E4" i="9"/>
  <c r="U5" i="9"/>
  <c r="J7" i="9"/>
  <c r="Q8" i="9"/>
  <c r="X9" i="9"/>
  <c r="F11" i="9"/>
  <c r="M12" i="9"/>
  <c r="T13" i="9"/>
  <c r="B15" i="9"/>
  <c r="I16" i="9"/>
  <c r="G2" i="9"/>
  <c r="I4" i="9"/>
  <c r="C6" i="9"/>
  <c r="N7" i="9"/>
  <c r="U8" i="9"/>
  <c r="C10" i="9"/>
  <c r="J11" i="9"/>
  <c r="Q12" i="9"/>
  <c r="X13" i="9"/>
  <c r="F15" i="9"/>
  <c r="M16" i="9"/>
  <c r="O2" i="9"/>
  <c r="N4" i="9"/>
  <c r="G6" i="9"/>
  <c r="S7" i="9"/>
  <c r="A9" i="9"/>
  <c r="H10" i="9"/>
  <c r="O11" i="9"/>
  <c r="V12" i="9"/>
  <c r="D14" i="9"/>
  <c r="K15" i="9"/>
  <c r="R16" i="9"/>
  <c r="W2" i="9"/>
  <c r="U4" i="9"/>
  <c r="L6" i="9"/>
  <c r="V7" i="9"/>
  <c r="D9" i="9"/>
  <c r="K10" i="9"/>
  <c r="R11" i="9"/>
  <c r="Y12" i="9"/>
  <c r="G14" i="9"/>
  <c r="N15" i="9"/>
  <c r="U16" i="9"/>
  <c r="Y2" i="9"/>
  <c r="Y4" i="9"/>
  <c r="S6" i="9"/>
  <c r="A8" i="9"/>
  <c r="H9" i="9"/>
  <c r="O10" i="9"/>
  <c r="V11" i="9"/>
  <c r="D13" i="9"/>
  <c r="K14" i="9"/>
  <c r="R15" i="9"/>
  <c r="Y16" i="9"/>
  <c r="H3" i="9"/>
  <c r="F7" i="9"/>
  <c r="X10" i="9"/>
  <c r="O14" i="9"/>
  <c r="P3" i="9"/>
  <c r="E8" i="9"/>
  <c r="B11" i="9"/>
  <c r="T14" i="9"/>
  <c r="W3" i="9"/>
  <c r="J8" i="9"/>
  <c r="A12" i="9"/>
  <c r="W14" i="9"/>
  <c r="E5" i="9"/>
  <c r="M8" i="9"/>
  <c r="F12" i="9"/>
  <c r="V15" i="9"/>
  <c r="L5" i="9"/>
  <c r="L9" i="9"/>
  <c r="I12" i="9"/>
  <c r="B16" i="9"/>
  <c r="W6" i="9"/>
  <c r="T9" i="9"/>
  <c r="M13" i="9"/>
  <c r="C7" i="9"/>
  <c r="S10" i="9"/>
  <c r="P13" i="9"/>
  <c r="P5" i="9"/>
  <c r="Q9" i="9"/>
  <c r="H13" i="9"/>
  <c r="E16" i="9"/>
  <c r="B3" i="10" l="1" a="1"/>
  <c r="B4" i="10" l="1"/>
  <c r="B12" i="10"/>
  <c r="B5" i="10"/>
  <c r="B13" i="10"/>
  <c r="B6" i="10"/>
  <c r="B14" i="10"/>
  <c r="B7" i="10"/>
  <c r="B15" i="10"/>
  <c r="B8" i="10"/>
  <c r="B16" i="10"/>
  <c r="B11" i="10"/>
  <c r="B17" i="10"/>
  <c r="B3" i="10"/>
  <c r="B15" i="11" s="1"/>
  <c r="B9" i="10"/>
  <c r="B10" i="10"/>
</calcChain>
</file>

<file path=xl/sharedStrings.xml><?xml version="1.0" encoding="utf-8"?>
<sst xmlns="http://schemas.openxmlformats.org/spreadsheetml/2006/main" count="186" uniqueCount="80">
  <si>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</si>
  <si>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</si>
  <si>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</si>
  <si>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</si>
  <si>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</si>
  <si>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</si>
  <si>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</si>
  <si>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</si>
  <si>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</si>
  <si>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</si>
  <si>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</si>
  <si>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</si>
  <si>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</si>
  <si>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</si>
  <si>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</si>
  <si>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</si>
  <si>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</si>
  <si>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</si>
  <si>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</si>
  <si>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Função Teórica</t>
  </si>
  <si>
    <t>Função Selecionada</t>
  </si>
  <si>
    <t>C(3)</t>
  </si>
  <si>
    <t>C(4)</t>
  </si>
  <si>
    <t>VS(3)</t>
  </si>
  <si>
    <t>VS(4)</t>
  </si>
  <si>
    <t>C(5)</t>
  </si>
  <si>
    <t>C(6)</t>
  </si>
  <si>
    <t>C(7)</t>
  </si>
  <si>
    <t>C(8)</t>
  </si>
  <si>
    <t>C(9)</t>
  </si>
  <si>
    <t>C(10)</t>
  </si>
  <si>
    <t>C(11)</t>
  </si>
  <si>
    <t>C(12)</t>
  </si>
  <si>
    <t>C(13)</t>
  </si>
  <si>
    <t>VS(5)</t>
  </si>
  <si>
    <t>VS(6)</t>
  </si>
  <si>
    <t>VS(7)</t>
  </si>
  <si>
    <t>VS(8)</t>
  </si>
  <si>
    <t>VS(9)</t>
  </si>
  <si>
    <t>VS(10)</t>
  </si>
  <si>
    <t>VS(11)</t>
  </si>
  <si>
    <t>VS(12)</t>
  </si>
  <si>
    <t>VS(13)</t>
  </si>
  <si>
    <t>Média</t>
  </si>
  <si>
    <t>R^2</t>
  </si>
  <si>
    <t>Números decimais</t>
  </si>
  <si>
    <t>LÇ</t>
  </si>
  <si>
    <t>X01</t>
  </si>
  <si>
    <t>X02</t>
  </si>
  <si>
    <t>X03</t>
  </si>
  <si>
    <t>X04</t>
  </si>
  <si>
    <t>X05</t>
  </si>
  <si>
    <t>X06</t>
  </si>
  <si>
    <t>X07</t>
  </si>
  <si>
    <t>X08</t>
  </si>
  <si>
    <t>X09</t>
  </si>
  <si>
    <t>X10</t>
  </si>
  <si>
    <t>X11</t>
  </si>
  <si>
    <t>X12</t>
  </si>
  <si>
    <t>X13</t>
  </si>
  <si>
    <t>EXP</t>
  </si>
  <si>
    <t>EXP Experimental</t>
  </si>
  <si>
    <t>EXP Teórica</t>
  </si>
  <si>
    <t>X14</t>
  </si>
  <si>
    <t>C(14)</t>
  </si>
  <si>
    <t>VS(14)</t>
  </si>
  <si>
    <t>Outlayers</t>
  </si>
  <si>
    <t>Outlayer</t>
  </si>
  <si>
    <t>-</t>
  </si>
  <si>
    <t>f(X) = -730,10547 * EXP(-4,27685E-08 * ||X - (0,00000;0,00000;0,00000;0,00000;0,00000;0,00000;0,00000;0,00000;0,00000;0,00000;0,00000;0,00000;0,00000;0,00000)|| ^ 2)
+46802549,04488 * EXP(-4,27685E-08 * ||X - (5001,15602;3781,33127;4107,99981;2053,10489;2140,88022;5491,51809;100,34185;5392,18426;5773,22244;5025,89211;322,41118;2935,21499;6114,31089;5603,06556)|| ^ 2)
-9281280,62039 * EXP(-4,27685E-08 * ||X - (2648,21949;6818,28136;6176,86352;399,54593;6730,42830;2580,76983;3720,69852;5437,45597;380,18209;4199,70190;3322,63836;2114,07346;4413,99925;4592,05441)|| ^ 2)
-110662812,85030 * EXP(-4,27685E-08 * ||X - (1870,47838;1980,67371;5881,73445;5844,88609;4176,34879;6989,35952;6456,92764;1608,78036;4927,22528;6946,20072;1729,72103;3784,51373;754,83296;7083,76716)|| ^ 2)
-3653721,27891 * EXP(-4,27685E-08 * ||X - (4793,00182;112,29234;4077,27940;710,06181;731,11277;5662,62666;2017,08783;324,51184;2097,11738;2708,27777;2133,95264;6723,44370;6944,96854;2845,50627)|| ^ 2)
+158255,53634 * EXP(-4,27685E-08 * ||X - (1973,14673;1138,03558;1154,90295;4583,30877;2907,15451;2926,24378;5052,06102;2312,79602;4488,28567;1471,96835;1319,26221;4135,21631;573,01790;3246,60527)|| ^ 2)
-54361036,60331 * EXP(-4,27685E-08 * ||X - (6419,83132;1853,29503;5565,73312;2686,25061;2053,83186;6516,54829;4478,10551;4449,04645;3037,43432;695,33227;3977,04414;4922,75910;6476,43974;5917,27925)|| ^ 2)
+2102748,16003 * EXP(-4,27685E-08 * ||X - (161,37125;3851,75092;6493,77727;3050,22457;4805,55847;3561,84880;3641,81456;3282,10064;2506,03101;2870,02566;1912,56509;394,98640;1729,11022;6939,64318)|| ^ 2)
-2665618,79914 * EXP(-4,27685E-08 * ||X - (432,70832;2766,96278;2587,69192;3472,84298;1104,17114;3363,45234;1824,23428;4456,91178;3842,60610;1108,70067;6652,39086;4639,38242;3587,59868;2768,23847)|| ^ 2)
-144809,91295 * EXP(-4,27685E-08 * ||X - (761,95991;5557,10871;3258,43579;5342,32431;4225,47205;5902,48888;133,93890;1491,86485;525,10105;748,33413;2351,69055;909,89617;2,70951;3805,21451)|| ^ 2)
-2359056,66141 * EXP(-4,27685E-08 * ||X - (4657,49338;3856,38141;5864,79822;581,37281;1361,13855;4812,40199;3219,93284;2531,19290;1063,90334;4992,99373;6583,22831;3758,57166;636,28103;5370,96392)|| ^ 2)
+3594379,22823 * EXP(-4,27685E-08 * ||X - (2848,82095;3274,26488;3488,93649;1472,43723;2337,81090;677,29776;4180,81032;1204,87907;6574,94057;695,02053;3146,61628;1935,35132;6184,66633;5321,06088)|| ^ 2)
-91053,28896 * EXP(-4,27685E-08 * ||X - (1935,31964;4775,07756;1819,70770;638,08938;220,34435;2288,07303;5600,57713;2107,64264;1668,42551;3406,08396;1805,34227;2414,85019;319,44246;3419,92728)|| ^ 2)
-8555573,60254 * EXP(-4,27685E-08 * ||X - (1461,02658;6127,88345;4172,56143;5350,97195;6576,82960;2346,88898;3848,77840;572,85274;4496,74069;2906,89557;6807,43590;813,32577;6545,37841;4396,37322)|| ^ 2)
+6993,81391</t>
  </si>
  <si>
    <t>Gaussiana (G)</t>
  </si>
  <si>
    <t>Problema</t>
  </si>
  <si>
    <t>Quantidade
de Lições</t>
  </si>
  <si>
    <t>Número de Variáveis</t>
  </si>
  <si>
    <t>Tipo de Dado da Saída</t>
  </si>
  <si>
    <t>Tipo de Dado da Saída Escolhido no Software</t>
  </si>
  <si>
    <t>Coeficiente de Acerto</t>
  </si>
  <si>
    <t>Número de Produtos Vendidos</t>
  </si>
  <si>
    <t>Gaussiana</t>
  </si>
  <si>
    <t>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</si>
</sst>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5" fillId="2" borderId="3" applyNumberFormat="0" applyAlignment="0" applyProtection="0"/>
  </cellStyleXfs>
  <cellXfs count="20">
    <xf numFmtId="0" fontId="0" fillId="0" borderId="0" xfId="0"/>
    <xf numFmtId="0" fontId="3" fillId="3" borderId="2" xfId="2" applyFont="1" applyProtection="1">
      <protection hidden="1"/>
    </xf>
    <xf numFmtId="0" fontId="5" fillId="2" borderId="3" xfId="3" applyProtection="1">
      <protection locked="0" hidden="1"/>
    </xf>
    <xf numFmtId="164" fontId="1" fillId="2" borderId="1" xfId="1" applyNumberFormat="1" applyProtection="1">
      <protection hidden="1"/>
    </xf>
    <xf numFmtId="0" fontId="1" fillId="2" borderId="1" xfId="1" applyAlignment="1" applyProtection="1">
      <alignment wrapText="1"/>
      <protection hidden="1"/>
    </xf>
    <xf numFmtId="0" fontId="1" fillId="2" borderId="1" xfId="1" applyProtection="1">
      <protection hidden="1"/>
    </xf>
    <xf numFmtId="165" fontId="1" fillId="2" borderId="1" xfId="1" applyNumberFormat="1" applyProtection="1">
      <protection hidden="1"/>
    </xf>
    <xf numFmtId="0" fontId="0" fillId="0" borderId="0" xfId="0"/>
    <xf numFmtId="0" fontId="0" fillId="0" borderId="0" xfId="0"/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vertical="center"/>
    </xf>
    <xf numFmtId="10" fontId="3" fillId="4" borderId="5" xfId="0" applyNumberFormat="1" applyFont="1" applyFill="1" applyBorder="1" applyAlignment="1">
      <alignment vertical="center"/>
    </xf>
    <xf numFmtId="0" fontId="0" fillId="5" borderId="4" xfId="0" applyFont="1" applyFill="1" applyBorder="1" applyAlignment="1">
      <alignment vertical="center" wrapText="1"/>
    </xf>
    <xf numFmtId="0" fontId="0" fillId="5" borderId="5" xfId="0" applyFont="1" applyFill="1" applyBorder="1" applyAlignment="1">
      <alignment vertical="center" wrapText="1"/>
    </xf>
    <xf numFmtId="0" fontId="0" fillId="5" borderId="5" xfId="0" applyFont="1" applyFill="1" applyBorder="1" applyAlignment="1">
      <alignment vertical="center"/>
    </xf>
    <xf numFmtId="10" fontId="0" fillId="5" borderId="5" xfId="0" applyNumberFormat="1" applyFont="1" applyFill="1" applyBorder="1" applyAlignment="1">
      <alignment vertical="center"/>
    </xf>
    <xf numFmtId="0" fontId="3" fillId="4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 wrapText="1"/>
    </xf>
    <xf numFmtId="0" fontId="6" fillId="0" borderId="0" xfId="0" applyFont="1"/>
  </cellXfs>
  <cellStyles count="4">
    <cellStyle name="Cálculo" xfId="1" builtinId="22"/>
    <cellStyle name="Célula de Verificação" xfId="2" builtinId="23"/>
    <cellStyle name="Normal" xfId="0" builtinId="0"/>
    <cellStyle name="Saí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95250</xdr:rowOff>
        </xdr:from>
        <xdr:to>
          <xdr:col>4</xdr:col>
          <xdr:colOff>228600</xdr:colOff>
          <xdr:row>8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"/>
  <sheetViews>
    <sheetView topLeftCell="WQI1" zoomScale="130" zoomScaleNormal="130" workbookViewId="0">
      <selection activeCell="WQS18" sqref="WQS1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95250</xdr:rowOff>
                  </from>
                  <to>
                    <xdr:col>4</xdr:col>
                    <xdr:colOff>228600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P26"/>
  <sheetViews>
    <sheetView workbookViewId="0">
      <selection activeCell="WQS18" sqref="WQS18"/>
    </sheetView>
  </sheetViews>
  <sheetFormatPr defaultRowHeight="15" x14ac:dyDescent="0.25"/>
  <cols>
    <col min="1" max="1" width="15.140625" bestFit="1" customWidth="1"/>
    <col min="2" max="2" width="16.5703125" bestFit="1" customWidth="1"/>
    <col min="3" max="3" width="6.85546875" bestFit="1" customWidth="1"/>
    <col min="4" max="4" width="9.42578125" bestFit="1" customWidth="1"/>
    <col min="5" max="5" width="10" bestFit="1" customWidth="1"/>
    <col min="6" max="7" width="13.7109375" bestFit="1" customWidth="1"/>
    <col min="8" max="8" width="16.28515625" bestFit="1" customWidth="1"/>
    <col min="9" max="9" width="6.85546875" bestFit="1" customWidth="1"/>
    <col min="10" max="10" width="9.42578125" bestFit="1" customWidth="1"/>
    <col min="11" max="11" width="9.7109375" bestFit="1" customWidth="1"/>
    <col min="12" max="12" width="13.42578125" bestFit="1" customWidth="1"/>
    <col min="13" max="13" width="10.28515625" bestFit="1" customWidth="1"/>
    <col min="14" max="14" width="5.42578125" bestFit="1" customWidth="1"/>
    <col min="15" max="15" width="4.42578125" bestFit="1" customWidth="1"/>
    <col min="16" max="16" width="5.28515625" bestFit="1" customWidth="1"/>
  </cols>
  <sheetData>
    <row r="1" spans="1:16" x14ac:dyDescent="0.25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63</v>
      </c>
      <c r="P1" t="s">
        <v>60</v>
      </c>
    </row>
    <row r="2" spans="1:16" x14ac:dyDescent="0.25">
      <c r="A2">
        <v>1</v>
      </c>
      <c r="B2">
        <v>2791.7166000000002</v>
      </c>
      <c r="C2">
        <v>3015.5259000000005</v>
      </c>
      <c r="D2">
        <v>3827.8128000000002</v>
      </c>
      <c r="E2">
        <v>4381.8582000000006</v>
      </c>
      <c r="F2">
        <v>11</v>
      </c>
      <c r="G2">
        <v>10</v>
      </c>
      <c r="H2">
        <v>9</v>
      </c>
      <c r="I2">
        <v>8</v>
      </c>
      <c r="J2">
        <v>7</v>
      </c>
      <c r="K2">
        <v>102.30909090909091</v>
      </c>
      <c r="L2">
        <v>99.981818181818156</v>
      </c>
      <c r="M2">
        <v>93.981818181818184</v>
      </c>
      <c r="N2">
        <v>100.40909090909091</v>
      </c>
      <c r="O2">
        <v>97.772727272727266</v>
      </c>
      <c r="P2">
        <v>2785.4562000000005</v>
      </c>
    </row>
    <row r="3" spans="1:16" x14ac:dyDescent="0.25">
      <c r="A3">
        <v>2</v>
      </c>
      <c r="B3">
        <v>2785.4562000000005</v>
      </c>
      <c r="C3">
        <v>2791.7166000000002</v>
      </c>
      <c r="D3">
        <v>3015.5259000000005</v>
      </c>
      <c r="E3">
        <v>3827.8128000000002</v>
      </c>
      <c r="F3">
        <v>12</v>
      </c>
      <c r="G3">
        <v>11</v>
      </c>
      <c r="H3">
        <v>10</v>
      </c>
      <c r="I3">
        <v>9</v>
      </c>
      <c r="J3">
        <v>8</v>
      </c>
      <c r="K3">
        <v>134.89090909090908</v>
      </c>
      <c r="L3">
        <v>102.30909090909091</v>
      </c>
      <c r="M3">
        <v>99.981818181818156</v>
      </c>
      <c r="N3">
        <v>93.981818181818184</v>
      </c>
      <c r="O3">
        <v>100.40909090909091</v>
      </c>
      <c r="P3">
        <v>1264.1789999999999</v>
      </c>
    </row>
    <row r="4" spans="1:16" x14ac:dyDescent="0.25">
      <c r="A4">
        <v>3</v>
      </c>
      <c r="B4">
        <v>1264.1789999999999</v>
      </c>
      <c r="C4">
        <v>2785.4562000000005</v>
      </c>
      <c r="D4">
        <v>2791.7166000000002</v>
      </c>
      <c r="E4">
        <v>3015.5259000000005</v>
      </c>
      <c r="F4">
        <v>1</v>
      </c>
      <c r="G4">
        <v>12</v>
      </c>
      <c r="H4">
        <v>11</v>
      </c>
      <c r="I4">
        <v>10</v>
      </c>
      <c r="J4">
        <v>9</v>
      </c>
      <c r="K4">
        <v>105.41818181818184</v>
      </c>
      <c r="L4">
        <v>134.89090909090908</v>
      </c>
      <c r="M4">
        <v>102.30909090909091</v>
      </c>
      <c r="N4">
        <v>99.981818181818156</v>
      </c>
      <c r="O4">
        <v>93.981818181818184</v>
      </c>
      <c r="P4">
        <v>1293.9159</v>
      </c>
    </row>
    <row r="5" spans="1:16" x14ac:dyDescent="0.25">
      <c r="A5">
        <v>4</v>
      </c>
      <c r="B5">
        <v>1293.9159</v>
      </c>
      <c r="C5">
        <v>1264.1789999999999</v>
      </c>
      <c r="D5">
        <v>2785.4562000000005</v>
      </c>
      <c r="E5">
        <v>2791.7166000000002</v>
      </c>
      <c r="F5">
        <v>2</v>
      </c>
      <c r="G5">
        <v>1</v>
      </c>
      <c r="H5">
        <v>12</v>
      </c>
      <c r="I5">
        <v>11</v>
      </c>
      <c r="J5">
        <v>10</v>
      </c>
      <c r="K5">
        <v>92.818181818181813</v>
      </c>
      <c r="L5">
        <v>105.41818181818184</v>
      </c>
      <c r="M5">
        <v>134.89090909090908</v>
      </c>
      <c r="N5">
        <v>102.30909090909091</v>
      </c>
      <c r="O5">
        <v>99.981818181818156</v>
      </c>
      <c r="P5">
        <v>1846.3961999999999</v>
      </c>
    </row>
    <row r="6" spans="1:16" x14ac:dyDescent="0.25">
      <c r="A6">
        <v>5</v>
      </c>
      <c r="B6">
        <v>1846.3961999999999</v>
      </c>
      <c r="C6">
        <v>1293.9159</v>
      </c>
      <c r="D6">
        <v>1264.1789999999999</v>
      </c>
      <c r="E6">
        <v>2785.4562000000005</v>
      </c>
      <c r="F6">
        <v>3</v>
      </c>
      <c r="G6">
        <v>2</v>
      </c>
      <c r="H6">
        <v>1</v>
      </c>
      <c r="I6">
        <v>12</v>
      </c>
      <c r="J6">
        <v>11</v>
      </c>
      <c r="K6">
        <v>93.890909090909105</v>
      </c>
      <c r="L6">
        <v>92.818181818181813</v>
      </c>
      <c r="M6">
        <v>105.41818181818184</v>
      </c>
      <c r="N6">
        <v>134.89090909090908</v>
      </c>
      <c r="O6">
        <v>102.30909090909091</v>
      </c>
      <c r="P6">
        <v>3015.5259000000005</v>
      </c>
    </row>
    <row r="7" spans="1:16" x14ac:dyDescent="0.25">
      <c r="A7">
        <v>6</v>
      </c>
      <c r="B7">
        <v>3015.5259000000005</v>
      </c>
      <c r="C7">
        <v>1846.3961999999999</v>
      </c>
      <c r="D7">
        <v>1293.9159</v>
      </c>
      <c r="E7">
        <v>1264.1789999999999</v>
      </c>
      <c r="F7">
        <v>4</v>
      </c>
      <c r="G7">
        <v>3</v>
      </c>
      <c r="H7">
        <v>2</v>
      </c>
      <c r="I7">
        <v>1</v>
      </c>
      <c r="J7">
        <v>12</v>
      </c>
      <c r="K7">
        <v>92.38181818181819</v>
      </c>
      <c r="L7">
        <v>93.890909090909105</v>
      </c>
      <c r="M7">
        <v>92.818181818181813</v>
      </c>
      <c r="N7">
        <v>105.41818181818184</v>
      </c>
      <c r="O7">
        <v>134.89090909090908</v>
      </c>
      <c r="P7">
        <v>3910.7630999999997</v>
      </c>
    </row>
    <row r="8" spans="1:16" x14ac:dyDescent="0.25">
      <c r="A8">
        <v>7</v>
      </c>
      <c r="B8">
        <v>3910.7630999999997</v>
      </c>
      <c r="C8">
        <v>3015.5259000000005</v>
      </c>
      <c r="D8">
        <v>1846.3961999999999</v>
      </c>
      <c r="E8">
        <v>1293.9159</v>
      </c>
      <c r="F8">
        <v>5</v>
      </c>
      <c r="G8">
        <v>4</v>
      </c>
      <c r="H8">
        <v>3</v>
      </c>
      <c r="I8">
        <v>2</v>
      </c>
      <c r="J8">
        <v>1</v>
      </c>
      <c r="K8">
        <v>100.92727272727274</v>
      </c>
      <c r="L8">
        <v>92.38181818181819</v>
      </c>
      <c r="M8">
        <v>93.890909090909105</v>
      </c>
      <c r="N8">
        <v>92.818181818181813</v>
      </c>
      <c r="O8">
        <v>105.41818181818184</v>
      </c>
      <c r="P8">
        <v>5616.7221</v>
      </c>
    </row>
    <row r="9" spans="1:16" x14ac:dyDescent="0.25">
      <c r="A9">
        <v>8</v>
      </c>
      <c r="B9">
        <v>5616.7221</v>
      </c>
      <c r="C9">
        <v>3910.7630999999997</v>
      </c>
      <c r="D9">
        <v>3015.5259000000005</v>
      </c>
      <c r="E9">
        <v>1846.3961999999999</v>
      </c>
      <c r="F9">
        <v>6</v>
      </c>
      <c r="G9">
        <v>5</v>
      </c>
      <c r="H9">
        <v>4</v>
      </c>
      <c r="I9">
        <v>3</v>
      </c>
      <c r="J9">
        <v>2</v>
      </c>
      <c r="K9">
        <v>90.345454545454544</v>
      </c>
      <c r="L9">
        <v>100.92727272727274</v>
      </c>
      <c r="M9">
        <v>92.38181818181819</v>
      </c>
      <c r="N9">
        <v>93.890909090909105</v>
      </c>
      <c r="O9">
        <v>92.818181818181813</v>
      </c>
      <c r="P9">
        <v>5200.4055000000008</v>
      </c>
    </row>
    <row r="10" spans="1:16" x14ac:dyDescent="0.25">
      <c r="A10">
        <v>9</v>
      </c>
      <c r="B10">
        <v>5200.4055000000008</v>
      </c>
      <c r="C10">
        <v>5616.7221</v>
      </c>
      <c r="D10">
        <v>3910.7630999999997</v>
      </c>
      <c r="E10">
        <v>3015.5259000000005</v>
      </c>
      <c r="F10">
        <v>7</v>
      </c>
      <c r="G10">
        <v>6</v>
      </c>
      <c r="H10">
        <v>5</v>
      </c>
      <c r="I10">
        <v>4</v>
      </c>
      <c r="J10">
        <v>3</v>
      </c>
      <c r="K10">
        <v>94.045454545454518</v>
      </c>
      <c r="L10">
        <v>90.345454545454544</v>
      </c>
      <c r="M10">
        <v>100.92727272727274</v>
      </c>
      <c r="N10">
        <v>92.38181818181819</v>
      </c>
      <c r="O10">
        <v>93.890909090909105</v>
      </c>
      <c r="P10">
        <v>4815.3909000000003</v>
      </c>
    </row>
    <row r="11" spans="1:16" x14ac:dyDescent="0.25">
      <c r="A11">
        <v>10</v>
      </c>
      <c r="B11">
        <v>4815.3909000000003</v>
      </c>
      <c r="C11">
        <v>5200.4055000000008</v>
      </c>
      <c r="D11">
        <v>5616.7221</v>
      </c>
      <c r="E11">
        <v>3910.7630999999997</v>
      </c>
      <c r="F11">
        <v>8</v>
      </c>
      <c r="G11">
        <v>7</v>
      </c>
      <c r="H11">
        <v>6</v>
      </c>
      <c r="I11">
        <v>5</v>
      </c>
      <c r="J11">
        <v>4</v>
      </c>
      <c r="K11">
        <v>97.536363636363646</v>
      </c>
      <c r="L11">
        <v>94.045454545454518</v>
      </c>
      <c r="M11">
        <v>90.345454545454544</v>
      </c>
      <c r="N11">
        <v>100.92727272727274</v>
      </c>
      <c r="O11">
        <v>92.38181818181819</v>
      </c>
      <c r="P11">
        <v>4699.5734999999995</v>
      </c>
    </row>
    <row r="12" spans="1:16" x14ac:dyDescent="0.25">
      <c r="A12">
        <v>11</v>
      </c>
      <c r="B12">
        <v>4699.5734999999995</v>
      </c>
      <c r="C12">
        <v>4815.3909000000003</v>
      </c>
      <c r="D12">
        <v>5200.4055000000008</v>
      </c>
      <c r="E12">
        <v>5616.7221</v>
      </c>
      <c r="F12">
        <v>9</v>
      </c>
      <c r="G12">
        <v>8</v>
      </c>
      <c r="H12">
        <v>7</v>
      </c>
      <c r="I12">
        <v>6</v>
      </c>
      <c r="J12">
        <v>5</v>
      </c>
      <c r="K12">
        <v>94.018181818181816</v>
      </c>
      <c r="L12">
        <v>97.536363636363646</v>
      </c>
      <c r="M12">
        <v>94.045454545454518</v>
      </c>
      <c r="N12">
        <v>90.345454545454544</v>
      </c>
      <c r="O12">
        <v>100.92727272727274</v>
      </c>
      <c r="P12">
        <v>4356.8166000000001</v>
      </c>
    </row>
    <row r="13" spans="1:16" x14ac:dyDescent="0.25">
      <c r="A13">
        <v>12</v>
      </c>
      <c r="B13">
        <v>4356.8166000000001</v>
      </c>
      <c r="C13">
        <v>4699.5734999999995</v>
      </c>
      <c r="D13">
        <v>4815.3909000000003</v>
      </c>
      <c r="E13">
        <v>5200.4055000000008</v>
      </c>
      <c r="F13">
        <v>10</v>
      </c>
      <c r="G13">
        <v>9</v>
      </c>
      <c r="H13">
        <v>8</v>
      </c>
      <c r="I13">
        <v>7</v>
      </c>
      <c r="J13">
        <v>6</v>
      </c>
      <c r="K13">
        <v>100.14545454545456</v>
      </c>
      <c r="L13">
        <v>94.018181818181816</v>
      </c>
      <c r="M13">
        <v>97.536363636363646</v>
      </c>
      <c r="N13">
        <v>94.045454545454518</v>
      </c>
      <c r="O13">
        <v>90.345454545454544</v>
      </c>
      <c r="P13">
        <v>3370.8036000000002</v>
      </c>
    </row>
    <row r="14" spans="1:16" x14ac:dyDescent="0.25">
      <c r="A14">
        <v>13</v>
      </c>
      <c r="B14">
        <v>3370.8036000000002</v>
      </c>
      <c r="C14">
        <v>4356.8166000000001</v>
      </c>
      <c r="D14">
        <v>4699.5734999999995</v>
      </c>
      <c r="E14">
        <v>4815.3909000000003</v>
      </c>
      <c r="F14">
        <v>11</v>
      </c>
      <c r="G14">
        <v>10</v>
      </c>
      <c r="H14">
        <v>9</v>
      </c>
      <c r="I14">
        <v>8</v>
      </c>
      <c r="J14">
        <v>7</v>
      </c>
      <c r="K14">
        <v>104.2090909090909</v>
      </c>
      <c r="L14">
        <v>100.14545454545456</v>
      </c>
      <c r="M14">
        <v>94.018181818181816</v>
      </c>
      <c r="N14">
        <v>97.536363636363646</v>
      </c>
      <c r="O14">
        <v>94.045454545454518</v>
      </c>
      <c r="P14">
        <v>2134.3746000000001</v>
      </c>
    </row>
    <row r="15" spans="1:16" x14ac:dyDescent="0.25">
      <c r="A15">
        <v>14</v>
      </c>
      <c r="B15">
        <v>2134.3746000000001</v>
      </c>
      <c r="C15">
        <v>3370.8036000000002</v>
      </c>
      <c r="D15">
        <v>4356.8166000000001</v>
      </c>
      <c r="E15">
        <v>4699.5734999999995</v>
      </c>
      <c r="F15">
        <v>12</v>
      </c>
      <c r="G15">
        <v>11</v>
      </c>
      <c r="H15">
        <v>10</v>
      </c>
      <c r="I15">
        <v>9</v>
      </c>
      <c r="J15">
        <v>8</v>
      </c>
      <c r="K15">
        <v>134.29090909090908</v>
      </c>
      <c r="L15">
        <v>104.2090909090909</v>
      </c>
      <c r="M15">
        <v>100.14545454545456</v>
      </c>
      <c r="N15">
        <v>94.018181818181816</v>
      </c>
      <c r="O15">
        <v>97.536363636363646</v>
      </c>
      <c r="P15">
        <v>2423.9181000000003</v>
      </c>
    </row>
    <row r="16" spans="1:16" x14ac:dyDescent="0.25">
      <c r="A16">
        <v>15</v>
      </c>
      <c r="B16">
        <v>2423.9181000000003</v>
      </c>
      <c r="C16">
        <v>2134.3746000000001</v>
      </c>
      <c r="D16">
        <v>3370.8036000000002</v>
      </c>
      <c r="E16">
        <v>4356.8166000000001</v>
      </c>
      <c r="F16">
        <v>1</v>
      </c>
      <c r="G16">
        <v>12</v>
      </c>
      <c r="H16">
        <v>11</v>
      </c>
      <c r="I16">
        <v>10</v>
      </c>
      <c r="J16">
        <v>9</v>
      </c>
      <c r="K16">
        <v>104.98181818181818</v>
      </c>
      <c r="L16">
        <v>134.29090909090908</v>
      </c>
      <c r="M16">
        <v>104.2090909090909</v>
      </c>
      <c r="N16">
        <v>100.14545454545456</v>
      </c>
      <c r="O16">
        <v>94.018181818181816</v>
      </c>
      <c r="P16">
        <v>2492.7825000000003</v>
      </c>
    </row>
    <row r="17" spans="1:16" x14ac:dyDescent="0.25">
      <c r="A17">
        <v>16</v>
      </c>
      <c r="B17">
        <v>2492.7825000000003</v>
      </c>
      <c r="C17">
        <v>2423.9181000000003</v>
      </c>
      <c r="D17">
        <v>2134.3746000000001</v>
      </c>
      <c r="E17">
        <v>3370.8036000000002</v>
      </c>
      <c r="F17">
        <v>2</v>
      </c>
      <c r="G17">
        <v>1</v>
      </c>
      <c r="H17">
        <v>12</v>
      </c>
      <c r="I17">
        <v>11</v>
      </c>
      <c r="J17">
        <v>10</v>
      </c>
      <c r="K17">
        <v>88.881818181818176</v>
      </c>
      <c r="L17">
        <v>104.98181818181818</v>
      </c>
      <c r="M17">
        <v>134.29090909090908</v>
      </c>
      <c r="N17">
        <v>104.2090909090909</v>
      </c>
      <c r="O17">
        <v>100.14545454545456</v>
      </c>
      <c r="P17">
        <v>2617.9904999999999</v>
      </c>
    </row>
    <row r="18" spans="1:16" x14ac:dyDescent="0.25">
      <c r="A18">
        <v>17</v>
      </c>
      <c r="B18">
        <v>2617.9904999999999</v>
      </c>
      <c r="C18">
        <v>2492.7825000000003</v>
      </c>
      <c r="D18">
        <v>2423.9181000000003</v>
      </c>
      <c r="E18">
        <v>2134.3746000000001</v>
      </c>
      <c r="F18">
        <v>3</v>
      </c>
      <c r="G18">
        <v>2</v>
      </c>
      <c r="H18">
        <v>1</v>
      </c>
      <c r="I18">
        <v>12</v>
      </c>
      <c r="J18">
        <v>11</v>
      </c>
      <c r="K18">
        <v>94.881818181818161</v>
      </c>
      <c r="L18">
        <v>88.881818181818176</v>
      </c>
      <c r="M18">
        <v>104.98181818181818</v>
      </c>
      <c r="N18">
        <v>134.29090909090908</v>
      </c>
      <c r="O18">
        <v>104.2090909090909</v>
      </c>
      <c r="P18">
        <v>4544.6286</v>
      </c>
    </row>
    <row r="19" spans="1:16" x14ac:dyDescent="0.25">
      <c r="A19">
        <v>18</v>
      </c>
      <c r="B19">
        <v>4544.6286</v>
      </c>
      <c r="C19">
        <v>2617.9904999999999</v>
      </c>
      <c r="D19">
        <v>2492.7825000000003</v>
      </c>
      <c r="E19">
        <v>2423.9181000000003</v>
      </c>
      <c r="F19">
        <v>4</v>
      </c>
      <c r="G19">
        <v>3</v>
      </c>
      <c r="H19">
        <v>2</v>
      </c>
      <c r="I19">
        <v>1</v>
      </c>
      <c r="J19">
        <v>12</v>
      </c>
      <c r="K19">
        <v>87.318181818181813</v>
      </c>
      <c r="L19">
        <v>94.881818181818161</v>
      </c>
      <c r="M19">
        <v>88.881818181818176</v>
      </c>
      <c r="N19">
        <v>104.98181818181818</v>
      </c>
      <c r="O19">
        <v>134.29090909090908</v>
      </c>
      <c r="P19">
        <v>5616.7221</v>
      </c>
    </row>
    <row r="20" spans="1:16" x14ac:dyDescent="0.25">
      <c r="A20">
        <v>19</v>
      </c>
      <c r="B20">
        <v>5616.7221</v>
      </c>
      <c r="C20">
        <v>4544.6286</v>
      </c>
      <c r="D20">
        <v>2617.9904999999999</v>
      </c>
      <c r="E20">
        <v>2492.7825000000003</v>
      </c>
      <c r="F20">
        <v>5</v>
      </c>
      <c r="G20">
        <v>4</v>
      </c>
      <c r="H20">
        <v>3</v>
      </c>
      <c r="I20">
        <v>2</v>
      </c>
      <c r="J20">
        <v>1</v>
      </c>
      <c r="K20">
        <v>93.090909090909093</v>
      </c>
      <c r="L20">
        <v>87.318181818181813</v>
      </c>
      <c r="M20">
        <v>94.881818181818161</v>
      </c>
      <c r="N20">
        <v>88.881818181818176</v>
      </c>
      <c r="O20">
        <v>104.98181818181818</v>
      </c>
      <c r="P20">
        <v>7087.9160999999995</v>
      </c>
    </row>
    <row r="21" spans="1:16" x14ac:dyDescent="0.25">
      <c r="A21">
        <v>20</v>
      </c>
      <c r="B21">
        <v>7087.9160999999995</v>
      </c>
      <c r="C21">
        <v>5616.7221</v>
      </c>
      <c r="D21">
        <v>4544.6286</v>
      </c>
      <c r="E21">
        <v>2617.9904999999999</v>
      </c>
      <c r="F21">
        <v>6</v>
      </c>
      <c r="G21">
        <v>5</v>
      </c>
      <c r="H21">
        <v>4</v>
      </c>
      <c r="I21">
        <v>3</v>
      </c>
      <c r="J21">
        <v>2</v>
      </c>
      <c r="K21">
        <v>87.081818181818178</v>
      </c>
      <c r="L21">
        <v>93.090909090909093</v>
      </c>
      <c r="M21">
        <v>87.318181818181813</v>
      </c>
      <c r="N21">
        <v>94.881818181818161</v>
      </c>
      <c r="O21">
        <v>88.881818181818176</v>
      </c>
      <c r="P21">
        <v>6826.5444000000007</v>
      </c>
    </row>
    <row r="22" spans="1:16" x14ac:dyDescent="0.25">
      <c r="A22">
        <v>21</v>
      </c>
      <c r="B22">
        <v>6826.5444000000007</v>
      </c>
      <c r="C22">
        <v>7087.9160999999995</v>
      </c>
      <c r="D22">
        <v>5616.7221</v>
      </c>
      <c r="E22">
        <v>4544.6286</v>
      </c>
      <c r="F22">
        <v>7</v>
      </c>
      <c r="G22">
        <v>6</v>
      </c>
      <c r="H22">
        <v>5</v>
      </c>
      <c r="I22">
        <v>4</v>
      </c>
      <c r="J22">
        <v>3</v>
      </c>
      <c r="K22">
        <v>88.263636363636365</v>
      </c>
      <c r="L22">
        <v>87.081818181818178</v>
      </c>
      <c r="M22">
        <v>93.090909090909093</v>
      </c>
      <c r="N22">
        <v>87.318181818181813</v>
      </c>
      <c r="O22">
        <v>94.881818181818161</v>
      </c>
      <c r="P22">
        <v>6515.0895</v>
      </c>
    </row>
    <row r="23" spans="1:16" x14ac:dyDescent="0.25">
      <c r="A23">
        <v>22</v>
      </c>
      <c r="B23">
        <v>6515.0895</v>
      </c>
      <c r="C23">
        <v>6826.5444000000007</v>
      </c>
      <c r="D23">
        <v>7087.9160999999995</v>
      </c>
      <c r="E23">
        <v>5616.7221</v>
      </c>
      <c r="F23">
        <v>8</v>
      </c>
      <c r="G23">
        <v>7</v>
      </c>
      <c r="H23">
        <v>6</v>
      </c>
      <c r="I23">
        <v>5</v>
      </c>
      <c r="J23">
        <v>4</v>
      </c>
      <c r="K23">
        <v>87.909090909090907</v>
      </c>
      <c r="L23">
        <v>88.263636363636365</v>
      </c>
      <c r="M23">
        <v>87.081818181818178</v>
      </c>
      <c r="N23">
        <v>93.090909090909093</v>
      </c>
      <c r="O23">
        <v>87.318181818181813</v>
      </c>
      <c r="P23">
        <v>4228.4784</v>
      </c>
    </row>
    <row r="24" spans="1:16" x14ac:dyDescent="0.25">
      <c r="A24">
        <v>23</v>
      </c>
      <c r="B24">
        <v>4228.4784</v>
      </c>
      <c r="C24">
        <v>6515.0895</v>
      </c>
      <c r="D24">
        <v>6826.5444000000007</v>
      </c>
      <c r="E24">
        <v>7087.9160999999995</v>
      </c>
      <c r="F24">
        <v>9</v>
      </c>
      <c r="G24">
        <v>8</v>
      </c>
      <c r="H24">
        <v>7</v>
      </c>
      <c r="I24">
        <v>6</v>
      </c>
      <c r="J24">
        <v>5</v>
      </c>
      <c r="K24">
        <v>84.3</v>
      </c>
      <c r="L24">
        <v>87.909090909090907</v>
      </c>
      <c r="M24">
        <v>88.263636363636365</v>
      </c>
      <c r="N24">
        <v>87.081818181818178</v>
      </c>
      <c r="O24">
        <v>93.090909090909093</v>
      </c>
      <c r="P24">
        <v>4939.0338000000002</v>
      </c>
    </row>
    <row r="25" spans="1:16" x14ac:dyDescent="0.25">
      <c r="A25">
        <v>24</v>
      </c>
      <c r="B25">
        <v>4939.0338000000002</v>
      </c>
      <c r="C25">
        <v>4228.4784</v>
      </c>
      <c r="D25">
        <v>6515.0895</v>
      </c>
      <c r="E25">
        <v>6826.5444000000007</v>
      </c>
      <c r="F25">
        <v>10</v>
      </c>
      <c r="G25">
        <v>9</v>
      </c>
      <c r="H25">
        <v>8</v>
      </c>
      <c r="I25">
        <v>7</v>
      </c>
      <c r="J25">
        <v>6</v>
      </c>
      <c r="K25">
        <v>89.409090909090907</v>
      </c>
      <c r="L25">
        <v>84.3</v>
      </c>
      <c r="M25">
        <v>87.909090909090907</v>
      </c>
      <c r="N25">
        <v>88.263636363636365</v>
      </c>
      <c r="O25">
        <v>87.081818181818178</v>
      </c>
      <c r="P25">
        <v>4023.4503000000004</v>
      </c>
    </row>
    <row r="26" spans="1:16" x14ac:dyDescent="0.25">
      <c r="A26">
        <v>25</v>
      </c>
      <c r="B26">
        <v>4023.4503000000004</v>
      </c>
      <c r="C26">
        <v>4939.0338000000002</v>
      </c>
      <c r="D26">
        <v>4228.4784</v>
      </c>
      <c r="E26">
        <v>6515.0895</v>
      </c>
      <c r="F26">
        <v>11</v>
      </c>
      <c r="G26">
        <v>10</v>
      </c>
      <c r="H26">
        <v>9</v>
      </c>
      <c r="I26">
        <v>8</v>
      </c>
      <c r="J26">
        <v>7</v>
      </c>
      <c r="K26">
        <v>93.545454545454547</v>
      </c>
      <c r="L26">
        <v>89.409090909090907</v>
      </c>
      <c r="M26">
        <v>84.3</v>
      </c>
      <c r="N26">
        <v>87.909090909090907</v>
      </c>
      <c r="O26">
        <v>88.263636363636365</v>
      </c>
      <c r="P26">
        <v>3275.3325000000004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C16"/>
  <sheetViews>
    <sheetView topLeftCell="M1" zoomScale="70" zoomScaleNormal="70" workbookViewId="0">
      <selection activeCell="WQS18" sqref="WQS18"/>
    </sheetView>
  </sheetViews>
  <sheetFormatPr defaultRowHeight="15" x14ac:dyDescent="0.25"/>
  <sheetData>
    <row r="1" spans="1:211" x14ac:dyDescent="0.25">
      <c r="P1" s="8" t="s">
        <v>0</v>
      </c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 t="s">
        <v>1</v>
      </c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 t="s">
        <v>21</v>
      </c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 t="s">
        <v>22</v>
      </c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 t="s">
        <v>25</v>
      </c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 t="s">
        <v>26</v>
      </c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 t="s">
        <v>27</v>
      </c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 t="s">
        <v>28</v>
      </c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 t="s">
        <v>29</v>
      </c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 t="s">
        <v>30</v>
      </c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 t="s">
        <v>31</v>
      </c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 t="s">
        <v>32</v>
      </c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 t="s">
        <v>33</v>
      </c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 t="s">
        <v>64</v>
      </c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</row>
    <row r="2" spans="1:211" x14ac:dyDescent="0.25"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5001.1560191142735</v>
      </c>
      <c r="AE2">
        <v>3781.3312741432783</v>
      </c>
      <c r="AF2">
        <v>4107.99981139391</v>
      </c>
      <c r="AG2">
        <v>2053.1048863790747</v>
      </c>
      <c r="AH2">
        <v>2140.8802199624001</v>
      </c>
      <c r="AI2">
        <v>5491.5180873459694</v>
      </c>
      <c r="AJ2">
        <v>100.34184954462647</v>
      </c>
      <c r="AK2">
        <v>5392.1842636505598</v>
      </c>
      <c r="AL2">
        <v>5773.222437977045</v>
      </c>
      <c r="AM2">
        <v>5025.8921088147281</v>
      </c>
      <c r="AN2">
        <v>322.41118360026474</v>
      </c>
      <c r="AO2">
        <v>2935.2149910979028</v>
      </c>
      <c r="AP2">
        <v>6114.3108917922436</v>
      </c>
      <c r="AQ2">
        <v>5603.065563897454</v>
      </c>
      <c r="AR2">
        <v>2648.2194937671243</v>
      </c>
      <c r="AS2">
        <v>6818.2813593522069</v>
      </c>
      <c r="AT2">
        <v>6176.8635157646831</v>
      </c>
      <c r="AU2">
        <v>399.54593077408072</v>
      </c>
      <c r="AV2">
        <v>6730.4283017554098</v>
      </c>
      <c r="AW2">
        <v>2580.7698345328567</v>
      </c>
      <c r="AX2">
        <v>3720.6985177862107</v>
      </c>
      <c r="AY2">
        <v>5437.4559670190683</v>
      </c>
      <c r="AZ2">
        <v>380.18209109173415</v>
      </c>
      <c r="BA2">
        <v>4199.7018973100185</v>
      </c>
      <c r="BB2">
        <v>3322.6383620963275</v>
      </c>
      <c r="BC2">
        <v>2114.0734611639141</v>
      </c>
      <c r="BD2">
        <v>4413.9992524316131</v>
      </c>
      <c r="BE2">
        <v>4592.0544069671387</v>
      </c>
      <c r="BF2">
        <v>1870.478377094692</v>
      </c>
      <c r="BG2">
        <v>1980.6737092596411</v>
      </c>
      <c r="BH2">
        <v>5881.7344538719708</v>
      </c>
      <c r="BI2">
        <v>5844.8860904634475</v>
      </c>
      <c r="BJ2">
        <v>4176.3487881536184</v>
      </c>
      <c r="BK2">
        <v>6989.3595164393064</v>
      </c>
      <c r="BL2">
        <v>6456.9276362636383</v>
      </c>
      <c r="BM2">
        <v>1608.7803564964531</v>
      </c>
      <c r="BN2">
        <v>4927.2252754305773</v>
      </c>
      <c r="BO2">
        <v>6946.2007234804987</v>
      </c>
      <c r="BP2">
        <v>1729.7210335238515</v>
      </c>
      <c r="BQ2">
        <v>3784.5137345644471</v>
      </c>
      <c r="BR2">
        <v>754.83295668069718</v>
      </c>
      <c r="BS2">
        <v>7083.7671583678357</v>
      </c>
      <c r="BT2">
        <v>4793.0018179487524</v>
      </c>
      <c r="BU2">
        <v>112.29233902900218</v>
      </c>
      <c r="BV2">
        <v>4077.279395069259</v>
      </c>
      <c r="BW2">
        <v>710.06181285547018</v>
      </c>
      <c r="BX2">
        <v>731.11277052589048</v>
      </c>
      <c r="BY2">
        <v>5662.6266581774707</v>
      </c>
      <c r="BZ2">
        <v>2017.0878319842038</v>
      </c>
      <c r="CA2">
        <v>324.51184402958154</v>
      </c>
      <c r="CB2">
        <v>2097.1173762467206</v>
      </c>
      <c r="CC2">
        <v>2708.2777682854889</v>
      </c>
      <c r="CD2">
        <v>2133.9526448486267</v>
      </c>
      <c r="CE2">
        <v>6723.4437008708828</v>
      </c>
      <c r="CF2">
        <v>6944.9685444191036</v>
      </c>
      <c r="CG2">
        <v>2845.5062726794717</v>
      </c>
      <c r="CH2">
        <v>1973.1467299332796</v>
      </c>
      <c r="CI2">
        <v>1138.0355758171199</v>
      </c>
      <c r="CJ2">
        <v>1154.902953979808</v>
      </c>
      <c r="CK2">
        <v>4583.3087657991164</v>
      </c>
      <c r="CL2">
        <v>2907.1545101690708</v>
      </c>
      <c r="CM2">
        <v>2926.2437813255665</v>
      </c>
      <c r="CN2">
        <v>5052.0610238070067</v>
      </c>
      <c r="CO2">
        <v>2312.7960222599027</v>
      </c>
      <c r="CP2">
        <v>4488.2856679595643</v>
      </c>
      <c r="CQ2">
        <v>1471.9683514355302</v>
      </c>
      <c r="CR2">
        <v>1319.2622080327808</v>
      </c>
      <c r="CS2">
        <v>4135.216310915589</v>
      </c>
      <c r="CT2">
        <v>573.01790299348227</v>
      </c>
      <c r="CU2">
        <v>3246.605268330848</v>
      </c>
      <c r="CV2">
        <v>6419.8313163556149</v>
      </c>
      <c r="CW2">
        <v>1853.2950339207171</v>
      </c>
      <c r="CX2">
        <v>5565.7331150571999</v>
      </c>
      <c r="CY2">
        <v>2686.2506139023899</v>
      </c>
      <c r="CZ2">
        <v>2053.8318593529043</v>
      </c>
      <c r="DA2">
        <v>6516.5482907931082</v>
      </c>
      <c r="DB2">
        <v>4478.1055118472514</v>
      </c>
      <c r="DC2">
        <v>4449.0464463105554</v>
      </c>
      <c r="DD2">
        <v>3037.4343187934455</v>
      </c>
      <c r="DE2">
        <v>695.33226747636786</v>
      </c>
      <c r="DF2">
        <v>3977.044141782826</v>
      </c>
      <c r="DG2">
        <v>4922.7591015477774</v>
      </c>
      <c r="DH2">
        <v>6476.439742949944</v>
      </c>
      <c r="DI2">
        <v>5917.2792504023782</v>
      </c>
      <c r="DJ2">
        <v>161.37125181826949</v>
      </c>
      <c r="DK2">
        <v>3851.7509200010177</v>
      </c>
      <c r="DL2">
        <v>6493.777266911512</v>
      </c>
      <c r="DM2">
        <v>3050.2245655538081</v>
      </c>
      <c r="DN2">
        <v>4805.5584702555834</v>
      </c>
      <c r="DO2">
        <v>3561.8487980142709</v>
      </c>
      <c r="DP2">
        <v>3641.8145578961667</v>
      </c>
      <c r="DQ2">
        <v>3282.1006425266023</v>
      </c>
      <c r="DR2">
        <v>2506.0310145569265</v>
      </c>
      <c r="DS2">
        <v>2870.0256644510623</v>
      </c>
      <c r="DT2">
        <v>1912.5650855633316</v>
      </c>
      <c r="DU2">
        <v>394.98640359249111</v>
      </c>
      <c r="DV2">
        <v>1729.1102241571127</v>
      </c>
      <c r="DW2">
        <v>6939.6431822569484</v>
      </c>
      <c r="DX2">
        <v>432.70831732633707</v>
      </c>
      <c r="DY2">
        <v>2766.9627777614828</v>
      </c>
      <c r="DZ2">
        <v>2587.691918276113</v>
      </c>
      <c r="EA2">
        <v>3472.8429750220175</v>
      </c>
      <c r="EB2">
        <v>1104.171138664919</v>
      </c>
      <c r="EC2">
        <v>3363.4523398443698</v>
      </c>
      <c r="ED2">
        <v>1824.2342787315547</v>
      </c>
      <c r="EE2">
        <v>4456.9117785433882</v>
      </c>
      <c r="EF2">
        <v>3842.6060984377204</v>
      </c>
      <c r="EG2">
        <v>1108.7006745152235</v>
      </c>
      <c r="EH2">
        <v>6652.3908577512202</v>
      </c>
      <c r="EI2">
        <v>4639.3824173877119</v>
      </c>
      <c r="EJ2">
        <v>3587.5986791947898</v>
      </c>
      <c r="EK2">
        <v>2768.2384653738973</v>
      </c>
      <c r="EL2">
        <v>761.95991078554982</v>
      </c>
      <c r="EM2">
        <v>5557.1087064536687</v>
      </c>
      <c r="EN2">
        <v>3258.4357924900828</v>
      </c>
      <c r="EO2">
        <v>5342.3243090085261</v>
      </c>
      <c r="EP2">
        <v>4225.4720543201383</v>
      </c>
      <c r="EQ2">
        <v>5902.4888775344725</v>
      </c>
      <c r="ER2">
        <v>133.93889919396042</v>
      </c>
      <c r="ES2">
        <v>1491.864854058027</v>
      </c>
      <c r="ET2">
        <v>525.10104868823885</v>
      </c>
      <c r="EU2">
        <v>748.33413088036775</v>
      </c>
      <c r="EV2">
        <v>2351.6905548056898</v>
      </c>
      <c r="EW2">
        <v>909.89616527459611</v>
      </c>
      <c r="EX2">
        <v>2.709505883258581</v>
      </c>
      <c r="EY2">
        <v>3805.2145117611285</v>
      </c>
      <c r="EZ2">
        <v>4657.4933797659451</v>
      </c>
      <c r="FA2">
        <v>3856.3814125862118</v>
      </c>
      <c r="FB2">
        <v>5864.7982223712615</v>
      </c>
      <c r="FC2">
        <v>581.37281202856298</v>
      </c>
      <c r="FD2">
        <v>1361.1385547693073</v>
      </c>
      <c r="FE2">
        <v>4812.4019851591347</v>
      </c>
      <c r="FF2">
        <v>3219.9328369034706</v>
      </c>
      <c r="FG2">
        <v>2531.1928966790078</v>
      </c>
      <c r="FH2">
        <v>1063.9033410767613</v>
      </c>
      <c r="FI2">
        <v>4992.9937304604045</v>
      </c>
      <c r="FJ2">
        <v>6583.2283133287601</v>
      </c>
      <c r="FK2">
        <v>3758.5716554158325</v>
      </c>
      <c r="FL2">
        <v>636.28102582820054</v>
      </c>
      <c r="FM2">
        <v>5370.9639183203453</v>
      </c>
      <c r="FN2">
        <v>2848.8209484061658</v>
      </c>
      <c r="FO2">
        <v>3274.264879211938</v>
      </c>
      <c r="FP2">
        <v>3488.9364923549233</v>
      </c>
      <c r="FQ2">
        <v>1472.4372299950599</v>
      </c>
      <c r="FR2">
        <v>2337.8109046173749</v>
      </c>
      <c r="FS2">
        <v>677.29776187225571</v>
      </c>
      <c r="FT2">
        <v>4180.8103154921346</v>
      </c>
      <c r="FU2">
        <v>1204.8790722289323</v>
      </c>
      <c r="FV2">
        <v>6574.9405679792344</v>
      </c>
      <c r="FW2">
        <v>695.02052659624815</v>
      </c>
      <c r="FX2">
        <v>3146.6162818914472</v>
      </c>
      <c r="FY2">
        <v>1935.351316317129</v>
      </c>
      <c r="FZ2">
        <v>6184.6663308562456</v>
      </c>
      <c r="GA2">
        <v>5321.0608775404089</v>
      </c>
      <c r="GB2">
        <v>1935.3196353333769</v>
      </c>
      <c r="GC2">
        <v>4775.0775621680968</v>
      </c>
      <c r="GD2">
        <v>1819.7076997730671</v>
      </c>
      <c r="GE2">
        <v>638.08937638076543</v>
      </c>
      <c r="GF2">
        <v>220.34434703984854</v>
      </c>
      <c r="GG2">
        <v>2288.0730273660656</v>
      </c>
      <c r="GH2">
        <v>5600.5771282270125</v>
      </c>
      <c r="GI2">
        <v>2107.6426438753724</v>
      </c>
      <c r="GJ2">
        <v>1668.4255109866915</v>
      </c>
      <c r="GK2">
        <v>3406.083961233544</v>
      </c>
      <c r="GL2">
        <v>1805.3422745005546</v>
      </c>
      <c r="GM2">
        <v>2414.8501864268183</v>
      </c>
      <c r="GN2">
        <v>319.44246421614287</v>
      </c>
      <c r="GO2">
        <v>3419.9272838938232</v>
      </c>
      <c r="GP2">
        <v>1461.0265844738185</v>
      </c>
      <c r="GQ2">
        <v>6127.8834476447219</v>
      </c>
      <c r="GR2">
        <v>4172.561432149344</v>
      </c>
      <c r="GS2">
        <v>5350.9719503334754</v>
      </c>
      <c r="GT2">
        <v>6576.8295994370874</v>
      </c>
      <c r="GU2">
        <v>2346.8889849082348</v>
      </c>
      <c r="GV2">
        <v>3848.7783988988458</v>
      </c>
      <c r="GW2">
        <v>572.85273946485518</v>
      </c>
      <c r="GX2">
        <v>4496.7406889033018</v>
      </c>
      <c r="GY2">
        <v>2906.8955709285378</v>
      </c>
      <c r="GZ2">
        <v>6807.4359025811009</v>
      </c>
      <c r="HA2">
        <v>813.3257681885957</v>
      </c>
      <c r="HB2">
        <v>6545.3784084205563</v>
      </c>
      <c r="HC2">
        <v>4396.3732203113432</v>
      </c>
    </row>
    <row r="3" spans="1:211" x14ac:dyDescent="0.25">
      <c r="A3" t="s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8">
        <f>SQRT(SUMXMY2('Coordenadas dos Polos'!$B$3:$O$3,'Coordenadas dos Polos'!$P$2:$AC$2))</f>
        <v>0</v>
      </c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>
        <f>SQRT(SUMXMY2('Coordenadas dos Polos'!$B$3:$O$3,'Coordenadas dos Polos'!$AD$2:$AQ$2))</f>
        <v>16134.281970851223</v>
      </c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>
        <f>SQRT(SUMXMY2('Coordenadas dos Polos'!$B$3:$O$3,'Coordenadas dos Polos'!$AR$2:$BE$2))</f>
        <v>16156.90223258205</v>
      </c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>
        <f>SQRT(SUMXMY2('Coordenadas dos Polos'!$B$3:$O$3,'Coordenadas dos Polos'!$BF$2:$BS$2))</f>
        <v>18092.640440160812</v>
      </c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>
        <f>SQRT(SUMXMY2('Coordenadas dos Polos'!$B$3:$O$3,'Coordenadas dos Polos'!$BT$2:$CG$2))</f>
        <v>13953.791661472882</v>
      </c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>
        <f>SQRT(SUMXMY2('Coordenadas dos Polos'!$B$3:$O$3,'Coordenadas dos Polos'!$CH$2:$CU$2))</f>
        <v>11288.773634455505</v>
      </c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>
        <f>SQRT(SUMXMY2('Coordenadas dos Polos'!$B$3:$O$3,'Coordenadas dos Polos'!$CV$2:$DI$2))</f>
        <v>17207.316212105547</v>
      </c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>
        <f>SQRT(SUMXMY2('Coordenadas dos Polos'!$B$3:$O$3,'Coordenadas dos Polos'!$DJ$2:$DW$2))</f>
        <v>13986.773172763738</v>
      </c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>
        <f>SQRT(SUMXMY2('Coordenadas dos Polos'!$B$3:$O$3,'Coordenadas dos Polos'!$DX$2:$EK$2))</f>
        <v>12830.862277429789</v>
      </c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>
        <f>SQRT(SUMXMY2('Coordenadas dos Polos'!$B$3:$O$3,'Coordenadas dos Polos'!$EL$2:$EY$2))</f>
        <v>12133.887329376277</v>
      </c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>
        <f>SQRT(SUMXMY2('Coordenadas dos Polos'!$B$3:$O$3,'Coordenadas dos Polos'!$EZ$2:$FM$2))</f>
        <v>15028.783393396074</v>
      </c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>
        <f>SQRT(SUMXMY2('Coordenadas dos Polos'!$B$3:$O$3,'Coordenadas dos Polos'!$FN$2:$GA$2))</f>
        <v>13489.099426221446</v>
      </c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>
        <f>SQRT(SUMXMY2('Coordenadas dos Polos'!$B$3:$O$3,'Coordenadas dos Polos'!$GB$2:$GO$2))</f>
        <v>10326.254566712923</v>
      </c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>
        <f>SQRT(SUMXMY2('Coordenadas dos Polos'!$B$3:$O$3,'Coordenadas dos Polos'!$GP$2:$HC$2))</f>
        <v>16955.118162884984</v>
      </c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</row>
    <row r="4" spans="1:211" x14ac:dyDescent="0.25">
      <c r="A4" t="s">
        <v>1</v>
      </c>
      <c r="B4">
        <v>5001.1560191142735</v>
      </c>
      <c r="C4">
        <v>3781.3312741432783</v>
      </c>
      <c r="D4">
        <v>4107.99981139391</v>
      </c>
      <c r="E4">
        <v>2053.1048863790747</v>
      </c>
      <c r="F4">
        <v>2140.8802199624001</v>
      </c>
      <c r="G4">
        <v>5491.5180873459694</v>
      </c>
      <c r="H4">
        <v>100.34184954462647</v>
      </c>
      <c r="I4">
        <v>5392.1842636505598</v>
      </c>
      <c r="J4">
        <v>5773.222437977045</v>
      </c>
      <c r="K4">
        <v>5025.8921088147281</v>
      </c>
      <c r="L4">
        <v>322.41118360026474</v>
      </c>
      <c r="M4">
        <v>2935.2149910979028</v>
      </c>
      <c r="N4">
        <v>6114.3108917922436</v>
      </c>
      <c r="O4">
        <v>5603.065563897454</v>
      </c>
      <c r="P4" s="8">
        <f>SQRT(SUMXMY2('Coordenadas dos Polos'!$B$4:$O$4,'Coordenadas dos Polos'!$P$2:$AC$2))</f>
        <v>16134.281970851223</v>
      </c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>
        <f>SQRT(SUMXMY2('Coordenadas dos Polos'!$B$4:$O$4,'Coordenadas dos Polos'!$AD$2:$AQ$2))</f>
        <v>0</v>
      </c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>
        <f>SQRT(SUMXMY2('Coordenadas dos Polos'!$B$4:$O$4,'Coordenadas dos Polos'!$AR$2:$BE$2))</f>
        <v>10381.501986317287</v>
      </c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>
        <f>SQRT(SUMXMY2('Coordenadas dos Polos'!$B$4:$O$4,'Coordenadas dos Polos'!$BF$2:$BS$2))</f>
        <v>11388.408377202446</v>
      </c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>
        <f>SQRT(SUMXMY2('Coordenadas dos Polos'!$B$4:$O$4,'Coordenadas dos Polos'!$BT$2:$CG$2))</f>
        <v>9565.2179221688802</v>
      </c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>
        <f>SQRT(SUMXMY2('Coordenadas dos Polos'!$B$4:$O$4,'Coordenadas dos Polos'!$CH$2:$CU$2))</f>
        <v>11199.219313004185</v>
      </c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>
        <f>SQRT(SUMXMY2('Coordenadas dos Polos'!$B$4:$O$4,'Coordenadas dos Polos'!$CV$2:$DI$2))</f>
        <v>8552.3819821244542</v>
      </c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>
        <f>SQRT(SUMXMY2('Coordenadas dos Polos'!$B$4:$O$4,'Coordenadas dos Polos'!$DJ$2:$DW$2))</f>
        <v>10161.365463129207</v>
      </c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>
        <f>SQRT(SUMXMY2('Coordenadas dos Polos'!$B$4:$O$4,'Coordenadas dos Polos'!$DX$2:$EK$2))</f>
        <v>10589.694812110196</v>
      </c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>
        <f>SQRT(SUMXMY2('Coordenadas dos Polos'!$B$4:$O$4,'Coordenadas dos Polos'!$EL$2:$EY$2))</f>
        <v>12125.883238803131</v>
      </c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>
        <f>SQRT(SUMXMY2('Coordenadas dos Polos'!$B$4:$O$4,'Coordenadas dos Polos'!$EZ$2:$FM$2))</f>
        <v>10792.570877136401</v>
      </c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>
        <f>SQRT(SUMXMY2('Coordenadas dos Polos'!$B$4:$O$4,'Coordenadas dos Polos'!$FN$2:$GA$2))</f>
        <v>9563.9355167219383</v>
      </c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>
        <f>SQRT(SUMXMY2('Coordenadas dos Polos'!$B$4:$O$4,'Coordenadas dos Polos'!$GB$2:$GO$2))</f>
        <v>11528.501524601712</v>
      </c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>
        <f>SQRT(SUMXMY2('Coordenadas dos Polos'!$B$4:$O$4,'Coordenadas dos Polos'!$GP$2:$HC$2))</f>
        <v>12250.7725456157</v>
      </c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</row>
    <row r="5" spans="1:211" x14ac:dyDescent="0.25">
      <c r="A5" t="s">
        <v>21</v>
      </c>
      <c r="B5">
        <v>2648.2194937671243</v>
      </c>
      <c r="C5">
        <v>6818.2813593522069</v>
      </c>
      <c r="D5">
        <v>6176.8635157646831</v>
      </c>
      <c r="E5">
        <v>399.54593077408072</v>
      </c>
      <c r="F5">
        <v>6730.4283017554098</v>
      </c>
      <c r="G5">
        <v>2580.7698345328567</v>
      </c>
      <c r="H5">
        <v>3720.6985177862107</v>
      </c>
      <c r="I5">
        <v>5437.4559670190683</v>
      </c>
      <c r="J5">
        <v>380.18209109173415</v>
      </c>
      <c r="K5">
        <v>4199.7018973100185</v>
      </c>
      <c r="L5">
        <v>3322.6383620963275</v>
      </c>
      <c r="M5">
        <v>2114.0734611639141</v>
      </c>
      <c r="N5">
        <v>4413.9992524316131</v>
      </c>
      <c r="O5">
        <v>4592.0544069671387</v>
      </c>
      <c r="P5" s="8">
        <f>SQRT(SUMXMY2('Coordenadas dos Polos'!$B$5:$O$5,'Coordenadas dos Polos'!$P$2:$AC$2))</f>
        <v>16156.90223258205</v>
      </c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>
        <f>SQRT(SUMXMY2('Coordenadas dos Polos'!$B$5:$O$5,'Coordenadas dos Polos'!$AD$2:$AQ$2))</f>
        <v>10381.501986317287</v>
      </c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>
        <f>SQRT(SUMXMY2('Coordenadas dos Polos'!$B$5:$O$5,'Coordenadas dos Polos'!$AR$2:$BE$2))</f>
        <v>0</v>
      </c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>
        <f>SQRT(SUMXMY2('Coordenadas dos Polos'!$B$5:$O$5,'Coordenadas dos Polos'!$BF$2:$BS$2))</f>
        <v>12449.722718351552</v>
      </c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>
        <f>SQRT(SUMXMY2('Coordenadas dos Polos'!$B$5:$O$5,'Coordenadas dos Polos'!$BT$2:$CG$2))</f>
        <v>12880.096476327564</v>
      </c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>
        <f>SQRT(SUMXMY2('Coordenadas dos Polos'!$B$5:$O$5,'Coordenadas dos Polos'!$CH$2:$CU$2))</f>
        <v>12275.855416572256</v>
      </c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>
        <f>SQRT(SUMXMY2('Coordenadas dos Polos'!$B$5:$O$5,'Coordenadas dos Polos'!$CV$2:$DI$2))</f>
        <v>10819.362653195147</v>
      </c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>
        <f>SQRT(SUMXMY2('Coordenadas dos Polos'!$B$5:$O$5,'Coordenadas dos Polos'!$DJ$2:$DW$2))</f>
        <v>7441.8619491173376</v>
      </c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>
        <f>SQRT(SUMXMY2('Coordenadas dos Polos'!$B$5:$O$5,'Coordenadas dos Polos'!$DX$2:$EK$2))</f>
        <v>11112.638420047559</v>
      </c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>
        <f>SQRT(SUMXMY2('Coordenadas dos Polos'!$B$5:$O$5,'Coordenadas dos Polos'!$EL$2:$EY$2))</f>
        <v>10873.92684167514</v>
      </c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>
        <f>SQRT(SUMXMY2('Coordenadas dos Polos'!$B$5:$O$5,'Coordenadas dos Polos'!$EZ$2:$FM$2))</f>
        <v>9206.3851319264322</v>
      </c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>
        <f>SQRT(SUMXMY2('Coordenadas dos Polos'!$B$5:$O$5,'Coordenadas dos Polos'!$FN$2:$GA$2))</f>
        <v>10789.277388022714</v>
      </c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>
        <f>SQRT(SUMXMY2('Coordenadas dos Polos'!$B$5:$O$5,'Coordenadas dos Polos'!$GB$2:$GO$2))</f>
        <v>10180.098943449735</v>
      </c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>
        <f>SQRT(SUMXMY2('Coordenadas dos Polos'!$B$5:$O$5,'Coordenadas dos Polos'!$GP$2:$HC$2))</f>
        <v>9550.5609342941461</v>
      </c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</row>
    <row r="6" spans="1:211" x14ac:dyDescent="0.25">
      <c r="A6" t="s">
        <v>22</v>
      </c>
      <c r="B6">
        <v>1870.478377094692</v>
      </c>
      <c r="C6">
        <v>1980.6737092596411</v>
      </c>
      <c r="D6">
        <v>5881.7344538719708</v>
      </c>
      <c r="E6">
        <v>5844.8860904634475</v>
      </c>
      <c r="F6">
        <v>4176.3487881536184</v>
      </c>
      <c r="G6">
        <v>6989.3595164393064</v>
      </c>
      <c r="H6">
        <v>6456.9276362636383</v>
      </c>
      <c r="I6">
        <v>1608.7803564964531</v>
      </c>
      <c r="J6">
        <v>4927.2252754305773</v>
      </c>
      <c r="K6">
        <v>6946.2007234804987</v>
      </c>
      <c r="L6">
        <v>1729.7210335238515</v>
      </c>
      <c r="M6">
        <v>3784.5137345644471</v>
      </c>
      <c r="N6">
        <v>754.83295668069718</v>
      </c>
      <c r="O6">
        <v>7083.7671583678357</v>
      </c>
      <c r="P6" s="8">
        <f>SQRT(SUMXMY2('Coordenadas dos Polos'!$B$6:$O$6,'Coordenadas dos Polos'!$P$2:$AC$2))</f>
        <v>18092.640440160812</v>
      </c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>
        <f>SQRT(SUMXMY2('Coordenadas dos Polos'!$B$6:$O$6,'Coordenadas dos Polos'!$AD$2:$AQ$2))</f>
        <v>11388.408377202446</v>
      </c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>
        <f>SQRT(SUMXMY2('Coordenadas dos Polos'!$B$6:$O$6,'Coordenadas dos Polos'!$AR$2:$BE$2))</f>
        <v>12449.722718351552</v>
      </c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>
        <f>SQRT(SUMXMY2('Coordenadas dos Polos'!$B$6:$O$6,'Coordenadas dos Polos'!$BF$2:$BS$2))</f>
        <v>0</v>
      </c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>
        <f>SQRT(SUMXMY2('Coordenadas dos Polos'!$B$6:$O$6,'Coordenadas dos Polos'!$BT$2:$CG$2))</f>
        <v>12949.776569100623</v>
      </c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>
        <f>SQRT(SUMXMY2('Coordenadas dos Polos'!$B$6:$O$6,'Coordenadas dos Polos'!$CH$2:$CU$2))</f>
        <v>9510.6450837182238</v>
      </c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>
        <f>SQRT(SUMXMY2('Coordenadas dos Polos'!$B$6:$O$6,'Coordenadas dos Polos'!$CV$2:$DI$2))</f>
        <v>11427.57006893972</v>
      </c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>
        <f>SQRT(SUMXMY2('Coordenadas dos Polos'!$B$6:$O$6,'Coordenadas dos Polos'!$DJ$2:$DW$2))</f>
        <v>8511.4630740290177</v>
      </c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>
        <f>SQRT(SUMXMY2('Coordenadas dos Polos'!$B$6:$O$6,'Coordenadas dos Polos'!$DX$2:$EK$2))</f>
        <v>12577.223481357838</v>
      </c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>
        <f>SQRT(SUMXMY2('Coordenadas dos Polos'!$B$6:$O$6,'Coordenadas dos Polos'!$EL$2:$EY$2))</f>
        <v>11835.90464558277</v>
      </c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>
        <f>SQRT(SUMXMY2('Coordenadas dos Polos'!$B$6:$O$6,'Coordenadas dos Polos'!$EZ$2:$FM$2))</f>
        <v>10403.333753668045</v>
      </c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>
        <f>SQRT(SUMXMY2('Coordenadas dos Polos'!$B$6:$O$6,'Coordenadas dos Polos'!$FN$2:$GA$2))</f>
        <v>12483.98782876633</v>
      </c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>
        <f>SQRT(SUMXMY2('Coordenadas dos Polos'!$B$6:$O$6,'Coordenadas dos Polos'!$GB$2:$GO$2))</f>
        <v>11349.235354354696</v>
      </c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>
        <f>SQRT(SUMXMY2('Coordenadas dos Polos'!$B$6:$O$6,'Coordenadas dos Polos'!$GP$2:$HC$2))</f>
        <v>12148.563879686817</v>
      </c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</row>
    <row r="7" spans="1:211" x14ac:dyDescent="0.25">
      <c r="A7" t="s">
        <v>25</v>
      </c>
      <c r="B7">
        <v>4793.0018179487524</v>
      </c>
      <c r="C7">
        <v>112.29233902900218</v>
      </c>
      <c r="D7">
        <v>4077.279395069259</v>
      </c>
      <c r="E7">
        <v>710.06181285547018</v>
      </c>
      <c r="F7">
        <v>731.11277052589048</v>
      </c>
      <c r="G7">
        <v>5662.6266581774707</v>
      </c>
      <c r="H7">
        <v>2017.0878319842038</v>
      </c>
      <c r="I7">
        <v>324.51184402958154</v>
      </c>
      <c r="J7">
        <v>2097.1173762467206</v>
      </c>
      <c r="K7">
        <v>2708.2777682854889</v>
      </c>
      <c r="L7">
        <v>2133.9526448486267</v>
      </c>
      <c r="M7">
        <v>6723.4437008708828</v>
      </c>
      <c r="N7">
        <v>6944.9685444191036</v>
      </c>
      <c r="O7">
        <v>2845.5062726794717</v>
      </c>
      <c r="P7" s="8">
        <f>SQRT(SUMXMY2('Coordenadas dos Polos'!$B$7:$O$7,'Coordenadas dos Polos'!$P$2:$AC$2))</f>
        <v>13953.791661472882</v>
      </c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>
        <f>SQRT(SUMXMY2('Coordenadas dos Polos'!$B$7:$O$7,'Coordenadas dos Polos'!$AD$2:$AQ$2))</f>
        <v>9565.2179221688802</v>
      </c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>
        <f>SQRT(SUMXMY2('Coordenadas dos Polos'!$B$7:$O$7,'Coordenadas dos Polos'!$AR$2:$BE$2))</f>
        <v>12880.096476327564</v>
      </c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>
        <f>SQRT(SUMXMY2('Coordenadas dos Polos'!$B$7:$O$7,'Coordenadas dos Polos'!$BF$2:$BS$2))</f>
        <v>12949.776569100623</v>
      </c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>
        <f>SQRT(SUMXMY2('Coordenadas dos Polos'!$B$7:$O$7,'Coordenadas dos Polos'!$BT$2:$CG$2))</f>
        <v>0</v>
      </c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>
        <f>SQRT(SUMXMY2('Coordenadas dos Polos'!$B$7:$O$7,'Coordenadas dos Polos'!$CH$2:$CU$2))</f>
        <v>10644.4711828039</v>
      </c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>
        <f>SQRT(SUMXMY2('Coordenadas dos Polos'!$B$7:$O$7,'Coordenadas dos Polos'!$CV$2:$DI$2))</f>
        <v>7653.531746945162</v>
      </c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>
        <f>SQRT(SUMXMY2('Coordenadas dos Polos'!$B$7:$O$7,'Coordenadas dos Polos'!$DJ$2:$DW$2))</f>
        <v>12783.259039781009</v>
      </c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>
        <f>SQRT(SUMXMY2('Coordenadas dos Polos'!$B$7:$O$7,'Coordenadas dos Polos'!$DX$2:$EK$2))</f>
        <v>10004.670796987222</v>
      </c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>
        <f>SQRT(SUMXMY2('Coordenadas dos Polos'!$B$7:$O$7,'Coordenadas dos Polos'!$EL$2:$EY$2))</f>
        <v>13208.863995700658</v>
      </c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>
        <f>SQRT(SUMXMY2('Coordenadas dos Polos'!$B$7:$O$7,'Coordenadas dos Polos'!$EZ$2:$FM$2))</f>
        <v>10282.796060378416</v>
      </c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>
        <f>SQRT(SUMXMY2('Coordenadas dos Polos'!$B$7:$O$7,'Coordenadas dos Polos'!$FN$2:$GA$2))</f>
        <v>10117.255034187499</v>
      </c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>
        <f>SQRT(SUMXMY2('Coordenadas dos Polos'!$B$7:$O$7,'Coordenadas dos Polos'!$GB$2:$GO$2))</f>
        <v>11236.075802713121</v>
      </c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>
        <f>SQRT(SUMXMY2('Coordenadas dos Polos'!$B$7:$O$7,'Coordenadas dos Polos'!$GP$2:$HC$2))</f>
        <v>13511.226716587942</v>
      </c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</row>
    <row r="8" spans="1:211" x14ac:dyDescent="0.25">
      <c r="A8" t="s">
        <v>26</v>
      </c>
      <c r="B8">
        <v>1973.1467299332796</v>
      </c>
      <c r="C8">
        <v>1138.0355758171199</v>
      </c>
      <c r="D8">
        <v>1154.902953979808</v>
      </c>
      <c r="E8">
        <v>4583.3087657991164</v>
      </c>
      <c r="F8">
        <v>2907.1545101690708</v>
      </c>
      <c r="G8">
        <v>2926.2437813255665</v>
      </c>
      <c r="H8">
        <v>5052.0610238070067</v>
      </c>
      <c r="I8">
        <v>2312.7960222599027</v>
      </c>
      <c r="J8">
        <v>4488.2856679595643</v>
      </c>
      <c r="K8">
        <v>1471.9683514355302</v>
      </c>
      <c r="L8">
        <v>1319.2622080327808</v>
      </c>
      <c r="M8">
        <v>4135.216310915589</v>
      </c>
      <c r="N8">
        <v>573.01790299348227</v>
      </c>
      <c r="O8">
        <v>3246.605268330848</v>
      </c>
      <c r="P8" s="8">
        <f>SQRT(SUMXMY2('Coordenadas dos Polos'!$B$8:$O$8,'Coordenadas dos Polos'!$P$2:$AC$2))</f>
        <v>11288.773634455505</v>
      </c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>
        <f>SQRT(SUMXMY2('Coordenadas dos Polos'!$B$8:$O$8,'Coordenadas dos Polos'!$AD$2:$AQ$2))</f>
        <v>11199.219313004185</v>
      </c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>
        <f>SQRT(SUMXMY2('Coordenadas dos Polos'!$B$8:$O$8,'Coordenadas dos Polos'!$AR$2:$BE$2))</f>
        <v>12275.855416572256</v>
      </c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>
        <f>SQRT(SUMXMY2('Coordenadas dos Polos'!$B$8:$O$8,'Coordenadas dos Polos'!$BF$2:$BS$2))</f>
        <v>9510.6450837182238</v>
      </c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>
        <f>SQRT(SUMXMY2('Coordenadas dos Polos'!$B$8:$O$8,'Coordenadas dos Polos'!$BT$2:$CG$2))</f>
        <v>10644.4711828039</v>
      </c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>
        <f>SQRT(SUMXMY2('Coordenadas dos Polos'!$B$8:$O$8,'Coordenadas dos Polos'!$CH$2:$CU$2))</f>
        <v>0</v>
      </c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>
        <f>SQRT(SUMXMY2('Coordenadas dos Polos'!$B$8:$O$8,'Coordenadas dos Polos'!$CV$2:$DI$2))</f>
        <v>10687.625540963863</v>
      </c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>
        <f>SQRT(SUMXMY2('Coordenadas dos Polos'!$B$8:$O$8,'Coordenadas dos Polos'!$DJ$2:$DW$2))</f>
        <v>9145.3425105547631</v>
      </c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>
        <f>SQRT(SUMXMY2('Coordenadas dos Polos'!$B$8:$O$8,'Coordenadas dos Polos'!$DX$2:$EK$2))</f>
        <v>8082.8344829313701</v>
      </c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>
        <f>SQRT(SUMXMY2('Coordenadas dos Polos'!$B$8:$O$8,'Coordenadas dos Polos'!$EL$2:$EY$2))</f>
        <v>9475.7774444695951</v>
      </c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>
        <f>SQRT(SUMXMY2('Coordenadas dos Polos'!$B$8:$O$8,'Coordenadas dos Polos'!$EZ$2:$FM$2))</f>
        <v>10892.10682675345</v>
      </c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>
        <f>SQRT(SUMXMY2('Coordenadas dos Polos'!$B$8:$O$8,'Coordenadas dos Polos'!$FN$2:$GA$2))</f>
        <v>8760.9561693425294</v>
      </c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>
        <f>SQRT(SUMXMY2('Coordenadas dos Polos'!$B$8:$O$8,'Coordenadas dos Polos'!$GB$2:$GO$2))</f>
        <v>7224.1320741037853</v>
      </c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>
        <f>SQRT(SUMXMY2('Coordenadas dos Polos'!$B$8:$O$8,'Coordenadas dos Polos'!$GP$2:$HC$2))</f>
        <v>11547.251987767482</v>
      </c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</row>
    <row r="9" spans="1:211" x14ac:dyDescent="0.25">
      <c r="A9" t="s">
        <v>27</v>
      </c>
      <c r="B9">
        <v>6419.8313163556149</v>
      </c>
      <c r="C9">
        <v>1853.2950339207171</v>
      </c>
      <c r="D9">
        <v>5565.7331150571999</v>
      </c>
      <c r="E9">
        <v>2686.2506139023899</v>
      </c>
      <c r="F9">
        <v>2053.8318593529043</v>
      </c>
      <c r="G9">
        <v>6516.5482907931082</v>
      </c>
      <c r="H9">
        <v>4478.1055118472514</v>
      </c>
      <c r="I9">
        <v>4449.0464463105554</v>
      </c>
      <c r="J9">
        <v>3037.4343187934455</v>
      </c>
      <c r="K9">
        <v>695.33226747636786</v>
      </c>
      <c r="L9">
        <v>3977.044141782826</v>
      </c>
      <c r="M9">
        <v>4922.7591015477774</v>
      </c>
      <c r="N9">
        <v>6476.439742949944</v>
      </c>
      <c r="O9">
        <v>5917.2792504023782</v>
      </c>
      <c r="P9" s="8">
        <f>SQRT(SUMXMY2('Coordenadas dos Polos'!$B$9:$O$9,'Coordenadas dos Polos'!$P$2:$AC$2))</f>
        <v>17207.316212105547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>
        <f>SQRT(SUMXMY2('Coordenadas dos Polos'!$B$9:$O$9,'Coordenadas dos Polos'!$AD$2:$AQ$2))</f>
        <v>8552.3819821244542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>
        <f>SQRT(SUMXMY2('Coordenadas dos Polos'!$B$9:$O$9,'Coordenadas dos Polos'!$AR$2:$BE$2))</f>
        <v>10819.362653195147</v>
      </c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>
        <f>SQRT(SUMXMY2('Coordenadas dos Polos'!$B$9:$O$9,'Coordenadas dos Polos'!$BF$2:$BS$2))</f>
        <v>11427.57006893972</v>
      </c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>
        <f>SQRT(SUMXMY2('Coordenadas dos Polos'!$B$9:$O$9,'Coordenadas dos Polos'!$BT$2:$CG$2))</f>
        <v>7653.531746945162</v>
      </c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>
        <f>SQRT(SUMXMY2('Coordenadas dos Polos'!$B$9:$O$9,'Coordenadas dos Polos'!$CH$2:$CU$2))</f>
        <v>10687.625540963863</v>
      </c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>
        <f>SQRT(SUMXMY2('Coordenadas dos Polos'!$B$9:$O$9,'Coordenadas dos Polos'!$CV$2:$DI$2))</f>
        <v>0</v>
      </c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>
        <f>SQRT(SUMXMY2('Coordenadas dos Polos'!$B$9:$O$9,'Coordenadas dos Polos'!$DJ$2:$DW$2))</f>
        <v>10764.577585087691</v>
      </c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>
        <f>SQRT(SUMXMY2('Coordenadas dos Polos'!$B$9:$O$9,'Coordenadas dos Polos'!$DX$2:$EK$2))</f>
        <v>9506.5066873961223</v>
      </c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>
        <f>SQRT(SUMXMY2('Coordenadas dos Polos'!$B$9:$O$9,'Coordenadas dos Polos'!$EL$2:$EY$2))</f>
        <v>12737.635617608423</v>
      </c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>
        <f>SQRT(SUMXMY2('Coordenadas dos Polos'!$B$9:$O$9,'Coordenadas dos Polos'!$EZ$2:$FM$2))</f>
        <v>9230.4605033994358</v>
      </c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>
        <f>SQRT(SUMXMY2('Coordenadas dos Polos'!$B$9:$O$9,'Coordenadas dos Polos'!$FN$2:$GA$2))</f>
        <v>9376.4049108828021</v>
      </c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>
        <f>SQRT(SUMXMY2('Coordenadas dos Polos'!$B$9:$O$9,'Coordenadas dos Polos'!$GB$2:$GO$2))</f>
        <v>11799.693265344473</v>
      </c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>
        <f>SQRT(SUMXMY2('Coordenadas dos Polos'!$B$9:$O$9,'Coordenadas dos Polos'!$GP$2:$HC$2))</f>
        <v>11806.992420871084</v>
      </c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</row>
    <row r="10" spans="1:211" x14ac:dyDescent="0.25">
      <c r="A10" t="s">
        <v>28</v>
      </c>
      <c r="B10">
        <v>161.37125181826949</v>
      </c>
      <c r="C10">
        <v>3851.7509200010177</v>
      </c>
      <c r="D10">
        <v>6493.777266911512</v>
      </c>
      <c r="E10">
        <v>3050.2245655538081</v>
      </c>
      <c r="F10">
        <v>4805.5584702555834</v>
      </c>
      <c r="G10">
        <v>3561.8487980142709</v>
      </c>
      <c r="H10">
        <v>3641.8145578961667</v>
      </c>
      <c r="I10">
        <v>3282.1006425266023</v>
      </c>
      <c r="J10">
        <v>2506.0310145569265</v>
      </c>
      <c r="K10">
        <v>2870.0256644510623</v>
      </c>
      <c r="L10">
        <v>1912.5650855633316</v>
      </c>
      <c r="M10">
        <v>394.98640359249111</v>
      </c>
      <c r="N10">
        <v>1729.1102241571127</v>
      </c>
      <c r="O10">
        <v>6939.6431822569484</v>
      </c>
      <c r="P10" s="8">
        <f>SQRT(SUMXMY2('Coordenadas dos Polos'!$B$10:$O$10,'Coordenadas dos Polos'!$P$2:$AC$2))</f>
        <v>13986.773172763738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>
        <f>SQRT(SUMXMY2('Coordenadas dos Polos'!$B$10:$O$10,'Coordenadas dos Polos'!$AD$2:$AQ$2))</f>
        <v>10161.365463129207</v>
      </c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>
        <f>SQRT(SUMXMY2('Coordenadas dos Polos'!$B$10:$O$10,'Coordenadas dos Polos'!$AR$2:$BE$2))</f>
        <v>7441.8619491173376</v>
      </c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>
        <f>SQRT(SUMXMY2('Coordenadas dos Polos'!$B$10:$O$10,'Coordenadas dos Polos'!$BF$2:$BS$2))</f>
        <v>8511.4630740290177</v>
      </c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>
        <f>SQRT(SUMXMY2('Coordenadas dos Polos'!$B$10:$O$10,'Coordenadas dos Polos'!$BT$2:$CG$2))</f>
        <v>12783.259039781009</v>
      </c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>
        <f>SQRT(SUMXMY2('Coordenadas dos Polos'!$B$10:$O$10,'Coordenadas dos Polos'!$CH$2:$CU$2))</f>
        <v>9145.3425105547631</v>
      </c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>
        <f>SQRT(SUMXMY2('Coordenadas dos Polos'!$B$10:$O$10,'Coordenadas dos Polos'!$CV$2:$DI$2))</f>
        <v>10764.577585087691</v>
      </c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>
        <f>SQRT(SUMXMY2('Coordenadas dos Polos'!$B$10:$O$10,'Coordenadas dos Polos'!$DJ$2:$DW$2))</f>
        <v>0</v>
      </c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>
        <f>SQRT(SUMXMY2('Coordenadas dos Polos'!$B$10:$O$10,'Coordenadas dos Polos'!$DX$2:$EK$2))</f>
        <v>10066.481410814913</v>
      </c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>
        <f>SQRT(SUMXMY2('Coordenadas dos Polos'!$B$10:$O$10,'Coordenadas dos Polos'!$EL$2:$EY$2))</f>
        <v>7874.2659288588493</v>
      </c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>
        <f>SQRT(SUMXMY2('Coordenadas dos Polos'!$B$10:$O$10,'Coordenadas dos Polos'!$EZ$2:$FM$2))</f>
        <v>9178.5780144212658</v>
      </c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>
        <f>SQRT(SUMXMY2('Coordenadas dos Polos'!$B$10:$O$10,'Coordenadas dos Polos'!$FN$2:$GA$2))</f>
        <v>9259.8165847140463</v>
      </c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>
        <f>SQRT(SUMXMY2('Coordenadas dos Polos'!$B$10:$O$10,'Coordenadas dos Polos'!$GB$2:$GO$2))</f>
        <v>8887.2602201210502</v>
      </c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>
        <f>SQRT(SUMXMY2('Coordenadas dos Polos'!$B$10:$O$10,'Coordenadas dos Polos'!$GP$2:$HC$2))</f>
        <v>9344.0604449225575</v>
      </c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</row>
    <row r="11" spans="1:211" x14ac:dyDescent="0.25">
      <c r="A11" t="s">
        <v>29</v>
      </c>
      <c r="B11">
        <v>432.70831732633707</v>
      </c>
      <c r="C11">
        <v>2766.9627777614828</v>
      </c>
      <c r="D11">
        <v>2587.691918276113</v>
      </c>
      <c r="E11">
        <v>3472.8429750220175</v>
      </c>
      <c r="F11">
        <v>1104.171138664919</v>
      </c>
      <c r="G11">
        <v>3363.4523398443698</v>
      </c>
      <c r="H11">
        <v>1824.2342787315547</v>
      </c>
      <c r="I11">
        <v>4456.9117785433882</v>
      </c>
      <c r="J11">
        <v>3842.6060984377204</v>
      </c>
      <c r="K11">
        <v>1108.7006745152235</v>
      </c>
      <c r="L11">
        <v>6652.3908577512202</v>
      </c>
      <c r="M11">
        <v>4639.3824173877119</v>
      </c>
      <c r="N11">
        <v>3587.5986791947898</v>
      </c>
      <c r="O11">
        <v>2768.2384653738973</v>
      </c>
      <c r="P11" s="8">
        <f>SQRT(SUMXMY2('Coordenadas dos Polos'!$B$11:$O$11,'Coordenadas dos Polos'!$P$2:$AC$2))</f>
        <v>12830.862277429789</v>
      </c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>
        <f>SQRT(SUMXMY2('Coordenadas dos Polos'!$B$11:$O$11,'Coordenadas dos Polos'!$AD$2:$AQ$2))</f>
        <v>10589.694812110196</v>
      </c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>
        <f>SQRT(SUMXMY2('Coordenadas dos Polos'!$B$11:$O$11,'Coordenadas dos Polos'!$AR$2:$BE$2))</f>
        <v>11112.638420047559</v>
      </c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>
        <f>SQRT(SUMXMY2('Coordenadas dos Polos'!$B$11:$O$11,'Coordenadas dos Polos'!$BF$2:$BS$2))</f>
        <v>12577.223481357838</v>
      </c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>
        <f>SQRT(SUMXMY2('Coordenadas dos Polos'!$B$11:$O$11,'Coordenadas dos Polos'!$BT$2:$CG$2))</f>
        <v>10004.670796987222</v>
      </c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>
        <f>SQRT(SUMXMY2('Coordenadas dos Polos'!$B$11:$O$11,'Coordenadas dos Polos'!$CH$2:$CU$2))</f>
        <v>8082.8344829313701</v>
      </c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>
        <f>SQRT(SUMXMY2('Coordenadas dos Polos'!$B$11:$O$11,'Coordenadas dos Polos'!$CV$2:$DI$2))</f>
        <v>9506.5066873961223</v>
      </c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>
        <f>SQRT(SUMXMY2('Coordenadas dos Polos'!$B$11:$O$11,'Coordenadas dos Polos'!$DJ$2:$DW$2))</f>
        <v>10066.481410814913</v>
      </c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>
        <f>SQRT(SUMXMY2('Coordenadas dos Polos'!$B$11:$O$11,'Coordenadas dos Polos'!$DX$2:$EK$2))</f>
        <v>0</v>
      </c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>
        <f>SQRT(SUMXMY2('Coordenadas dos Polos'!$B$11:$O$11,'Coordenadas dos Polos'!$EL$2:$EY$2))</f>
        <v>9856.142790434933</v>
      </c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>
        <f>SQRT(SUMXMY2('Coordenadas dos Polos'!$B$11:$O$11,'Coordenadas dos Polos'!$EZ$2:$FM$2))</f>
        <v>9221.2531963427537</v>
      </c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>
        <f>SQRT(SUMXMY2('Coordenadas dos Polos'!$B$11:$O$11,'Coordenadas dos Polos'!$FN$2:$GA$2))</f>
        <v>8733.6113131974507</v>
      </c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>
        <f>SQRT(SUMXMY2('Coordenadas dos Polos'!$B$11:$O$11,'Coordenadas dos Polos'!$GB$2:$GO$2))</f>
        <v>9283.6637650326156</v>
      </c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>
        <f>SQRT(SUMXMY2('Coordenadas dos Polos'!$B$11:$O$11,'Coordenadas dos Polos'!$GP$2:$HC$2))</f>
        <v>9913.8247075339314</v>
      </c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</row>
    <row r="12" spans="1:211" x14ac:dyDescent="0.25">
      <c r="A12" t="s">
        <v>30</v>
      </c>
      <c r="B12">
        <v>761.95991078554982</v>
      </c>
      <c r="C12">
        <v>5557.1087064536687</v>
      </c>
      <c r="D12">
        <v>3258.4357924900828</v>
      </c>
      <c r="E12">
        <v>5342.3243090085261</v>
      </c>
      <c r="F12">
        <v>4225.4720543201383</v>
      </c>
      <c r="G12">
        <v>5902.4888775344725</v>
      </c>
      <c r="H12">
        <v>133.93889919396042</v>
      </c>
      <c r="I12">
        <v>1491.864854058027</v>
      </c>
      <c r="J12">
        <v>525.10104868823885</v>
      </c>
      <c r="K12">
        <v>748.33413088036775</v>
      </c>
      <c r="L12">
        <v>2351.6905548056898</v>
      </c>
      <c r="M12">
        <v>909.89616527459611</v>
      </c>
      <c r="N12">
        <v>2.709505883258581</v>
      </c>
      <c r="O12">
        <v>3805.2145117611285</v>
      </c>
      <c r="P12" s="8">
        <f>SQRT(SUMXMY2('Coordenadas dos Polos'!$B$12:$O$12,'Coordenadas dos Polos'!$P$2:$AC$2))</f>
        <v>12133.887329376277</v>
      </c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>
        <f>SQRT(SUMXMY2('Coordenadas dos Polos'!$B$12:$O$12,'Coordenadas dos Polos'!$AD$2:$AQ$2))</f>
        <v>12125.883238803131</v>
      </c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>
        <f>SQRT(SUMXMY2('Coordenadas dos Polos'!$B$12:$O$12,'Coordenadas dos Polos'!$AR$2:$BE$2))</f>
        <v>10873.92684167514</v>
      </c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>
        <f>SQRT(SUMXMY2('Coordenadas dos Polos'!$B$12:$O$12,'Coordenadas dos Polos'!$BF$2:$BS$2))</f>
        <v>11835.90464558277</v>
      </c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>
        <f>SQRT(SUMXMY2('Coordenadas dos Polos'!$B$12:$O$12,'Coordenadas dos Polos'!$BT$2:$CG$2))</f>
        <v>13208.863995700658</v>
      </c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>
        <f>SQRT(SUMXMY2('Coordenadas dos Polos'!$B$12:$O$12,'Coordenadas dos Polos'!$CH$2:$CU$2))</f>
        <v>9475.7774444695951</v>
      </c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>
        <f>SQRT(SUMXMY2('Coordenadas dos Polos'!$B$12:$O$12,'Coordenadas dos Polos'!$CV$2:$DI$2))</f>
        <v>12737.635617608423</v>
      </c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>
        <f>SQRT(SUMXMY2('Coordenadas dos Polos'!$B$12:$O$12,'Coordenadas dos Polos'!$DJ$2:$DW$2))</f>
        <v>7874.2659288588493</v>
      </c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>
        <f>SQRT(SUMXMY2('Coordenadas dos Polos'!$B$12:$O$12,'Coordenadas dos Polos'!$DX$2:$EK$2))</f>
        <v>9856.142790434933</v>
      </c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>
        <f>SQRT(SUMXMY2('Coordenadas dos Polos'!$B$12:$O$12,'Coordenadas dos Polos'!$EL$2:$EY$2))</f>
        <v>0</v>
      </c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>
        <f>SQRT(SUMXMY2('Coordenadas dos Polos'!$B$12:$O$12,'Coordenadas dos Polos'!$EZ$2:$FM$2))</f>
        <v>10710.04139830625</v>
      </c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>
        <f>SQRT(SUMXMY2('Coordenadas dos Polos'!$B$12:$O$12,'Coordenadas dos Polos'!$FN$2:$GA$2))</f>
        <v>12276.896331549749</v>
      </c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>
        <f>SQRT(SUMXMY2('Coordenadas dos Polos'!$B$12:$O$12,'Coordenadas dos Polos'!$GB$2:$GO$2))</f>
        <v>9835.6215021696444</v>
      </c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>
        <f>SQRT(SUMXMY2('Coordenadas dos Polos'!$B$12:$O$12,'Coordenadas dos Polos'!$GP$2:$HC$2))</f>
        <v>10859.017152482742</v>
      </c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</row>
    <row r="13" spans="1:211" x14ac:dyDescent="0.25">
      <c r="A13" t="s">
        <v>31</v>
      </c>
      <c r="B13">
        <v>4657.4933797659451</v>
      </c>
      <c r="C13">
        <v>3856.3814125862118</v>
      </c>
      <c r="D13">
        <v>5864.7982223712615</v>
      </c>
      <c r="E13">
        <v>581.37281202856298</v>
      </c>
      <c r="F13">
        <v>1361.1385547693073</v>
      </c>
      <c r="G13">
        <v>4812.4019851591347</v>
      </c>
      <c r="H13">
        <v>3219.9328369034706</v>
      </c>
      <c r="I13">
        <v>2531.1928966790078</v>
      </c>
      <c r="J13">
        <v>1063.9033410767613</v>
      </c>
      <c r="K13">
        <v>4992.9937304604045</v>
      </c>
      <c r="L13">
        <v>6583.2283133287601</v>
      </c>
      <c r="M13">
        <v>3758.5716554158325</v>
      </c>
      <c r="N13">
        <v>636.28102582820054</v>
      </c>
      <c r="O13">
        <v>5370.9639183203453</v>
      </c>
      <c r="P13" s="8">
        <f>SQRT(SUMXMY2('Coordenadas dos Polos'!$B$13:$O$13,'Coordenadas dos Polos'!$P$2:$AC$2))</f>
        <v>15028.783393396074</v>
      </c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>
        <f>SQRT(SUMXMY2('Coordenadas dos Polos'!$B$13:$O$13,'Coordenadas dos Polos'!$AD$2:$AQ$2))</f>
        <v>10792.570877136401</v>
      </c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>
        <f>SQRT(SUMXMY2('Coordenadas dos Polos'!$B$13:$O$13,'Coordenadas dos Polos'!$AR$2:$BE$2))</f>
        <v>9206.3851319264322</v>
      </c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>
        <f>SQRT(SUMXMY2('Coordenadas dos Polos'!$B$13:$O$13,'Coordenadas dos Polos'!$BF$2:$BS$2))</f>
        <v>10403.333753668045</v>
      </c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>
        <f>SQRT(SUMXMY2('Coordenadas dos Polos'!$B$13:$O$13,'Coordenadas dos Polos'!$BT$2:$CG$2))</f>
        <v>10282.796060378416</v>
      </c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>
        <f>SQRT(SUMXMY2('Coordenadas dos Polos'!$B$13:$O$13,'Coordenadas dos Polos'!$CH$2:$CU$2))</f>
        <v>10892.10682675345</v>
      </c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>
        <f>SQRT(SUMXMY2('Coordenadas dos Polos'!$B$13:$O$13,'Coordenadas dos Polos'!$CV$2:$DI$2))</f>
        <v>9230.4605033994358</v>
      </c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>
        <f>SQRT(SUMXMY2('Coordenadas dos Polos'!$B$13:$O$13,'Coordenadas dos Polos'!$DJ$2:$DW$2))</f>
        <v>9178.5780144212658</v>
      </c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>
        <f>SQRT(SUMXMY2('Coordenadas dos Polos'!$B$13:$O$13,'Coordenadas dos Polos'!$DX$2:$EK$2))</f>
        <v>9221.2531963427537</v>
      </c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>
        <f>SQRT(SUMXMY2('Coordenadas dos Polos'!$B$13:$O$13,'Coordenadas dos Polos'!$EL$2:$EY$2))</f>
        <v>10710.04139830625</v>
      </c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>
        <f>SQRT(SUMXMY2('Coordenadas dos Polos'!$B$13:$O$13,'Coordenadas dos Polos'!$EZ$2:$FM$2))</f>
        <v>0</v>
      </c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>
        <f>SQRT(SUMXMY2('Coordenadas dos Polos'!$B$13:$O$13,'Coordenadas dos Polos'!$FN$2:$GA$2))</f>
        <v>11204.902923684442</v>
      </c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>
        <f>SQRT(SUMXMY2('Coordenadas dos Polos'!$B$13:$O$13,'Coordenadas dos Polos'!$GB$2:$GO$2))</f>
        <v>8340.5730896416153</v>
      </c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>
        <f>SQRT(SUMXMY2('Coordenadas dos Polos'!$B$13:$O$13,'Coordenadas dos Polos'!$GP$2:$HC$2))</f>
        <v>11799.608984019773</v>
      </c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</row>
    <row r="14" spans="1:211" x14ac:dyDescent="0.25">
      <c r="A14" t="s">
        <v>32</v>
      </c>
      <c r="B14">
        <v>2848.8209484061658</v>
      </c>
      <c r="C14">
        <v>3274.264879211938</v>
      </c>
      <c r="D14">
        <v>3488.9364923549233</v>
      </c>
      <c r="E14">
        <v>1472.4372299950599</v>
      </c>
      <c r="F14">
        <v>2337.8109046173749</v>
      </c>
      <c r="G14">
        <v>677.29776187225571</v>
      </c>
      <c r="H14">
        <v>4180.8103154921346</v>
      </c>
      <c r="I14">
        <v>1204.8790722289323</v>
      </c>
      <c r="J14">
        <v>6574.9405679792344</v>
      </c>
      <c r="K14">
        <v>695.02052659624815</v>
      </c>
      <c r="L14">
        <v>3146.6162818914472</v>
      </c>
      <c r="M14">
        <v>1935.351316317129</v>
      </c>
      <c r="N14">
        <v>6184.6663308562456</v>
      </c>
      <c r="O14">
        <v>5321.0608775404089</v>
      </c>
      <c r="P14" s="8">
        <f>SQRT(SUMXMY2('Coordenadas dos Polos'!$B$14:$O$14,'Coordenadas dos Polos'!$P$2:$AC$2))</f>
        <v>13489.099426221446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>
        <f>SQRT(SUMXMY2('Coordenadas dos Polos'!$B$14:$O$14,'Coordenadas dos Polos'!$AD$2:$AQ$2))</f>
        <v>9563.9355167219383</v>
      </c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>
        <f>SQRT(SUMXMY2('Coordenadas dos Polos'!$B$14:$O$14,'Coordenadas dos Polos'!$AR$2:$BE$2))</f>
        <v>10789.277388022714</v>
      </c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>
        <f>SQRT(SUMXMY2('Coordenadas dos Polos'!$B$14:$O$14,'Coordenadas dos Polos'!$BF$2:$BS$2))</f>
        <v>12483.98782876633</v>
      </c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>
        <f>SQRT(SUMXMY2('Coordenadas dos Polos'!$B$14:$O$14,'Coordenadas dos Polos'!$BT$2:$CG$2))</f>
        <v>10117.255034187499</v>
      </c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>
        <f>SQRT(SUMXMY2('Coordenadas dos Polos'!$B$14:$O$14,'Coordenadas dos Polos'!$CH$2:$CU$2))</f>
        <v>8760.9561693425294</v>
      </c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>
        <f>SQRT(SUMXMY2('Coordenadas dos Polos'!$B$14:$O$14,'Coordenadas dos Polos'!$CV$2:$DI$2))</f>
        <v>9376.4049108828021</v>
      </c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>
        <f>SQRT(SUMXMY2('Coordenadas dos Polos'!$B$14:$O$14,'Coordenadas dos Polos'!$DJ$2:$DW$2))</f>
        <v>9259.8165847140463</v>
      </c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>
        <f>SQRT(SUMXMY2('Coordenadas dos Polos'!$B$14:$O$14,'Coordenadas dos Polos'!$DX$2:$EK$2))</f>
        <v>8733.6113131974507</v>
      </c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>
        <f>SQRT(SUMXMY2('Coordenadas dos Polos'!$B$14:$O$14,'Coordenadas dos Polos'!$EL$2:$EY$2))</f>
        <v>12276.896331549749</v>
      </c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>
        <f>SQRT(SUMXMY2('Coordenadas dos Polos'!$B$14:$O$14,'Coordenadas dos Polos'!$EZ$2:$FM$2))</f>
        <v>11204.902923684442</v>
      </c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>
        <f>SQRT(SUMXMY2('Coordenadas dos Polos'!$B$14:$O$14,'Coordenadas dos Polos'!$FN$2:$GA$2))</f>
        <v>0</v>
      </c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>
        <f>SQRT(SUMXMY2('Coordenadas dos Polos'!$B$14:$O$14,'Coordenadas dos Polos'!$GB$2:$GO$2))</f>
        <v>9377.9643812237282</v>
      </c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>
        <f>SQRT(SUMXMY2('Coordenadas dos Polos'!$B$14:$O$14,'Coordenadas dos Polos'!$GP$2:$HC$2))</f>
        <v>8467.7630831999013</v>
      </c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</row>
    <row r="15" spans="1:211" x14ac:dyDescent="0.25">
      <c r="A15" t="s">
        <v>33</v>
      </c>
      <c r="B15">
        <v>1935.3196353333769</v>
      </c>
      <c r="C15">
        <v>4775.0775621680968</v>
      </c>
      <c r="D15">
        <v>1819.7076997730671</v>
      </c>
      <c r="E15">
        <v>638.08937638076543</v>
      </c>
      <c r="F15">
        <v>220.34434703984854</v>
      </c>
      <c r="G15">
        <v>2288.0730273660656</v>
      </c>
      <c r="H15">
        <v>5600.5771282270125</v>
      </c>
      <c r="I15">
        <v>2107.6426438753724</v>
      </c>
      <c r="J15">
        <v>1668.4255109866915</v>
      </c>
      <c r="K15">
        <v>3406.083961233544</v>
      </c>
      <c r="L15">
        <v>1805.3422745005546</v>
      </c>
      <c r="M15">
        <v>2414.8501864268183</v>
      </c>
      <c r="N15">
        <v>319.44246421614287</v>
      </c>
      <c r="O15">
        <v>3419.9272838938232</v>
      </c>
      <c r="P15" s="8">
        <f>SQRT(SUMXMY2('Coordenadas dos Polos'!$B$15:$O$15,'Coordenadas dos Polos'!$P$2:$AC$2))</f>
        <v>10326.254566712923</v>
      </c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>
        <f>SQRT(SUMXMY2('Coordenadas dos Polos'!$B$15:$O$15,'Coordenadas dos Polos'!$AD$2:$AQ$2))</f>
        <v>11528.501524601712</v>
      </c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>
        <f>SQRT(SUMXMY2('Coordenadas dos Polos'!$B$15:$O$15,'Coordenadas dos Polos'!$AR$2:$BE$2))</f>
        <v>10180.098943449735</v>
      </c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>
        <f>SQRT(SUMXMY2('Coordenadas dos Polos'!$B$15:$O$15,'Coordenadas dos Polos'!$BF$2:$BS$2))</f>
        <v>11349.235354354696</v>
      </c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>
        <f>SQRT(SUMXMY2('Coordenadas dos Polos'!$B$15:$O$15,'Coordenadas dos Polos'!$BT$2:$CG$2))</f>
        <v>11236.075802713121</v>
      </c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>
        <f>SQRT(SUMXMY2('Coordenadas dos Polos'!$B$15:$O$15,'Coordenadas dos Polos'!$CH$2:$CU$2))</f>
        <v>7224.1320741037853</v>
      </c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>
        <f>SQRT(SUMXMY2('Coordenadas dos Polos'!$B$15:$O$15,'Coordenadas dos Polos'!$CV$2:$DI$2))</f>
        <v>11799.693265344473</v>
      </c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>
        <f>SQRT(SUMXMY2('Coordenadas dos Polos'!$B$15:$O$15,'Coordenadas dos Polos'!$DJ$2:$DW$2))</f>
        <v>8887.2602201210502</v>
      </c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>
        <f>SQRT(SUMXMY2('Coordenadas dos Polos'!$B$15:$O$15,'Coordenadas dos Polos'!$DX$2:$EK$2))</f>
        <v>9283.6637650326156</v>
      </c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>
        <f>SQRT(SUMXMY2('Coordenadas dos Polos'!$B$15:$O$15,'Coordenadas dos Polos'!$EL$2:$EY$2))</f>
        <v>9835.6215021696444</v>
      </c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>
        <f>SQRT(SUMXMY2('Coordenadas dos Polos'!$B$15:$O$15,'Coordenadas dos Polos'!$EZ$2:$FM$2))</f>
        <v>8340.5730896416153</v>
      </c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>
        <f>SQRT(SUMXMY2('Coordenadas dos Polos'!$B$15:$O$15,'Coordenadas dos Polos'!$FN$2:$GA$2))</f>
        <v>9377.9643812237282</v>
      </c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>
        <f>SQRT(SUMXMY2('Coordenadas dos Polos'!$B$15:$O$15,'Coordenadas dos Polos'!$GB$2:$GO$2))</f>
        <v>0</v>
      </c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>
        <f>SQRT(SUMXMY2('Coordenadas dos Polos'!$B$15:$O$15,'Coordenadas dos Polos'!$GP$2:$HC$2))</f>
        <v>12295.733625623492</v>
      </c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</row>
    <row r="16" spans="1:211" x14ac:dyDescent="0.25">
      <c r="A16" t="s">
        <v>64</v>
      </c>
      <c r="B16">
        <v>1461.0265844738185</v>
      </c>
      <c r="C16">
        <v>6127.8834476447219</v>
      </c>
      <c r="D16">
        <v>4172.561432149344</v>
      </c>
      <c r="E16">
        <v>5350.9719503334754</v>
      </c>
      <c r="F16">
        <v>6576.8295994370874</v>
      </c>
      <c r="G16">
        <v>2346.8889849082348</v>
      </c>
      <c r="H16">
        <v>3848.7783988988458</v>
      </c>
      <c r="I16">
        <v>572.85273946485518</v>
      </c>
      <c r="J16">
        <v>4496.7406889033018</v>
      </c>
      <c r="K16">
        <v>2906.8955709285378</v>
      </c>
      <c r="L16">
        <v>6807.4359025811009</v>
      </c>
      <c r="M16">
        <v>813.3257681885957</v>
      </c>
      <c r="N16">
        <v>6545.3784084205563</v>
      </c>
      <c r="O16">
        <v>4396.3732203113432</v>
      </c>
      <c r="P16" s="8">
        <f>SQRT(SUMXMY2('Coordenadas dos Polos'!$B$16:$O$16,'Coordenadas dos Polos'!$P$2:$AC$2))</f>
        <v>16955.118162884984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>
        <f>SQRT(SUMXMY2('Coordenadas dos Polos'!$B$16:$O$16,'Coordenadas dos Polos'!$AD$2:$AQ$2))</f>
        <v>12250.7725456157</v>
      </c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>
        <f>SQRT(SUMXMY2('Coordenadas dos Polos'!$B$16:$O$16,'Coordenadas dos Polos'!$AR$2:$BE$2))</f>
        <v>9550.5609342941461</v>
      </c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>
        <f>SQRT(SUMXMY2('Coordenadas dos Polos'!$B$16:$O$16,'Coordenadas dos Polos'!$BF$2:$BS$2))</f>
        <v>12148.563879686817</v>
      </c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>
        <f>SQRT(SUMXMY2('Coordenadas dos Polos'!$B$16:$O$16,'Coordenadas dos Polos'!$BT$2:$CG$2))</f>
        <v>13511.226716587942</v>
      </c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>
        <f>SQRT(SUMXMY2('Coordenadas dos Polos'!$B$16:$O$16,'Coordenadas dos Polos'!$CH$2:$CU$2))</f>
        <v>11547.251987767482</v>
      </c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>
        <f>SQRT(SUMXMY2('Coordenadas dos Polos'!$B$16:$O$16,'Coordenadas dos Polos'!$CV$2:$DI$2))</f>
        <v>11806.992420871084</v>
      </c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>
        <f>SQRT(SUMXMY2('Coordenadas dos Polos'!$B$16:$O$16,'Coordenadas dos Polos'!$DJ$2:$DW$2))</f>
        <v>9344.0604449225575</v>
      </c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>
        <f>SQRT(SUMXMY2('Coordenadas dos Polos'!$B$16:$O$16,'Coordenadas dos Polos'!$DX$2:$EK$2))</f>
        <v>9913.8247075339314</v>
      </c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>
        <f>SQRT(SUMXMY2('Coordenadas dos Polos'!$B$16:$O$16,'Coordenadas dos Polos'!$EL$2:$EY$2))</f>
        <v>10859.017152482742</v>
      </c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>
        <f>SQRT(SUMXMY2('Coordenadas dos Polos'!$B$16:$O$16,'Coordenadas dos Polos'!$EZ$2:$FM$2))</f>
        <v>11799.608984019773</v>
      </c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>
        <f>SQRT(SUMXMY2('Coordenadas dos Polos'!$B$16:$O$16,'Coordenadas dos Polos'!$FN$2:$GA$2))</f>
        <v>8467.7630831999013</v>
      </c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>
        <f>SQRT(SUMXMY2('Coordenadas dos Polos'!$B$16:$O$16,'Coordenadas dos Polos'!$GB$2:$GO$2))</f>
        <v>12295.733625623492</v>
      </c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>
        <f>SQRT(SUMXMY2('Coordenadas dos Polos'!$B$16:$O$16,'Coordenadas dos Polos'!$GP$2:$HC$2))</f>
        <v>0</v>
      </c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</row>
  </sheetData>
  <mergeCells count="210">
    <mergeCell ref="GB15:GO15"/>
    <mergeCell ref="GP15:HC15"/>
    <mergeCell ref="P16:AC16"/>
    <mergeCell ref="AD16:AQ16"/>
    <mergeCell ref="AR16:BE16"/>
    <mergeCell ref="BF16:BS16"/>
    <mergeCell ref="BT16:CG16"/>
    <mergeCell ref="CH16:CU16"/>
    <mergeCell ref="CV16:DI16"/>
    <mergeCell ref="DJ16:DW16"/>
    <mergeCell ref="DX16:EK16"/>
    <mergeCell ref="EL16:EY16"/>
    <mergeCell ref="EZ16:FM16"/>
    <mergeCell ref="FN16:GA16"/>
    <mergeCell ref="GB16:GO16"/>
    <mergeCell ref="GP16:HC16"/>
    <mergeCell ref="AR15:BE15"/>
    <mergeCell ref="BF15:BS15"/>
    <mergeCell ref="BT15:CG15"/>
    <mergeCell ref="CH15:CU15"/>
    <mergeCell ref="CV15:DI15"/>
    <mergeCell ref="DJ15:DW15"/>
    <mergeCell ref="DX15:EK15"/>
    <mergeCell ref="EL15:EY15"/>
    <mergeCell ref="GB13:GO13"/>
    <mergeCell ref="GP13:HC13"/>
    <mergeCell ref="P14:AC14"/>
    <mergeCell ref="AD14:AQ14"/>
    <mergeCell ref="AR14:BE14"/>
    <mergeCell ref="BF14:BS14"/>
    <mergeCell ref="BT14:CG14"/>
    <mergeCell ref="CH14:CU14"/>
    <mergeCell ref="CV14:DI14"/>
    <mergeCell ref="DJ14:DW14"/>
    <mergeCell ref="DX14:EK14"/>
    <mergeCell ref="EL14:EY14"/>
    <mergeCell ref="EZ14:FM14"/>
    <mergeCell ref="FN14:GA14"/>
    <mergeCell ref="GB14:GO14"/>
    <mergeCell ref="GP14:HC14"/>
    <mergeCell ref="EZ13:FM13"/>
    <mergeCell ref="FN13:GA13"/>
    <mergeCell ref="CV9:DI9"/>
    <mergeCell ref="DJ9:DW9"/>
    <mergeCell ref="EZ11:FM11"/>
    <mergeCell ref="FN11:GA11"/>
    <mergeCell ref="GB11:GO11"/>
    <mergeCell ref="GP11:HC11"/>
    <mergeCell ref="P12:AC12"/>
    <mergeCell ref="AD12:AQ12"/>
    <mergeCell ref="AR12:BE12"/>
    <mergeCell ref="BF12:BS12"/>
    <mergeCell ref="BT12:CG12"/>
    <mergeCell ref="CH12:CU12"/>
    <mergeCell ref="CV12:DI12"/>
    <mergeCell ref="DJ12:DW12"/>
    <mergeCell ref="DX12:EK12"/>
    <mergeCell ref="EL12:EY12"/>
    <mergeCell ref="EZ12:FM12"/>
    <mergeCell ref="FN12:GA12"/>
    <mergeCell ref="GB12:GO12"/>
    <mergeCell ref="GP12:HC12"/>
    <mergeCell ref="GB8:GO8"/>
    <mergeCell ref="GP8:HC8"/>
    <mergeCell ref="GB9:GO9"/>
    <mergeCell ref="GP9:HC9"/>
    <mergeCell ref="P10:AC10"/>
    <mergeCell ref="AD10:AQ10"/>
    <mergeCell ref="AR10:BE10"/>
    <mergeCell ref="BF10:BS10"/>
    <mergeCell ref="BT10:CG10"/>
    <mergeCell ref="CH10:CU10"/>
    <mergeCell ref="CV10:DI10"/>
    <mergeCell ref="DJ10:DW10"/>
    <mergeCell ref="DX10:EK10"/>
    <mergeCell ref="EL10:EY10"/>
    <mergeCell ref="EZ10:FM10"/>
    <mergeCell ref="FN10:GA10"/>
    <mergeCell ref="GB10:GO10"/>
    <mergeCell ref="GP10:HC10"/>
    <mergeCell ref="P9:AC9"/>
    <mergeCell ref="AD9:AQ9"/>
    <mergeCell ref="AR9:BE9"/>
    <mergeCell ref="BF9:BS9"/>
    <mergeCell ref="BT9:CG9"/>
    <mergeCell ref="CH9:CU9"/>
    <mergeCell ref="GB6:GO6"/>
    <mergeCell ref="GP6:HC6"/>
    <mergeCell ref="P7:AC7"/>
    <mergeCell ref="AD7:AQ7"/>
    <mergeCell ref="AR7:BE7"/>
    <mergeCell ref="BF7:BS7"/>
    <mergeCell ref="BT7:CG7"/>
    <mergeCell ref="CH7:CU7"/>
    <mergeCell ref="CV7:DI7"/>
    <mergeCell ref="DJ7:DW7"/>
    <mergeCell ref="DX7:EK7"/>
    <mergeCell ref="EL7:EY7"/>
    <mergeCell ref="EZ7:FM7"/>
    <mergeCell ref="FN7:GA7"/>
    <mergeCell ref="GB7:GO7"/>
    <mergeCell ref="GP7:HC7"/>
    <mergeCell ref="P6:AC6"/>
    <mergeCell ref="AD6:AQ6"/>
    <mergeCell ref="AR6:BE6"/>
    <mergeCell ref="BF6:BS6"/>
    <mergeCell ref="BT6:CG6"/>
    <mergeCell ref="CH6:CU6"/>
    <mergeCell ref="CV6:DI6"/>
    <mergeCell ref="GB4:GO4"/>
    <mergeCell ref="GP4:HC4"/>
    <mergeCell ref="P5:AC5"/>
    <mergeCell ref="AD5:AQ5"/>
    <mergeCell ref="AR5:BE5"/>
    <mergeCell ref="BF5:BS5"/>
    <mergeCell ref="BT5:CG5"/>
    <mergeCell ref="CH5:CU5"/>
    <mergeCell ref="CV5:DI5"/>
    <mergeCell ref="DJ5:DW5"/>
    <mergeCell ref="DX5:EK5"/>
    <mergeCell ref="EL5:EY5"/>
    <mergeCell ref="EZ5:FM5"/>
    <mergeCell ref="FN5:GA5"/>
    <mergeCell ref="GB5:GO5"/>
    <mergeCell ref="GP5:HC5"/>
    <mergeCell ref="P4:AC4"/>
    <mergeCell ref="AD4:AQ4"/>
    <mergeCell ref="AR4:BE4"/>
    <mergeCell ref="BF4:BS4"/>
    <mergeCell ref="BT4:CG4"/>
    <mergeCell ref="CH4:CU4"/>
    <mergeCell ref="CV4:DI4"/>
    <mergeCell ref="DJ4:DW4"/>
    <mergeCell ref="GB1:GO1"/>
    <mergeCell ref="GP1:HC1"/>
    <mergeCell ref="P3:AC3"/>
    <mergeCell ref="AD3:AQ3"/>
    <mergeCell ref="AR3:BE3"/>
    <mergeCell ref="BF3:BS3"/>
    <mergeCell ref="BT3:CG3"/>
    <mergeCell ref="CH3:CU3"/>
    <mergeCell ref="CV3:DI3"/>
    <mergeCell ref="DJ3:DW3"/>
    <mergeCell ref="DX3:EK3"/>
    <mergeCell ref="EL3:EY3"/>
    <mergeCell ref="EZ3:FM3"/>
    <mergeCell ref="FN3:GA3"/>
    <mergeCell ref="GB3:GO3"/>
    <mergeCell ref="GP3:HC3"/>
    <mergeCell ref="P1:AC1"/>
    <mergeCell ref="AD1:AQ1"/>
    <mergeCell ref="AR1:BE1"/>
    <mergeCell ref="BF1:BS1"/>
    <mergeCell ref="BT1:CG1"/>
    <mergeCell ref="CH1:CU1"/>
    <mergeCell ref="CV1:DI1"/>
    <mergeCell ref="DJ1:DW1"/>
    <mergeCell ref="EZ15:FM15"/>
    <mergeCell ref="FN15:GA15"/>
    <mergeCell ref="P15:AC15"/>
    <mergeCell ref="AD15:AQ15"/>
    <mergeCell ref="P11:AC11"/>
    <mergeCell ref="AD11:AQ11"/>
    <mergeCell ref="AR11:BE11"/>
    <mergeCell ref="BF11:BS11"/>
    <mergeCell ref="BT11:CG11"/>
    <mergeCell ref="CH11:CU11"/>
    <mergeCell ref="CV11:DI11"/>
    <mergeCell ref="DJ11:DW11"/>
    <mergeCell ref="DX11:EK11"/>
    <mergeCell ref="EL11:EY11"/>
    <mergeCell ref="P13:AC13"/>
    <mergeCell ref="AD13:AQ13"/>
    <mergeCell ref="AR13:BE13"/>
    <mergeCell ref="BF13:BS13"/>
    <mergeCell ref="BT13:CG13"/>
    <mergeCell ref="CH13:CU13"/>
    <mergeCell ref="CV13:DI13"/>
    <mergeCell ref="DJ13:DW13"/>
    <mergeCell ref="DX13:EK13"/>
    <mergeCell ref="EL13:EY13"/>
    <mergeCell ref="DX9:EK9"/>
    <mergeCell ref="EL9:EY9"/>
    <mergeCell ref="EZ9:FM9"/>
    <mergeCell ref="FN9:GA9"/>
    <mergeCell ref="DJ6:DW6"/>
    <mergeCell ref="DX6:EK6"/>
    <mergeCell ref="EL6:EY6"/>
    <mergeCell ref="EZ6:FM6"/>
    <mergeCell ref="FN6:GA6"/>
    <mergeCell ref="DJ8:DW8"/>
    <mergeCell ref="DX8:EK8"/>
    <mergeCell ref="EL8:EY8"/>
    <mergeCell ref="EZ8:FM8"/>
    <mergeCell ref="FN8:GA8"/>
    <mergeCell ref="DX4:EK4"/>
    <mergeCell ref="EL4:EY4"/>
    <mergeCell ref="EZ4:FM4"/>
    <mergeCell ref="FN4:GA4"/>
    <mergeCell ref="DX1:EK1"/>
    <mergeCell ref="EL1:EY1"/>
    <mergeCell ref="EZ1:FM1"/>
    <mergeCell ref="FN1:GA1"/>
    <mergeCell ref="P8:AC8"/>
    <mergeCell ref="AD8:AQ8"/>
    <mergeCell ref="AR8:BE8"/>
    <mergeCell ref="BF8:BS8"/>
    <mergeCell ref="BT8:CG8"/>
    <mergeCell ref="CH8:CU8"/>
    <mergeCell ref="CV8:DI8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5"/>
  <sheetViews>
    <sheetView workbookViewId="0">
      <selection activeCell="WQS18" sqref="WQS18"/>
    </sheetView>
  </sheetViews>
  <sheetFormatPr defaultRowHeight="15" x14ac:dyDescent="0.25"/>
  <sheetData>
    <row r="1" spans="1:2" x14ac:dyDescent="0.25">
      <c r="A1" t="s">
        <v>2</v>
      </c>
      <c r="B1">
        <v>14</v>
      </c>
    </row>
    <row r="3" spans="1:2" x14ac:dyDescent="0.25">
      <c r="A3" t="s">
        <v>3</v>
      </c>
      <c r="B3">
        <f>MAX('Coordenadas dos Polos'!$P$3:$HC$16)</f>
        <v>18092.640440160812</v>
      </c>
    </row>
    <row r="5" spans="1:2" x14ac:dyDescent="0.25">
      <c r="A5" t="s">
        <v>4</v>
      </c>
      <c r="B5">
        <f>('Cálculos Diversos'!$B$3/SQRT(2*'Cálculos Diversos'!$B$1))^2</f>
        <v>11690844.217747943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P26"/>
  <sheetViews>
    <sheetView zoomScaleNormal="100" workbookViewId="0">
      <selection activeCell="WQS18" sqref="WQS18"/>
    </sheetView>
  </sheetViews>
  <sheetFormatPr defaultRowHeight="15" x14ac:dyDescent="0.25"/>
  <cols>
    <col min="2" max="2" width="23.28515625" bestFit="1" customWidth="1"/>
    <col min="3" max="3" width="89.85546875" bestFit="1" customWidth="1"/>
  </cols>
  <sheetData>
    <row r="1" spans="1:16" x14ac:dyDescent="0.25">
      <c r="A1" t="s">
        <v>5</v>
      </c>
      <c r="B1" t="s">
        <v>6</v>
      </c>
    </row>
    <row r="2" spans="1:16" x14ac:dyDescent="0.25">
      <c r="A2">
        <v>1</v>
      </c>
      <c r="B2">
        <f>EXP(((-1)/(2*'Cálculos Diversos'!$B$5))*(SQRT(SUMXMY2('Tabela Entrada-Saída'!$B$2:$O$2,'Coordenadas dos Polos'!$P$2:$AC$2)))^2)</f>
        <v>0.1139288504903888</v>
      </c>
      <c r="C2">
        <f>EXP(((-1)/(2*'Cálculos Diversos'!$B$5))*(SQRT(SUMXMY2('Tabela Entrada-Saída'!$B$2:$O$2,'Coordenadas dos Polos'!$AD$2:$AQ$2)))^2)</f>
        <v>1.4516318248637702E-4</v>
      </c>
      <c r="D2">
        <f>EXP(((-1)/(2*'Cálculos Diversos'!$B$5))*(SQRT(SUMXMY2('Tabela Entrada-Saída'!$B$2:$O$2,'Coordenadas dos Polos'!$AR$2:$BE$2)))^2)</f>
        <v>1.8417707843306117E-4</v>
      </c>
      <c r="E2">
        <f>EXP(((-1)/(2*'Cálculos Diversos'!$B$5))*(SQRT(SUMXMY2('Tabela Entrada-Saída'!$B$2:$O$2,'Coordenadas dos Polos'!$BF$2:$BS$2)))^2)</f>
        <v>1.8321357697116436E-5</v>
      </c>
      <c r="F2">
        <f>EXP(((-1)/(2*'Cálculos Diversos'!$B$5))*(SQRT(SUMXMY2('Tabela Entrada-Saída'!$B$2:$O$2,'Coordenadas dos Polos'!$BT$2:$CG$2)))^2)</f>
        <v>5.3303317768313375E-4</v>
      </c>
      <c r="G2">
        <f>EXP(((-1)/(2*'Cálculos Diversos'!$B$5))*(SQRT(SUMXMY2('Tabela Entrada-Saída'!$B$2:$O$2,'Coordenadas dos Polos'!$CH$2:$CU$2)))^2)</f>
        <v>9.4775055669735955E-3</v>
      </c>
      <c r="H2">
        <f>EXP(((-1)/(2*'Cálculos Diversos'!$B$5))*(SQRT(SUMXMY2('Tabela Entrada-Saída'!$B$2:$O$2,'Coordenadas dos Polos'!$CV$2:$DI$2)))^2)</f>
        <v>5.574319840075907E-5</v>
      </c>
      <c r="I2">
        <f>EXP(((-1)/(2*'Cálculos Diversos'!$B$5))*(SQRT(SUMXMY2('Tabela Entrada-Saída'!$B$2:$O$2,'Coordenadas dos Polos'!$DJ$2:$DW$2)))^2)</f>
        <v>2.2298472038874031E-3</v>
      </c>
      <c r="J2">
        <f>EXP(((-1)/(2*'Cálculos Diversos'!$B$5))*(SQRT(SUMXMY2('Tabela Entrada-Saída'!$B$2:$O$2,'Coordenadas dos Polos'!$DX$2:$EK$2)))^2)</f>
        <v>2.2911034978160493E-3</v>
      </c>
      <c r="K2">
        <f>EXP(((-1)/(2*'Cálculos Diversos'!$B$5))*(SQRT(SUMXMY2('Tabela Entrada-Saída'!$B$2:$O$2,'Coordenadas dos Polos'!$EL$2:$EY$2)))^2)</f>
        <v>2.4522373988771346E-2</v>
      </c>
      <c r="L2">
        <f>EXP(((-1)/(2*'Cálculos Diversos'!$B$5))*(SQRT(SUMXMY2('Tabela Entrada-Saída'!$B$2:$O$2,'Coordenadas dos Polos'!$EZ$2:$FM$2)))^2)</f>
        <v>6.1359842631037549E-4</v>
      </c>
      <c r="M2">
        <f>EXP(((-1)/(2*'Cálculos Diversos'!$B$5))*(SQRT(SUMXMY2('Tabela Entrada-Saída'!$B$2:$O$2,'Coordenadas dos Polos'!$FN$2:$GA$2)))^2)</f>
        <v>1.3904147191406977E-3</v>
      </c>
      <c r="N2">
        <f>EXP(((-1)/(2*'Cálculos Diversos'!$B$5))*(SQRT(SUMXMY2('Tabela Entrada-Saída'!$B$2:$O$2,'Coordenadas dos Polos'!$GB$2:$GO$2)))^2)</f>
        <v>1.6590322273099933E-2</v>
      </c>
      <c r="O2">
        <f>EXP(((-1)/(2*'Cálculos Diversos'!$B$5))*(SQRT(SUMXMY2('Tabela Entrada-Saída'!$B$2:$O$2,'Coordenadas dos Polos'!$GP$2:$HC$2)))^2)</f>
        <v>1.2737292639628469E-4</v>
      </c>
      <c r="P2">
        <v>1</v>
      </c>
    </row>
    <row r="3" spans="1:16" x14ac:dyDescent="0.25">
      <c r="A3">
        <v>2</v>
      </c>
      <c r="B3">
        <f>EXP(((-1)/(2*'Cálculos Diversos'!$B$5))*(SQRT(SUMXMY2('Tabela Entrada-Saída'!$B$3:$O$3,'Coordenadas dos Polos'!$P$2:$AC$2)))^2)</f>
        <v>0.18577836753255819</v>
      </c>
      <c r="C3">
        <f>EXP(((-1)/(2*'Cálculos Diversos'!$B$5))*(SQRT(SUMXMY2('Tabela Entrada-Saída'!$B$3:$O$3,'Coordenadas dos Polos'!$AD$2:$AQ$2)))^2)</f>
        <v>1.5203962828982029E-4</v>
      </c>
      <c r="D3">
        <f>EXP(((-1)/(2*'Cálculos Diversos'!$B$5))*(SQRT(SUMXMY2('Tabela Entrada-Saída'!$B$3:$O$3,'Coordenadas dos Polos'!$AR$2:$BE$2)))^2)</f>
        <v>1.704591215397993E-4</v>
      </c>
      <c r="E3">
        <f>EXP(((-1)/(2*'Cálculos Diversos'!$B$5))*(SQRT(SUMXMY2('Tabela Entrada-Saída'!$B$3:$O$3,'Coordenadas dos Polos'!$BF$2:$BS$2)))^2)</f>
        <v>1.484048060356382E-5</v>
      </c>
      <c r="F3">
        <f>EXP(((-1)/(2*'Cálculos Diversos'!$B$5))*(SQRT(SUMXMY2('Tabela Entrada-Saída'!$B$3:$O$3,'Coordenadas dos Polos'!$BT$2:$CG$2)))^2)</f>
        <v>6.3592352080294313E-4</v>
      </c>
      <c r="G3">
        <f>EXP(((-1)/(2*'Cálculos Diversos'!$B$5))*(SQRT(SUMXMY2('Tabela Entrada-Saída'!$B$3:$O$3,'Coordenadas dos Polos'!$CH$2:$CU$2)))^2)</f>
        <v>1.1313794060379211E-2</v>
      </c>
      <c r="H3">
        <f>EXP(((-1)/(2*'Cálculos Diversos'!$B$5))*(SQRT(SUMXMY2('Tabela Entrada-Saída'!$B$3:$O$3,'Coordenadas dos Polos'!$CV$2:$DI$2)))^2)</f>
        <v>5.2540753803879256E-5</v>
      </c>
      <c r="I3">
        <f>EXP(((-1)/(2*'Cálculos Diversos'!$B$5))*(SQRT(SUMXMY2('Tabela Entrada-Saída'!$B$3:$O$3,'Coordenadas dos Polos'!$DJ$2:$DW$2)))^2)</f>
        <v>1.8814858970797501E-3</v>
      </c>
      <c r="J3">
        <f>EXP(((-1)/(2*'Cálculos Diversos'!$B$5))*(SQRT(SUMXMY2('Tabela Entrada-Saída'!$B$3:$O$3,'Coordenadas dos Polos'!$DX$2:$EK$2)))^2)</f>
        <v>2.5272440188475295E-3</v>
      </c>
      <c r="K3">
        <f>EXP(((-1)/(2*'Cálculos Diversos'!$B$5))*(SQRT(SUMXMY2('Tabela Entrada-Saída'!$B$3:$O$3,'Coordenadas dos Polos'!$EL$2:$EY$2)))^2)</f>
        <v>2.2356616104300613E-2</v>
      </c>
      <c r="L3">
        <f>EXP(((-1)/(2*'Cálculos Diversos'!$B$5))*(SQRT(SUMXMY2('Tabela Entrada-Saída'!$B$3:$O$3,'Coordenadas dos Polos'!$EZ$2:$FM$2)))^2)</f>
        <v>6.1160442310331049E-4</v>
      </c>
      <c r="M3">
        <f>EXP(((-1)/(2*'Cálculos Diversos'!$B$5))*(SQRT(SUMXMY2('Tabela Entrada-Saída'!$B$3:$O$3,'Coordenadas dos Polos'!$FN$2:$GA$2)))^2)</f>
        <v>1.5602053939137129E-3</v>
      </c>
      <c r="N3">
        <f>EXP(((-1)/(2*'Cálculos Diversos'!$B$5))*(SQRT(SUMXMY2('Tabela Entrada-Saída'!$B$3:$O$3,'Coordenadas dos Polos'!$GB$2:$GO$2)))^2)</f>
        <v>2.1356980562296884E-2</v>
      </c>
      <c r="O3">
        <f>EXP(((-1)/(2*'Cálculos Diversos'!$B$5))*(SQRT(SUMXMY2('Tabela Entrada-Saída'!$B$3:$O$3,'Coordenadas dos Polos'!$GP$2:$HC$2)))^2)</f>
        <v>1.0812586504660146E-4</v>
      </c>
      <c r="P3">
        <v>1</v>
      </c>
    </row>
    <row r="4" spans="1:16" x14ac:dyDescent="0.25">
      <c r="A4">
        <v>3</v>
      </c>
      <c r="B4">
        <f>EXP(((-1)/(2*'Cálculos Diversos'!$B$5))*(SQRT(SUMXMY2('Tabela Entrada-Saída'!$B$4:$O$4,'Coordenadas dos Polos'!$P$2:$AC$2)))^2)</f>
        <v>0.32467128234753612</v>
      </c>
      <c r="C4">
        <f>EXP(((-1)/(2*'Cálculos Diversos'!$B$5))*(SQRT(SUMXMY2('Tabela Entrada-Saída'!$B$4:$O$4,'Coordenadas dos Polos'!$AD$2:$AQ$2)))^2)</f>
        <v>1.0957308986966084E-4</v>
      </c>
      <c r="D4">
        <f>EXP(((-1)/(2*'Cálculos Diversos'!$B$5))*(SQRT(SUMXMY2('Tabela Entrada-Saída'!$B$4:$O$4,'Coordenadas dos Polos'!$AR$2:$BE$2)))^2)</f>
        <v>1.8055399961458587E-4</v>
      </c>
      <c r="E4">
        <f>EXP(((-1)/(2*'Cálculos Diversos'!$B$5))*(SQRT(SUMXMY2('Tabela Entrada-Saída'!$B$4:$O$4,'Coordenadas dos Polos'!$BF$2:$BS$2)))^2)</f>
        <v>1.1879200804511983E-5</v>
      </c>
      <c r="F4">
        <f>EXP(((-1)/(2*'Cálculos Diversos'!$B$5))*(SQRT(SUMXMY2('Tabela Entrada-Saída'!$B$4:$O$4,'Coordenadas dos Polos'!$BT$2:$CG$2)))^2)</f>
        <v>5.2575135464707459E-4</v>
      </c>
      <c r="G4">
        <f>EXP(((-1)/(2*'Cálculos Diversos'!$B$5))*(SQRT(SUMXMY2('Tabela Entrada-Saída'!$B$4:$O$4,'Coordenadas dos Polos'!$CH$2:$CU$2)))^2)</f>
        <v>1.0850183206481602E-2</v>
      </c>
      <c r="H4">
        <f>EXP(((-1)/(2*'Cálculos Diversos'!$B$5))*(SQRT(SUMXMY2('Tabela Entrada-Saída'!$B$4:$O$4,'Coordenadas dos Polos'!$CV$2:$DI$2)))^2)</f>
        <v>2.9973359292082586E-5</v>
      </c>
      <c r="I4">
        <f>EXP(((-1)/(2*'Cálculos Diversos'!$B$5))*(SQRT(SUMXMY2('Tabela Entrada-Saída'!$B$4:$O$4,'Coordenadas dos Polos'!$DJ$2:$DW$2)))^2)</f>
        <v>2.2769726414831764E-3</v>
      </c>
      <c r="J4">
        <f>EXP(((-1)/(2*'Cálculos Diversos'!$B$5))*(SQRT(SUMXMY2('Tabela Entrada-Saída'!$B$4:$O$4,'Coordenadas dos Polos'!$DX$2:$EK$2)))^2)</f>
        <v>3.1704345566924003E-3</v>
      </c>
      <c r="K4">
        <f>EXP(((-1)/(2*'Cálculos Diversos'!$B$5))*(SQRT(SUMXMY2('Tabela Entrada-Saída'!$B$4:$O$4,'Coordenadas dos Polos'!$EL$2:$EY$2)))^2)</f>
        <v>2.2854742894972656E-2</v>
      </c>
      <c r="L4">
        <f>EXP(((-1)/(2*'Cálculos Diversos'!$B$5))*(SQRT(SUMXMY2('Tabela Entrada-Saída'!$B$4:$O$4,'Coordenadas dos Polos'!$EZ$2:$FM$2)))^2)</f>
        <v>5.0127085996651223E-4</v>
      </c>
      <c r="M4">
        <f>EXP(((-1)/(2*'Cálculos Diversos'!$B$5))*(SQRT(SUMXMY2('Tabela Entrada-Saída'!$B$4:$O$4,'Coordenadas dos Polos'!$FN$2:$GA$2)))^2)</f>
        <v>1.5968826206828027E-3</v>
      </c>
      <c r="N4">
        <f>EXP(((-1)/(2*'Cálculos Diversos'!$B$5))*(SQRT(SUMXMY2('Tabela Entrada-Saída'!$B$4:$O$4,'Coordenadas dos Polos'!$GB$2:$GO$2)))^2)</f>
        <v>2.6630954853142326E-2</v>
      </c>
      <c r="O4">
        <f>EXP(((-1)/(2*'Cálculos Diversos'!$B$5))*(SQRT(SUMXMY2('Tabela Entrada-Saída'!$B$4:$O$4,'Coordenadas dos Polos'!$GP$2:$HC$2)))^2)</f>
        <v>9.9884203785949766E-5</v>
      </c>
      <c r="P4">
        <v>1</v>
      </c>
    </row>
    <row r="5" spans="1:16" x14ac:dyDescent="0.25">
      <c r="A5">
        <v>4</v>
      </c>
      <c r="B5">
        <f>EXP(((-1)/(2*'Cálculos Diversos'!$B$5))*(SQRT(SUMXMY2('Tabela Entrada-Saída'!$B$5:$O$5,'Coordenadas dos Polos'!$P$2:$AC$2)))^2)</f>
        <v>0.44591708272594566</v>
      </c>
      <c r="C5">
        <f>EXP(((-1)/(2*'Cálculos Diversos'!$B$5))*(SQRT(SUMXMY2('Tabela Entrada-Saída'!$B$5:$O$5,'Coordenadas dos Polos'!$AD$2:$AQ$2)))^2)</f>
        <v>8.9577462087037606E-5</v>
      </c>
      <c r="D5">
        <f>EXP(((-1)/(2*'Cálculos Diversos'!$B$5))*(SQRT(SUMXMY2('Tabela Entrada-Saída'!$B$5:$O$5,'Coordenadas dos Polos'!$AR$2:$BE$2)))^2)</f>
        <v>1.0119856541066137E-4</v>
      </c>
      <c r="E5">
        <f>EXP(((-1)/(2*'Cálculos Diversos'!$B$5))*(SQRT(SUMXMY2('Tabela Entrada-Saída'!$B$5:$O$5,'Coordenadas dos Polos'!$BF$2:$BS$2)))^2)</f>
        <v>1.126234282882125E-5</v>
      </c>
      <c r="F5">
        <f>EXP(((-1)/(2*'Cálculos Diversos'!$B$5))*(SQRT(SUMXMY2('Tabela Entrada-Saída'!$B$5:$O$5,'Coordenadas dos Polos'!$BT$2:$CG$2)))^2)</f>
        <v>7.1504624822086584E-4</v>
      </c>
      <c r="G5">
        <f>EXP(((-1)/(2*'Cálculos Diversos'!$B$5))*(SQRT(SUMXMY2('Tabela Entrada-Saída'!$B$5:$O$5,'Coordenadas dos Polos'!$CH$2:$CU$2)))^2)</f>
        <v>1.1905182778514154E-2</v>
      </c>
      <c r="H5">
        <f>EXP(((-1)/(2*'Cálculos Diversos'!$B$5))*(SQRT(SUMXMY2('Tabela Entrada-Saída'!$B$5:$O$5,'Coordenadas dos Polos'!$CV$2:$DI$2)))^2)</f>
        <v>3.120970207453402E-5</v>
      </c>
      <c r="I5">
        <f>EXP(((-1)/(2*'Cálculos Diversos'!$B$5))*(SQRT(SUMXMY2('Tabela Entrada-Saída'!$B$5:$O$5,'Coordenadas dos Polos'!$DJ$2:$DW$2)))^2)</f>
        <v>1.7726102458371481E-3</v>
      </c>
      <c r="J5">
        <f>EXP(((-1)/(2*'Cálculos Diversos'!$B$5))*(SQRT(SUMXMY2('Tabela Entrada-Saída'!$B$5:$O$5,'Coordenadas dos Polos'!$DX$2:$EK$2)))^2)</f>
        <v>2.8271285721981057E-3</v>
      </c>
      <c r="K5">
        <f>EXP(((-1)/(2*'Cálculos Diversos'!$B$5))*(SQRT(SUMXMY2('Tabela Entrada-Saída'!$B$5:$O$5,'Coordenadas dos Polos'!$EL$2:$EY$2)))^2)</f>
        <v>1.3653863613789353E-2</v>
      </c>
      <c r="L5">
        <f>EXP(((-1)/(2*'Cálculos Diversos'!$B$5))*(SQRT(SUMXMY2('Tabela Entrada-Saída'!$B$5:$O$5,'Coordenadas dos Polos'!$EZ$2:$FM$2)))^2)</f>
        <v>4.1066631593249307E-4</v>
      </c>
      <c r="M5">
        <f>EXP(((-1)/(2*'Cálculos Diversos'!$B$5))*(SQRT(SUMXMY2('Tabela Entrada-Saída'!$B$5:$O$5,'Coordenadas dos Polos'!$FN$2:$GA$2)))^2)</f>
        <v>1.4018001421520186E-3</v>
      </c>
      <c r="N5">
        <f>EXP(((-1)/(2*'Cálculos Diversos'!$B$5))*(SQRT(SUMXMY2('Tabela Entrada-Saída'!$B$5:$O$5,'Coordenadas dos Polos'!$GB$2:$GO$2)))^2)</f>
        <v>1.9467801402058015E-2</v>
      </c>
      <c r="O5">
        <f>EXP(((-1)/(2*'Cálculos Diversos'!$B$5))*(SQRT(SUMXMY2('Tabela Entrada-Saída'!$B$5:$O$5,'Coordenadas dos Polos'!$GP$2:$HC$2)))^2)</f>
        <v>5.5016268357133495E-5</v>
      </c>
      <c r="P5">
        <v>1</v>
      </c>
    </row>
    <row r="6" spans="1:16" x14ac:dyDescent="0.25">
      <c r="A6">
        <v>5</v>
      </c>
      <c r="B6">
        <f>EXP(((-1)/(2*'Cálculos Diversos'!$B$5))*(SQRT(SUMXMY2('Tabela Entrada-Saída'!$B$6:$O$6,'Coordenadas dos Polos'!$P$2:$AC$2)))^2)</f>
        <v>0.53791796496282862</v>
      </c>
      <c r="C6">
        <f>EXP(((-1)/(2*'Cálculos Diversos'!$B$5))*(SQRT(SUMXMY2('Tabela Entrada-Saída'!$B$6:$O$6,'Coordenadas dos Polos'!$AD$2:$AQ$2)))^2)</f>
        <v>8.188905519423269E-5</v>
      </c>
      <c r="D6">
        <f>EXP(((-1)/(2*'Cálculos Diversos'!$B$5))*(SQRT(SUMXMY2('Tabela Entrada-Saída'!$B$6:$O$6,'Coordenadas dos Polos'!$AR$2:$BE$2)))^2)</f>
        <v>6.3158730932889716E-5</v>
      </c>
      <c r="E6">
        <f>EXP(((-1)/(2*'Cálculos Diversos'!$B$5))*(SQRT(SUMXMY2('Tabela Entrada-Saída'!$B$6:$O$6,'Coordenadas dos Polos'!$BF$2:$BS$2)))^2)</f>
        <v>6.8357159634350734E-6</v>
      </c>
      <c r="F6">
        <f>EXP(((-1)/(2*'Cálculos Diversos'!$B$5))*(SQRT(SUMXMY2('Tabela Entrada-Saída'!$B$6:$O$6,'Coordenadas dos Polos'!$BT$2:$CG$2)))^2)</f>
        <v>6.3622327249190024E-4</v>
      </c>
      <c r="G6">
        <f>EXP(((-1)/(2*'Cálculos Diversos'!$B$5))*(SQRT(SUMXMY2('Tabela Entrada-Saída'!$B$6:$O$6,'Coordenadas dos Polos'!$CH$2:$CU$2)))^2)</f>
        <v>1.3394037868964061E-2</v>
      </c>
      <c r="H6">
        <f>EXP(((-1)/(2*'Cálculos Diversos'!$B$5))*(SQRT(SUMXMY2('Tabela Entrada-Saída'!$B$6:$O$6,'Coordenadas dos Polos'!$CV$2:$DI$2)))^2)</f>
        <v>2.4790824570164046E-5</v>
      </c>
      <c r="I6">
        <f>EXP(((-1)/(2*'Cálculos Diversos'!$B$5))*(SQRT(SUMXMY2('Tabela Entrada-Saída'!$B$6:$O$6,'Coordenadas dos Polos'!$DJ$2:$DW$2)))^2)</f>
        <v>9.3426134358013595E-4</v>
      </c>
      <c r="J6">
        <f>EXP(((-1)/(2*'Cálculos Diversos'!$B$5))*(SQRT(SUMXMY2('Tabela Entrada-Saída'!$B$6:$O$6,'Coordenadas dos Polos'!$DX$2:$EK$2)))^2)</f>
        <v>2.4766285407642344E-3</v>
      </c>
      <c r="K6">
        <f>EXP(((-1)/(2*'Cálculos Diversos'!$B$5))*(SQRT(SUMXMY2('Tabela Entrada-Saída'!$B$6:$O$6,'Coordenadas dos Polos'!$EL$2:$EY$2)))^2)</f>
        <v>1.1266014817724183E-2</v>
      </c>
      <c r="L6">
        <f>EXP(((-1)/(2*'Cálculos Diversos'!$B$5))*(SQRT(SUMXMY2('Tabela Entrada-Saída'!$B$6:$O$6,'Coordenadas dos Polos'!$EZ$2:$FM$2)))^2)</f>
        <v>2.8609658379091021E-4</v>
      </c>
      <c r="M6">
        <f>EXP(((-1)/(2*'Cálculos Diversos'!$B$5))*(SQRT(SUMXMY2('Tabela Entrada-Saída'!$B$6:$O$6,'Coordenadas dos Polos'!$FN$2:$GA$2)))^2)</f>
        <v>1.2467964311547992E-3</v>
      </c>
      <c r="N6">
        <f>EXP(((-1)/(2*'Cálculos Diversos'!$B$5))*(SQRT(SUMXMY2('Tabela Entrada-Saída'!$B$6:$O$6,'Coordenadas dos Polos'!$GB$2:$GO$2)))^2)</f>
        <v>2.0326492586290813E-2</v>
      </c>
      <c r="O6">
        <f>EXP(((-1)/(2*'Cálculos Diversos'!$B$5))*(SQRT(SUMXMY2('Tabela Entrada-Saída'!$B$6:$O$6,'Coordenadas dos Polos'!$GP$2:$HC$2)))^2)</f>
        <v>4.2164691140610561E-5</v>
      </c>
      <c r="P6">
        <v>1</v>
      </c>
    </row>
    <row r="7" spans="1:16" x14ac:dyDescent="0.25">
      <c r="A7">
        <v>6</v>
      </c>
      <c r="B7">
        <f>EXP(((-1)/(2*'Cálculos Diversos'!$B$5))*(SQRT(SUMXMY2('Tabela Entrada-Saída'!$B$7:$O$7,'Coordenadas dos Polos'!$P$2:$AC$2)))^2)</f>
        <v>0.5081176786527507</v>
      </c>
      <c r="C7">
        <f>EXP(((-1)/(2*'Cálculos Diversos'!$B$5))*(SQRT(SUMXMY2('Tabela Entrada-Saída'!$B$7:$O$7,'Coordenadas dos Polos'!$AD$2:$AQ$2)))^2)</f>
        <v>1.1709572343877016E-4</v>
      </c>
      <c r="D7">
        <f>EXP(((-1)/(2*'Cálculos Diversos'!$B$5))*(SQRT(SUMXMY2('Tabela Entrada-Saída'!$B$7:$O$7,'Coordenadas dos Polos'!$AR$2:$BE$2)))^2)</f>
        <v>1.029878720064105E-4</v>
      </c>
      <c r="E7">
        <f>EXP(((-1)/(2*'Cálculos Diversos'!$B$5))*(SQRT(SUMXMY2('Tabela Entrada-Saída'!$B$7:$O$7,'Coordenadas dos Polos'!$BF$2:$BS$2)))^2)</f>
        <v>4.1109516985395304E-6</v>
      </c>
      <c r="F7">
        <f>EXP(((-1)/(2*'Cálculos Diversos'!$B$5))*(SQRT(SUMXMY2('Tabela Entrada-Saída'!$B$7:$O$7,'Coordenadas dos Polos'!$BT$2:$CG$2)))^2)</f>
        <v>8.8427769400193344E-4</v>
      </c>
      <c r="G7">
        <f>EXP(((-1)/(2*'Cálculos Diversos'!$B$5))*(SQRT(SUMXMY2('Tabela Entrada-Saída'!$B$7:$O$7,'Coordenadas dos Polos'!$CH$2:$CU$2)))^2)</f>
        <v>9.0039971005265486E-3</v>
      </c>
      <c r="H7">
        <f>EXP(((-1)/(2*'Cálculos Diversos'!$B$5))*(SQRT(SUMXMY2('Tabela Entrada-Saída'!$B$7:$O$7,'Coordenadas dos Polos'!$CV$2:$DI$2)))^2)</f>
        <v>3.446696732912957E-5</v>
      </c>
      <c r="I7">
        <f>EXP(((-1)/(2*'Cálculos Diversos'!$B$5))*(SQRT(SUMXMY2('Tabela Entrada-Saída'!$B$7:$O$7,'Coordenadas dos Polos'!$DJ$2:$DW$2)))^2)</f>
        <v>7.4474718516826129E-4</v>
      </c>
      <c r="J7">
        <f>EXP(((-1)/(2*'Cálculos Diversos'!$B$5))*(SQRT(SUMXMY2('Tabela Entrada-Saída'!$B$7:$O$7,'Coordenadas dos Polos'!$DX$2:$EK$2)))^2)</f>
        <v>1.7672507379133914E-3</v>
      </c>
      <c r="K7">
        <f>EXP(((-1)/(2*'Cálculos Diversos'!$B$5))*(SQRT(SUMXMY2('Tabela Entrada-Saída'!$B$7:$O$7,'Coordenadas dos Polos'!$EL$2:$EY$2)))^2)</f>
        <v>7.5835607800955667E-3</v>
      </c>
      <c r="L7">
        <f>EXP(((-1)/(2*'Cálculos Diversos'!$B$5))*(SQRT(SUMXMY2('Tabela Entrada-Saída'!$B$7:$O$7,'Coordenadas dos Polos'!$EZ$2:$FM$2)))^2)</f>
        <v>4.8999699894271959E-4</v>
      </c>
      <c r="M7">
        <f>EXP(((-1)/(2*'Cálculos Diversos'!$B$5))*(SQRT(SUMXMY2('Tabela Entrada-Saída'!$B$7:$O$7,'Coordenadas dos Polos'!$FN$2:$GA$2)))^2)</f>
        <v>1.5187373894393768E-3</v>
      </c>
      <c r="N7">
        <f>EXP(((-1)/(2*'Cálculos Diversos'!$B$5))*(SQRT(SUMXMY2('Tabela Entrada-Saída'!$B$7:$O$7,'Coordenadas dos Polos'!$GB$2:$GO$2)))^2)</f>
        <v>2.7124278485872625E-2</v>
      </c>
      <c r="O7">
        <f>EXP(((-1)/(2*'Cálculos Diversos'!$B$5))*(SQRT(SUMXMY2('Tabela Entrada-Saída'!$B$7:$O$7,'Coordenadas dos Polos'!$GP$2:$HC$2)))^2)</f>
        <v>3.0897179625750518E-5</v>
      </c>
      <c r="P7">
        <v>1</v>
      </c>
    </row>
    <row r="8" spans="1:16" x14ac:dyDescent="0.25">
      <c r="A8">
        <v>7</v>
      </c>
      <c r="B8">
        <f>EXP(((-1)/(2*'Cálculos Diversos'!$B$5))*(SQRT(SUMXMY2('Tabela Entrada-Saída'!$B$8:$O$8,'Coordenadas dos Polos'!$P$2:$AC$2)))^2)</f>
        <v>0.28296030449122828</v>
      </c>
      <c r="C8">
        <f>EXP(((-1)/(2*'Cálculos Diversos'!$B$5))*(SQRT(SUMXMY2('Tabela Entrada-Saída'!$B$8:$O$8,'Coordenadas dos Polos'!$AD$2:$AQ$2)))^2)</f>
        <v>1.6682313970259557E-4</v>
      </c>
      <c r="D8">
        <f>EXP(((-1)/(2*'Cálculos Diversos'!$B$5))*(SQRT(SUMXMY2('Tabela Entrada-Saída'!$B$8:$O$8,'Coordenadas dos Polos'!$AR$2:$BE$2)))^2)</f>
        <v>1.8391833215953513E-4</v>
      </c>
      <c r="E8">
        <f>EXP(((-1)/(2*'Cálculos Diversos'!$B$5))*(SQRT(SUMXMY2('Tabela Entrada-Saída'!$B$8:$O$8,'Coordenadas dos Polos'!$BF$2:$BS$2)))^2)</f>
        <v>4.2457501297262138E-6</v>
      </c>
      <c r="F8">
        <f>EXP(((-1)/(2*'Cálculos Diversos'!$B$5))*(SQRT(SUMXMY2('Tabela Entrada-Saída'!$B$8:$O$8,'Coordenadas dos Polos'!$BT$2:$CG$2)))^2)</f>
        <v>8.6139023090000513E-4</v>
      </c>
      <c r="G8">
        <f>EXP(((-1)/(2*'Cálculos Diversos'!$B$5))*(SQRT(SUMXMY2('Tabela Entrada-Saída'!$B$8:$O$8,'Coordenadas dos Polos'!$CH$2:$CU$2)))^2)</f>
        <v>6.9087608234504865E-3</v>
      </c>
      <c r="H8">
        <f>EXP(((-1)/(2*'Cálculos Diversos'!$B$5))*(SQRT(SUMXMY2('Tabela Entrada-Saída'!$B$8:$O$8,'Coordenadas dos Polos'!$CV$2:$DI$2)))^2)</f>
        <v>4.8355471139626729E-5</v>
      </c>
      <c r="I8">
        <f>EXP(((-1)/(2*'Cálculos Diversos'!$B$5))*(SQRT(SUMXMY2('Tabela Entrada-Saída'!$B$8:$O$8,'Coordenadas dos Polos'!$DJ$2:$DW$2)))^2)</f>
        <v>8.2989788664914279E-4</v>
      </c>
      <c r="J8">
        <f>EXP(((-1)/(2*'Cálculos Diversos'!$B$5))*(SQRT(SUMXMY2('Tabela Entrada-Saída'!$B$8:$O$8,'Coordenadas dos Polos'!$DX$2:$EK$2)))^2)</f>
        <v>1.5095597337406756E-3</v>
      </c>
      <c r="K8">
        <f>EXP(((-1)/(2*'Cálculos Diversos'!$B$5))*(SQRT(SUMXMY2('Tabela Entrada-Saída'!$B$8:$O$8,'Coordenadas dos Polos'!$EL$2:$EY$2)))^2)</f>
        <v>9.147432781073753E-3</v>
      </c>
      <c r="L8">
        <f>EXP(((-1)/(2*'Cálculos Diversos'!$B$5))*(SQRT(SUMXMY2('Tabela Entrada-Saída'!$B$8:$O$8,'Coordenadas dos Polos'!$EZ$2:$FM$2)))^2)</f>
        <v>7.4909817049803758E-4</v>
      </c>
      <c r="M8">
        <f>EXP(((-1)/(2*'Cálculos Diversos'!$B$5))*(SQRT(SUMXMY2('Tabela Entrada-Saída'!$B$8:$O$8,'Coordenadas dos Polos'!$FN$2:$GA$2)))^2)</f>
        <v>1.6844152324071904E-3</v>
      </c>
      <c r="N8">
        <f>EXP(((-1)/(2*'Cálculos Diversos'!$B$5))*(SQRT(SUMXMY2('Tabela Entrada-Saída'!$B$8:$O$8,'Coordenadas dos Polos'!$GB$2:$GO$2)))^2)</f>
        <v>3.0605574445925276E-2</v>
      </c>
      <c r="O8">
        <f>EXP(((-1)/(2*'Cálculos Diversos'!$B$5))*(SQRT(SUMXMY2('Tabela Entrada-Saída'!$B$8:$O$8,'Coordenadas dos Polos'!$GP$2:$HC$2)))^2)</f>
        <v>4.2984482840342206E-5</v>
      </c>
      <c r="P8">
        <v>1</v>
      </c>
    </row>
    <row r="9" spans="1:16" x14ac:dyDescent="0.25">
      <c r="A9">
        <v>8</v>
      </c>
      <c r="B9">
        <f>EXP(((-1)/(2*'Cálculos Diversos'!$B$5))*(SQRT(SUMXMY2('Tabela Entrada-Saída'!$B$9:$O$9,'Coordenadas dos Polos'!$P$2:$AC$2)))^2)</f>
        <v>7.8869348988966623E-2</v>
      </c>
      <c r="C9">
        <f>EXP(((-1)/(2*'Cálculos Diversos'!$B$5))*(SQRT(SUMXMY2('Tabela Entrada-Saída'!$B$9:$O$9,'Coordenadas dos Polos'!$AD$2:$AQ$2)))^2)</f>
        <v>2.1231012822685779E-4</v>
      </c>
      <c r="D9">
        <f>EXP(((-1)/(2*'Cálculos Diversos'!$B$5))*(SQRT(SUMXMY2('Tabela Entrada-Saída'!$B$9:$O$9,'Coordenadas dos Polos'!$AR$2:$BE$2)))^2)</f>
        <v>2.392583144115114E-4</v>
      </c>
      <c r="E9">
        <f>EXP(((-1)/(2*'Cálculos Diversos'!$B$5))*(SQRT(SUMXMY2('Tabela Entrada-Saída'!$B$9:$O$9,'Coordenadas dos Polos'!$BF$2:$BS$2)))^2)</f>
        <v>4.2478897565335597E-6</v>
      </c>
      <c r="F9">
        <f>EXP(((-1)/(2*'Cálculos Diversos'!$B$5))*(SQRT(SUMXMY2('Tabela Entrada-Saída'!$B$9:$O$9,'Coordenadas dos Polos'!$BT$2:$CG$2)))^2)</f>
        <v>7.5527144643433835E-4</v>
      </c>
      <c r="G9">
        <f>EXP(((-1)/(2*'Cálculos Diversos'!$B$5))*(SQRT(SUMXMY2('Tabela Entrada-Saída'!$B$9:$O$9,'Coordenadas dos Polos'!$CH$2:$CU$2)))^2)</f>
        <v>3.8946522527440229E-3</v>
      </c>
      <c r="H9">
        <f>EXP(((-1)/(2*'Cálculos Diversos'!$B$5))*(SQRT(SUMXMY2('Tabela Entrada-Saída'!$B$9:$O$9,'Coordenadas dos Polos'!$CV$2:$DI$2)))^2)</f>
        <v>7.8330571109193998E-5</v>
      </c>
      <c r="I9">
        <f>EXP(((-1)/(2*'Cálculos Diversos'!$B$5))*(SQRT(SUMXMY2('Tabela Entrada-Saída'!$B$9:$O$9,'Coordenadas dos Polos'!$DJ$2:$DW$2)))^2)</f>
        <v>6.9839697113656624E-4</v>
      </c>
      <c r="J9">
        <f>EXP(((-1)/(2*'Cálculos Diversos'!$B$5))*(SQRT(SUMXMY2('Tabela Entrada-Saída'!$B$9:$O$9,'Coordenadas dos Polos'!$DX$2:$EK$2)))^2)</f>
        <v>8.4711391526647039E-4</v>
      </c>
      <c r="K9">
        <f>EXP(((-1)/(2*'Cálculos Diversos'!$B$5))*(SQRT(SUMXMY2('Tabela Entrada-Saída'!$B$9:$O$9,'Coordenadas dos Polos'!$EL$2:$EY$2)))^2)</f>
        <v>7.7592218621524928E-3</v>
      </c>
      <c r="L9">
        <f>EXP(((-1)/(2*'Cálculos Diversos'!$B$5))*(SQRT(SUMXMY2('Tabela Entrada-Saída'!$B$9:$O$9,'Coordenadas dos Polos'!$EZ$2:$FM$2)))^2)</f>
        <v>1.0178632815641612E-3</v>
      </c>
      <c r="M9">
        <f>EXP(((-1)/(2*'Cálculos Diversos'!$B$5))*(SQRT(SUMXMY2('Tabela Entrada-Saída'!$B$9:$O$9,'Coordenadas dos Polos'!$FN$2:$GA$2)))^2)</f>
        <v>1.3859246068191752E-3</v>
      </c>
      <c r="N9">
        <f>EXP(((-1)/(2*'Cálculos Diversos'!$B$5))*(SQRT(SUMXMY2('Tabela Entrada-Saída'!$B$9:$O$9,'Coordenadas dos Polos'!$GB$2:$GO$2)))^2)</f>
        <v>2.0068440931391623E-2</v>
      </c>
      <c r="O9">
        <f>EXP(((-1)/(2*'Cálculos Diversos'!$B$5))*(SQRT(SUMXMY2('Tabela Entrada-Saída'!$B$9:$O$9,'Coordenadas dos Polos'!$GP$2:$HC$2)))^2)</f>
        <v>4.6318650120223578E-5</v>
      </c>
      <c r="P9">
        <v>1</v>
      </c>
    </row>
    <row r="10" spans="1:16" x14ac:dyDescent="0.25">
      <c r="A10">
        <v>9</v>
      </c>
      <c r="B10">
        <f>EXP(((-1)/(2*'Cálculos Diversos'!$B$5))*(SQRT(SUMXMY2('Tabela Entrada-Saída'!$B$10:$O$10,'Coordenadas dos Polos'!$P$2:$AC$2)))^2)</f>
        <v>2.8701389551133934E-2</v>
      </c>
      <c r="C10">
        <f>EXP(((-1)/(2*'Cálculos Diversos'!$B$5))*(SQRT(SUMXMY2('Tabela Entrada-Saída'!$B$10:$O$10,'Coordenadas dos Polos'!$AD$2:$AQ$2)))^2)</f>
        <v>1.8972340401261352E-4</v>
      </c>
      <c r="D10">
        <f>EXP(((-1)/(2*'Cálculos Diversos'!$B$5))*(SQRT(SUMXMY2('Tabela Entrada-Saída'!$B$10:$O$10,'Coordenadas dos Polos'!$AR$2:$BE$2)))^2)</f>
        <v>3.5838938430546064E-4</v>
      </c>
      <c r="E10">
        <f>EXP(((-1)/(2*'Cálculos Diversos'!$B$5))*(SQRT(SUMXMY2('Tabela Entrada-Saída'!$B$10:$O$10,'Coordenadas dos Polos'!$BF$2:$BS$2)))^2)</f>
        <v>5.4680402525175531E-6</v>
      </c>
      <c r="F10">
        <f>EXP(((-1)/(2*'Cálculos Diversos'!$B$5))*(SQRT(SUMXMY2('Tabela Entrada-Saída'!$B$10:$O$10,'Coordenadas dos Polos'!$BT$2:$CG$2)))^2)</f>
        <v>3.4699024593649099E-4</v>
      </c>
      <c r="G10">
        <f>EXP(((-1)/(2*'Cálculos Diversos'!$B$5))*(SQRT(SUMXMY2('Tabela Entrada-Saída'!$B$10:$O$10,'Coordenadas dos Polos'!$CH$2:$CU$2)))^2)</f>
        <v>2.7057395980462379E-3</v>
      </c>
      <c r="H10">
        <f>EXP(((-1)/(2*'Cálculos Diversos'!$B$5))*(SQRT(SUMXMY2('Tabela Entrada-Saída'!$B$10:$O$10,'Coordenadas dos Polos'!$CV$2:$DI$2)))^2)</f>
        <v>5.9646408837835905E-5</v>
      </c>
      <c r="I10">
        <f>EXP(((-1)/(2*'Cálculos Diversos'!$B$5))*(SQRT(SUMXMY2('Tabela Entrada-Saída'!$B$10:$O$10,'Coordenadas dos Polos'!$DJ$2:$DW$2)))^2)</f>
        <v>9.902473995148397E-4</v>
      </c>
      <c r="J10">
        <f>EXP(((-1)/(2*'Cálculos Diversos'!$B$5))*(SQRT(SUMXMY2('Tabela Entrada-Saída'!$B$10:$O$10,'Coordenadas dos Polos'!$DX$2:$EK$2)))^2)</f>
        <v>7.8332997516937909E-4</v>
      </c>
      <c r="K10">
        <f>EXP(((-1)/(2*'Cálculos Diversos'!$B$5))*(SQRT(SUMXMY2('Tabela Entrada-Saída'!$B$10:$O$10,'Coordenadas dos Polos'!$EL$2:$EY$2)))^2)</f>
        <v>1.3541411227672251E-2</v>
      </c>
      <c r="L10">
        <f>EXP(((-1)/(2*'Cálculos Diversos'!$B$5))*(SQRT(SUMXMY2('Tabela Entrada-Saída'!$B$10:$O$10,'Coordenadas dos Polos'!$EZ$2:$FM$2)))^2)</f>
        <v>9.1472546167557149E-4</v>
      </c>
      <c r="M10">
        <f>EXP(((-1)/(2*'Cálculos Diversos'!$B$5))*(SQRT(SUMXMY2('Tabela Entrada-Saída'!$B$10:$O$10,'Coordenadas dos Polos'!$FN$2:$GA$2)))^2)</f>
        <v>1.1118632902204812E-3</v>
      </c>
      <c r="N10">
        <f>EXP(((-1)/(2*'Cálculos Diversos'!$B$5))*(SQRT(SUMXMY2('Tabela Entrada-Saída'!$B$10:$O$10,'Coordenadas dos Polos'!$GB$2:$GO$2)))^2)</f>
        <v>1.6807598797831225E-2</v>
      </c>
      <c r="O10">
        <f>EXP(((-1)/(2*'Cálculos Diversos'!$B$5))*(SQRT(SUMXMY2('Tabela Entrada-Saída'!$B$10:$O$10,'Coordenadas dos Polos'!$GP$2:$HC$2)))^2)</f>
        <v>9.1646599059145182E-5</v>
      </c>
      <c r="P10">
        <v>1</v>
      </c>
    </row>
    <row r="11" spans="1:16" x14ac:dyDescent="0.25">
      <c r="A11">
        <v>10</v>
      </c>
      <c r="B11">
        <f>EXP(((-1)/(2*'Cálculos Diversos'!$B$5))*(SQRT(SUMXMY2('Tabela Entrada-Saída'!$B$11:$O$11,'Coordenadas dos Polos'!$P$2:$AC$2)))^2)</f>
        <v>1.5707033112939708E-2</v>
      </c>
      <c r="C11">
        <f>EXP(((-1)/(2*'Cálculos Diversos'!$B$5))*(SQRT(SUMXMY2('Tabela Entrada-Saída'!$B$11:$O$11,'Coordenadas dos Polos'!$AD$2:$AQ$2)))^2)</f>
        <v>1.6473684416644339E-4</v>
      </c>
      <c r="D11">
        <f>EXP(((-1)/(2*'Cálculos Diversos'!$B$5))*(SQRT(SUMXMY2('Tabela Entrada-Saída'!$B$11:$O$11,'Coordenadas dos Polos'!$AR$2:$BE$2)))^2)</f>
        <v>3.5972684944157019E-4</v>
      </c>
      <c r="E11">
        <f>EXP(((-1)/(2*'Cálculos Diversos'!$B$5))*(SQRT(SUMXMY2('Tabela Entrada-Saída'!$B$11:$O$11,'Coordenadas dos Polos'!$BF$2:$BS$2)))^2)</f>
        <v>9.6862353920492263E-6</v>
      </c>
      <c r="F11">
        <f>EXP(((-1)/(2*'Cálculos Diversos'!$B$5))*(SQRT(SUMXMY2('Tabela Entrada-Saída'!$B$11:$O$11,'Coordenadas dos Polos'!$BT$2:$CG$2)))^2)</f>
        <v>3.0950931605370905E-4</v>
      </c>
      <c r="G11">
        <f>EXP(((-1)/(2*'Cálculos Diversos'!$B$5))*(SQRT(SUMXMY2('Tabela Entrada-Saída'!$B$11:$O$11,'Coordenadas dos Polos'!$CH$2:$CU$2)))^2)</f>
        <v>2.237043319046225E-3</v>
      </c>
      <c r="H11">
        <f>EXP(((-1)/(2*'Cálculos Diversos'!$B$5))*(SQRT(SUMXMY2('Tabela Entrada-Saída'!$B$11:$O$11,'Coordenadas dos Polos'!$CV$2:$DI$2)))^2)</f>
        <v>6.8633570960092077E-5</v>
      </c>
      <c r="I11">
        <f>EXP(((-1)/(2*'Cálculos Diversos'!$B$5))*(SQRT(SUMXMY2('Tabela Entrada-Saída'!$B$11:$O$11,'Coordenadas dos Polos'!$DJ$2:$DW$2)))^2)</f>
        <v>1.535788018457845E-3</v>
      </c>
      <c r="J11">
        <f>EXP(((-1)/(2*'Cálculos Diversos'!$B$5))*(SQRT(SUMXMY2('Tabela Entrada-Saída'!$B$11:$O$11,'Coordenadas dos Polos'!$DX$2:$EK$2)))^2)</f>
        <v>7.301304037288372E-4</v>
      </c>
      <c r="K11">
        <f>EXP(((-1)/(2*'Cálculos Diversos'!$B$5))*(SQRT(SUMXMY2('Tabela Entrada-Saída'!$B$11:$O$11,'Coordenadas dos Polos'!$EL$2:$EY$2)))^2)</f>
        <v>1.4370950468549824E-2</v>
      </c>
      <c r="L11">
        <f>EXP(((-1)/(2*'Cálculos Diversos'!$B$5))*(SQRT(SUMXMY2('Tabela Entrada-Saída'!$B$11:$O$11,'Coordenadas dos Polos'!$EZ$2:$FM$2)))^2)</f>
        <v>9.2191723093729225E-4</v>
      </c>
      <c r="M11">
        <f>EXP(((-1)/(2*'Cálculos Diversos'!$B$5))*(SQRT(SUMXMY2('Tabela Entrada-Saída'!$B$11:$O$11,'Coordenadas dos Polos'!$FN$2:$GA$2)))^2)</f>
        <v>9.2239335033417983E-4</v>
      </c>
      <c r="N11">
        <f>EXP(((-1)/(2*'Cálculos Diversos'!$B$5))*(SQRT(SUMXMY2('Tabela Entrada-Saída'!$B$11:$O$11,'Coordenadas dos Polos'!$GB$2:$GO$2)))^2)</f>
        <v>9.9724432025381487E-3</v>
      </c>
      <c r="O11">
        <f>EXP(((-1)/(2*'Cálculos Diversos'!$B$5))*(SQRT(SUMXMY2('Tabela Entrada-Saída'!$B$11:$O$11,'Coordenadas dos Polos'!$GP$2:$HC$2)))^2)</f>
        <v>1.0727828031818716E-4</v>
      </c>
      <c r="P11">
        <v>1</v>
      </c>
    </row>
    <row r="12" spans="1:16" x14ac:dyDescent="0.25">
      <c r="A12">
        <v>11</v>
      </c>
      <c r="B12">
        <f>EXP(((-1)/(2*'Cálculos Diversos'!$B$5))*(SQRT(SUMXMY2('Tabela Entrada-Saída'!$B$12:$O$12,'Coordenadas dos Polos'!$P$2:$AC$2)))^2)</f>
        <v>1.1747169519596729E-2</v>
      </c>
      <c r="C12">
        <f>EXP(((-1)/(2*'Cálculos Diversos'!$B$5))*(SQRT(SUMXMY2('Tabela Entrada-Saída'!$B$12:$O$12,'Coordenadas dos Polos'!$AD$2:$AQ$2)))^2)</f>
        <v>1.2063564832822783E-4</v>
      </c>
      <c r="D12">
        <f>EXP(((-1)/(2*'Cálculos Diversos'!$B$5))*(SQRT(SUMXMY2('Tabela Entrada-Saída'!$B$12:$O$12,'Coordenadas dos Polos'!$AR$2:$BE$2)))^2)</f>
        <v>1.7835571170394916E-4</v>
      </c>
      <c r="E12">
        <f>EXP(((-1)/(2*'Cálculos Diversos'!$B$5))*(SQRT(SUMXMY2('Tabela Entrada-Saída'!$B$12:$O$12,'Coordenadas dos Polos'!$BF$2:$BS$2)))^2)</f>
        <v>1.275705863422758E-5</v>
      </c>
      <c r="F12">
        <f>EXP(((-1)/(2*'Cálculos Diversos'!$B$5))*(SQRT(SUMXMY2('Tabela Entrada-Saída'!$B$12:$O$12,'Coordenadas dos Polos'!$BT$2:$CG$2)))^2)</f>
        <v>2.106929242201781E-4</v>
      </c>
      <c r="G12">
        <f>EXP(((-1)/(2*'Cálculos Diversos'!$B$5))*(SQRT(SUMXMY2('Tabela Entrada-Saída'!$B$12:$O$12,'Coordenadas dos Polos'!$CH$2:$CU$2)))^2)</f>
        <v>2.9741000057097126E-3</v>
      </c>
      <c r="H12">
        <f>EXP(((-1)/(2*'Cálculos Diversos'!$B$5))*(SQRT(SUMXMY2('Tabela Entrada-Saída'!$B$12:$O$12,'Coordenadas dos Polos'!$CV$2:$DI$2)))^2)</f>
        <v>5.5157576906501426E-5</v>
      </c>
      <c r="I12">
        <f>EXP(((-1)/(2*'Cálculos Diversos'!$B$5))*(SQRT(SUMXMY2('Tabela Entrada-Saída'!$B$12:$O$12,'Coordenadas dos Polos'!$DJ$2:$DW$2)))^2)</f>
        <v>1.2571050714658427E-3</v>
      </c>
      <c r="J12">
        <f>EXP(((-1)/(2*'Cálculos Diversos'!$B$5))*(SQRT(SUMXMY2('Tabela Entrada-Saída'!$B$12:$O$12,'Coordenadas dos Polos'!$DX$2:$EK$2)))^2)</f>
        <v>7.5376350231476927E-4</v>
      </c>
      <c r="K12">
        <f>EXP(((-1)/(2*'Cálculos Diversos'!$B$5))*(SQRT(SUMXMY2('Tabela Entrada-Saída'!$B$12:$O$12,'Coordenadas dos Polos'!$EL$2:$EY$2)))^2)</f>
        <v>1.7327203916116557E-2</v>
      </c>
      <c r="L12">
        <f>EXP(((-1)/(2*'Cálculos Diversos'!$B$5))*(SQRT(SUMXMY2('Tabela Entrada-Saída'!$B$12:$O$12,'Coordenadas dos Polos'!$EZ$2:$FM$2)))^2)</f>
        <v>5.1538675762332589E-4</v>
      </c>
      <c r="M12">
        <f>EXP(((-1)/(2*'Cálculos Diversos'!$B$5))*(SQRT(SUMXMY2('Tabela Entrada-Saída'!$B$12:$O$12,'Coordenadas dos Polos'!$FN$2:$GA$2)))^2)</f>
        <v>6.5981296748351926E-4</v>
      </c>
      <c r="N12">
        <f>EXP(((-1)/(2*'Cálculos Diversos'!$B$5))*(SQRT(SUMXMY2('Tabela Entrada-Saída'!$B$12:$O$12,'Coordenadas dos Polos'!$GB$2:$GO$2)))^2)</f>
        <v>6.4541011541863393E-3</v>
      </c>
      <c r="O12">
        <f>EXP(((-1)/(2*'Cálculos Diversos'!$B$5))*(SQRT(SUMXMY2('Tabela Entrada-Saída'!$B$12:$O$12,'Coordenadas dos Polos'!$GP$2:$HC$2)))^2)</f>
        <v>1.2164635399261467E-4</v>
      </c>
      <c r="P12">
        <v>1</v>
      </c>
    </row>
    <row r="13" spans="1:16" x14ac:dyDescent="0.25">
      <c r="A13">
        <v>12</v>
      </c>
      <c r="B13">
        <f>EXP(((-1)/(2*'Cálculos Diversos'!$B$5))*(SQRT(SUMXMY2('Tabela Entrada-Saída'!$B$13:$O$13,'Coordenadas dos Polos'!$P$2:$AC$2)))^2)</f>
        <v>2.0106292182880642E-2</v>
      </c>
      <c r="C13">
        <f>EXP(((-1)/(2*'Cálculos Diversos'!$B$5))*(SQRT(SUMXMY2('Tabela Entrada-Saída'!$B$13:$O$13,'Coordenadas dos Polos'!$AD$2:$AQ$2)))^2)</f>
        <v>1.3971459861003314E-4</v>
      </c>
      <c r="D13">
        <f>EXP(((-1)/(2*'Cálculos Diversos'!$B$5))*(SQRT(SUMXMY2('Tabela Entrada-Saída'!$B$13:$O$13,'Coordenadas dos Polos'!$AR$2:$BE$2)))^2)</f>
        <v>2.1252231782744471E-4</v>
      </c>
      <c r="E13">
        <f>EXP(((-1)/(2*'Cálculos Diversos'!$B$5))*(SQRT(SUMXMY2('Tabela Entrada-Saída'!$B$13:$O$13,'Coordenadas dos Polos'!$BF$2:$BS$2)))^2)</f>
        <v>1.3562995603506025E-5</v>
      </c>
      <c r="F13">
        <f>EXP(((-1)/(2*'Cálculos Diversos'!$B$5))*(SQRT(SUMXMY2('Tabela Entrada-Saída'!$B$13:$O$13,'Coordenadas dos Polos'!$BT$2:$CG$2)))^2)</f>
        <v>2.677243221372E-4</v>
      </c>
      <c r="G13">
        <f>EXP(((-1)/(2*'Cálculos Diversos'!$B$5))*(SQRT(SUMXMY2('Tabela Entrada-Saída'!$B$13:$O$13,'Coordenadas dos Polos'!$CH$2:$CU$2)))^2)</f>
        <v>3.8859009865416095E-3</v>
      </c>
      <c r="H13">
        <f>EXP(((-1)/(2*'Cálculos Diversos'!$B$5))*(SQRT(SUMXMY2('Tabela Entrada-Saída'!$B$13:$O$13,'Coordenadas dos Polos'!$CV$2:$DI$2)))^2)</f>
        <v>5.8042078088909048E-5</v>
      </c>
      <c r="I13">
        <f>EXP(((-1)/(2*'Cálculos Diversos'!$B$5))*(SQRT(SUMXMY2('Tabela Entrada-Saída'!$B$13:$O$13,'Coordenadas dos Polos'!$DJ$2:$DW$2)))^2)</f>
        <v>1.4883946123586517E-3</v>
      </c>
      <c r="J13">
        <f>EXP(((-1)/(2*'Cálculos Diversos'!$B$5))*(SQRT(SUMXMY2('Tabela Entrada-Saída'!$B$13:$O$13,'Coordenadas dos Polos'!$DX$2:$EK$2)))^2)</f>
        <v>1.0056141444490171E-3</v>
      </c>
      <c r="K13">
        <f>EXP(((-1)/(2*'Cálculos Diversos'!$B$5))*(SQRT(SUMXMY2('Tabela Entrada-Saída'!$B$13:$O$13,'Coordenadas dos Polos'!$EL$2:$EY$2)))^2)</f>
        <v>2.0334452422359161E-2</v>
      </c>
      <c r="L13">
        <f>EXP(((-1)/(2*'Cálculos Diversos'!$B$5))*(SQRT(SUMXMY2('Tabela Entrada-Saída'!$B$13:$O$13,'Coordenadas dos Polos'!$EZ$2:$FM$2)))^2)</f>
        <v>5.9701635328601027E-4</v>
      </c>
      <c r="M13">
        <f>EXP(((-1)/(2*'Cálculos Diversos'!$B$5))*(SQRT(SUMXMY2('Tabela Entrada-Saída'!$B$13:$O$13,'Coordenadas dos Polos'!$FN$2:$GA$2)))^2)</f>
        <v>8.4937338239888193E-4</v>
      </c>
      <c r="N13">
        <f>EXP(((-1)/(2*'Cálculos Diversos'!$B$5))*(SQRT(SUMXMY2('Tabela Entrada-Saída'!$B$13:$O$13,'Coordenadas dos Polos'!$GB$2:$GO$2)))^2)</f>
        <v>9.1653005722780994E-3</v>
      </c>
      <c r="O13">
        <f>EXP(((-1)/(2*'Cálculos Diversos'!$B$5))*(SQRT(SUMXMY2('Tabela Entrada-Saída'!$B$13:$O$13,'Coordenadas dos Polos'!$GP$2:$HC$2)))^2)</f>
        <v>1.3514755216790944E-4</v>
      </c>
      <c r="P13">
        <v>1</v>
      </c>
    </row>
    <row r="14" spans="1:16" x14ac:dyDescent="0.25">
      <c r="A14">
        <v>13</v>
      </c>
      <c r="B14">
        <f>EXP(((-1)/(2*'Cálculos Diversos'!$B$5))*(SQRT(SUMXMY2('Tabela Entrada-Saída'!$B$14:$O$14,'Coordenadas dos Polos'!$P$2:$AC$2)))^2)</f>
        <v>3.9314969542944271E-2</v>
      </c>
      <c r="C14">
        <f>EXP(((-1)/(2*'Cálculos Diversos'!$B$5))*(SQRT(SUMXMY2('Tabela Entrada-Saída'!$B$14:$O$14,'Coordenadas dos Polos'!$AD$2:$AQ$2)))^2)</f>
        <v>1.4481365162268358E-4</v>
      </c>
      <c r="D14">
        <f>EXP(((-1)/(2*'Cálculos Diversos'!$B$5))*(SQRT(SUMXMY2('Tabela Entrada-Saída'!$B$14:$O$14,'Coordenadas dos Polos'!$AR$2:$BE$2)))^2)</f>
        <v>2.5441434514972998E-4</v>
      </c>
      <c r="E14">
        <f>EXP(((-1)/(2*'Cálculos Diversos'!$B$5))*(SQRT(SUMXMY2('Tabela Entrada-Saída'!$B$14:$O$14,'Coordenadas dos Polos'!$BF$2:$BS$2)))^2)</f>
        <v>1.6744134581525467E-5</v>
      </c>
      <c r="F14">
        <f>EXP(((-1)/(2*'Cálculos Diversos'!$B$5))*(SQRT(SUMXMY2('Tabela Entrada-Saída'!$B$14:$O$14,'Coordenadas dos Polos'!$BT$2:$CG$2)))^2)</f>
        <v>3.2804606378169008E-4</v>
      </c>
      <c r="G14">
        <f>EXP(((-1)/(2*'Cálculos Diversos'!$B$5))*(SQRT(SUMXMY2('Tabela Entrada-Saída'!$B$14:$O$14,'Coordenadas dos Polos'!$CH$2:$CU$2)))^2)</f>
        <v>5.3038467732046193E-3</v>
      </c>
      <c r="H14">
        <f>EXP(((-1)/(2*'Cálculos Diversos'!$B$5))*(SQRT(SUMXMY2('Tabela Entrada-Saída'!$B$14:$O$14,'Coordenadas dos Polos'!$CV$2:$DI$2)))^2)</f>
        <v>5.4530281312351209E-5</v>
      </c>
      <c r="I14">
        <f>EXP(((-1)/(2*'Cálculos Diversos'!$B$5))*(SQRT(SUMXMY2('Tabela Entrada-Saída'!$B$14:$O$14,'Coordenadas dos Polos'!$DJ$2:$DW$2)))^2)</f>
        <v>2.1881678098391736E-3</v>
      </c>
      <c r="J14">
        <f>EXP(((-1)/(2*'Cálculos Diversos'!$B$5))*(SQRT(SUMXMY2('Tabela Entrada-Saída'!$B$14:$O$14,'Coordenadas dos Polos'!$DX$2:$EK$2)))^2)</f>
        <v>1.5283945516512229E-3</v>
      </c>
      <c r="K14">
        <f>EXP(((-1)/(2*'Cálculos Diversos'!$B$5))*(SQRT(SUMXMY2('Tabela Entrada-Saída'!$B$14:$O$14,'Coordenadas dos Polos'!$EL$2:$EY$2)))^2)</f>
        <v>2.5814971692322854E-2</v>
      </c>
      <c r="L14">
        <f>EXP(((-1)/(2*'Cálculos Diversos'!$B$5))*(SQRT(SUMXMY2('Tabela Entrada-Saída'!$B$14:$O$14,'Coordenadas dos Polos'!$EZ$2:$FM$2)))^2)</f>
        <v>6.5618767195108974E-4</v>
      </c>
      <c r="M14">
        <f>EXP(((-1)/(2*'Cálculos Diversos'!$B$5))*(SQRT(SUMXMY2('Tabela Entrada-Saída'!$B$14:$O$14,'Coordenadas dos Polos'!$FN$2:$GA$2)))^2)</f>
        <v>1.0986840924822753E-3</v>
      </c>
      <c r="N14">
        <f>EXP(((-1)/(2*'Cálculos Diversos'!$B$5))*(SQRT(SUMXMY2('Tabela Entrada-Saída'!$B$14:$O$14,'Coordenadas dos Polos'!$GB$2:$GO$2)))^2)</f>
        <v>1.2772952242601703E-2</v>
      </c>
      <c r="O14">
        <f>EXP(((-1)/(2*'Cálculos Diversos'!$B$5))*(SQRT(SUMXMY2('Tabela Entrada-Saída'!$B$14:$O$14,'Coordenadas dos Polos'!$GP$2:$HC$2)))^2)</f>
        <v>1.5849162880462284E-4</v>
      </c>
      <c r="P14">
        <v>1</v>
      </c>
    </row>
    <row r="15" spans="1:16" x14ac:dyDescent="0.25">
      <c r="A15">
        <v>14</v>
      </c>
      <c r="B15">
        <f>EXP(((-1)/(2*'Cálculos Diversos'!$B$5))*(SQRT(SUMXMY2('Tabela Entrada-Saída'!$B$15:$O$15,'Coordenadas dos Polos'!$P$2:$AC$2)))^2)</f>
        <v>8.7190009187242359E-2</v>
      </c>
      <c r="C15">
        <f>EXP(((-1)/(2*'Cálculos Diversos'!$B$5))*(SQRT(SUMXMY2('Tabela Entrada-Saída'!$B$15:$O$15,'Coordenadas dos Polos'!$AD$2:$AQ$2)))^2)</f>
        <v>1.2143031324445286E-4</v>
      </c>
      <c r="D15">
        <f>EXP(((-1)/(2*'Cálculos Diversos'!$B$5))*(SQRT(SUMXMY2('Tabela Entrada-Saída'!$B$15:$O$15,'Coordenadas dos Polos'!$AR$2:$BE$2)))^2)</f>
        <v>2.0234701843852755E-4</v>
      </c>
      <c r="E15">
        <f>EXP(((-1)/(2*'Cálculos Diversos'!$B$5))*(SQRT(SUMXMY2('Tabela Entrada-Saída'!$B$15:$O$15,'Coordenadas dos Polos'!$BF$2:$BS$2)))^2)</f>
        <v>2.0983253636893388E-5</v>
      </c>
      <c r="F15">
        <f>EXP(((-1)/(2*'Cálculos Diversos'!$B$5))*(SQRT(SUMXMY2('Tabela Entrada-Saída'!$B$15:$O$15,'Coordenadas dos Polos'!$BT$2:$CG$2)))^2)</f>
        <v>3.8668268519204542E-4</v>
      </c>
      <c r="G15">
        <f>EXP(((-1)/(2*'Cálculos Diversos'!$B$5))*(SQRT(SUMXMY2('Tabela Entrada-Saída'!$B$15:$O$15,'Coordenadas dos Polos'!$CH$2:$CU$2)))^2)</f>
        <v>8.0825809032321061E-3</v>
      </c>
      <c r="H15">
        <f>EXP(((-1)/(2*'Cálculos Diversos'!$B$5))*(SQRT(SUMXMY2('Tabela Entrada-Saída'!$B$15:$O$15,'Coordenadas dos Polos'!$CV$2:$DI$2)))^2)</f>
        <v>4.3706815636564424E-5</v>
      </c>
      <c r="I15">
        <f>EXP(((-1)/(2*'Cálculos Diversos'!$B$5))*(SQRT(SUMXMY2('Tabela Entrada-Saída'!$B$15:$O$15,'Coordenadas dos Polos'!$DJ$2:$DW$2)))^2)</f>
        <v>2.7964460206438371E-3</v>
      </c>
      <c r="J15">
        <f>EXP(((-1)/(2*'Cálculos Diversos'!$B$5))*(SQRT(SUMXMY2('Tabela Entrada-Saída'!$B$15:$O$15,'Coordenadas dos Polos'!$DX$2:$EK$2)))^2)</f>
        <v>2.3161166028912287E-3</v>
      </c>
      <c r="K15">
        <f>EXP(((-1)/(2*'Cálculos Diversos'!$B$5))*(SQRT(SUMXMY2('Tabela Entrada-Saída'!$B$15:$O$15,'Coordenadas dos Polos'!$EL$2:$EY$2)))^2)</f>
        <v>2.8648829781707123E-2</v>
      </c>
      <c r="L15">
        <f>EXP(((-1)/(2*'Cálculos Diversos'!$B$5))*(SQRT(SUMXMY2('Tabela Entrada-Saída'!$B$15:$O$15,'Coordenadas dos Polos'!$EZ$2:$FM$2)))^2)</f>
        <v>5.4841156185126447E-4</v>
      </c>
      <c r="M15">
        <f>EXP(((-1)/(2*'Cálculos Diversos'!$B$5))*(SQRT(SUMXMY2('Tabela Entrada-Saída'!$B$15:$O$15,'Coordenadas dos Polos'!$FN$2:$GA$2)))^2)</f>
        <v>1.2228443416711036E-3</v>
      </c>
      <c r="N15">
        <f>EXP(((-1)/(2*'Cálculos Diversos'!$B$5))*(SQRT(SUMXMY2('Tabela Entrada-Saída'!$B$15:$O$15,'Coordenadas dos Polos'!$GB$2:$GO$2)))^2)</f>
        <v>1.4721776048402559E-2</v>
      </c>
      <c r="O15">
        <f>EXP(((-1)/(2*'Cálculos Diversos'!$B$5))*(SQRT(SUMXMY2('Tabela Entrada-Saída'!$B$15:$O$15,'Coordenadas dos Polos'!$GP$2:$HC$2)))^2)</f>
        <v>1.5241942876334923E-4</v>
      </c>
      <c r="P15">
        <v>1</v>
      </c>
    </row>
    <row r="16" spans="1:16" x14ac:dyDescent="0.25">
      <c r="A16">
        <v>15</v>
      </c>
      <c r="B16">
        <f>EXP(((-1)/(2*'Cálculos Diversos'!$B$5))*(SQRT(SUMXMY2('Tabela Entrada-Saída'!$B$16:$O$16,'Coordenadas dos Polos'!$P$2:$AC$2)))^2)</f>
        <v>0.17439654506294699</v>
      </c>
      <c r="C16">
        <f>EXP(((-1)/(2*'Cálculos Diversos'!$B$5))*(SQRT(SUMXMY2('Tabela Entrada-Saída'!$B$16:$O$16,'Coordenadas dos Polos'!$AD$2:$AQ$2)))^2)</f>
        <v>1.2151668093944255E-4</v>
      </c>
      <c r="D16">
        <f>EXP(((-1)/(2*'Cálculos Diversos'!$B$5))*(SQRT(SUMXMY2('Tabela Entrada-Saída'!$B$16:$O$16,'Coordenadas dos Polos'!$AR$2:$BE$2)))^2)</f>
        <v>1.2266115622302045E-4</v>
      </c>
      <c r="E16">
        <f>EXP(((-1)/(2*'Cálculos Diversos'!$B$5))*(SQRT(SUMXMY2('Tabela Entrada-Saída'!$B$16:$O$16,'Coordenadas dos Polos'!$BF$2:$BS$2)))^2)</f>
        <v>1.8007330641737499E-5</v>
      </c>
      <c r="F16">
        <f>EXP(((-1)/(2*'Cálculos Diversos'!$B$5))*(SQRT(SUMXMY2('Tabela Entrada-Saída'!$B$16:$O$16,'Coordenadas dos Polos'!$BT$2:$CG$2)))^2)</f>
        <v>6.0002833974212555E-4</v>
      </c>
      <c r="G16">
        <f>EXP(((-1)/(2*'Cálculos Diversos'!$B$5))*(SQRT(SUMXMY2('Tabela Entrada-Saída'!$B$16:$O$16,'Coordenadas dos Polos'!$CH$2:$CU$2)))^2)</f>
        <v>1.192546073311687E-2</v>
      </c>
      <c r="H16">
        <f>EXP(((-1)/(2*'Cálculos Diversos'!$B$5))*(SQRT(SUMXMY2('Tabela Entrada-Saída'!$B$16:$O$16,'Coordenadas dos Polos'!$CV$2:$DI$2)))^2)</f>
        <v>4.9255841617406749E-5</v>
      </c>
      <c r="I16">
        <f>EXP(((-1)/(2*'Cálculos Diversos'!$B$5))*(SQRT(SUMXMY2('Tabela Entrada-Saída'!$B$16:$O$16,'Coordenadas dos Polos'!$DJ$2:$DW$2)))^2)</f>
        <v>1.96281367773138E-3</v>
      </c>
      <c r="J16">
        <f>EXP(((-1)/(2*'Cálculos Diversos'!$B$5))*(SQRT(SUMXMY2('Tabela Entrada-Saída'!$B$16:$O$16,'Coordenadas dos Polos'!$DX$2:$EK$2)))^2)</f>
        <v>2.5812195901898506E-3</v>
      </c>
      <c r="K16">
        <f>EXP(((-1)/(2*'Cálculos Diversos'!$B$5))*(SQRT(SUMXMY2('Tabela Entrada-Saída'!$B$16:$O$16,'Coordenadas dos Polos'!$EL$2:$EY$2)))^2)</f>
        <v>2.1075626940252785E-2</v>
      </c>
      <c r="L16">
        <f>EXP(((-1)/(2*'Cálculos Diversos'!$B$5))*(SQRT(SUMXMY2('Tabela Entrada-Saída'!$B$16:$O$16,'Coordenadas dos Polos'!$EZ$2:$FM$2)))^2)</f>
        <v>4.9286719541976958E-4</v>
      </c>
      <c r="M16">
        <f>EXP(((-1)/(2*'Cálculos Diversos'!$B$5))*(SQRT(SUMXMY2('Tabela Entrada-Saída'!$B$16:$O$16,'Coordenadas dos Polos'!$FN$2:$GA$2)))^2)</f>
        <v>1.3348373451360404E-3</v>
      </c>
      <c r="N16">
        <f>EXP(((-1)/(2*'Cálculos Diversos'!$B$5))*(SQRT(SUMXMY2('Tabela Entrada-Saída'!$B$16:$O$16,'Coordenadas dos Polos'!$GB$2:$GO$2)))^2)</f>
        <v>1.5645417841808684E-2</v>
      </c>
      <c r="O16">
        <f>EXP(((-1)/(2*'Cálculos Diversos'!$B$5))*(SQRT(SUMXMY2('Tabela Entrada-Saída'!$B$16:$O$16,'Coordenadas dos Polos'!$GP$2:$HC$2)))^2)</f>
        <v>1.0014017920513317E-4</v>
      </c>
      <c r="P16">
        <v>1</v>
      </c>
    </row>
    <row r="17" spans="1:16" x14ac:dyDescent="0.25">
      <c r="A17">
        <v>16</v>
      </c>
      <c r="B17">
        <f>EXP(((-1)/(2*'Cálculos Diversos'!$B$5))*(SQRT(SUMXMY2('Tabela Entrada-Saída'!$B$17:$O$17,'Coordenadas dos Polos'!$P$2:$AC$2)))^2)</f>
        <v>0.30109886273361497</v>
      </c>
      <c r="C17">
        <f>EXP(((-1)/(2*'Cálculos Diversos'!$B$5))*(SQRT(SUMXMY2('Tabela Entrada-Saída'!$B$17:$O$17,'Coordenadas dos Polos'!$AD$2:$AQ$2)))^2)</f>
        <v>1.2934835487570445E-4</v>
      </c>
      <c r="D17">
        <f>EXP(((-1)/(2*'Cálculos Diversos'!$B$5))*(SQRT(SUMXMY2('Tabela Entrada-Saída'!$B$17:$O$17,'Coordenadas dos Polos'!$AR$2:$BE$2)))^2)</f>
        <v>1.2739122659156515E-4</v>
      </c>
      <c r="E17">
        <f>EXP(((-1)/(2*'Cálculos Diversos'!$B$5))*(SQRT(SUMXMY2('Tabela Entrada-Saída'!$B$17:$O$17,'Coordenadas dos Polos'!$BF$2:$BS$2)))^2)</f>
        <v>1.0768716356742826E-5</v>
      </c>
      <c r="F17">
        <f>EXP(((-1)/(2*'Cálculos Diversos'!$B$5))*(SQRT(SUMXMY2('Tabela Entrada-Saída'!$B$17:$O$17,'Coordenadas dos Polos'!$BT$2:$CG$2)))^2)</f>
        <v>6.5867887962793158E-4</v>
      </c>
      <c r="G17">
        <f>EXP(((-1)/(2*'Cálculos Diversos'!$B$5))*(SQRT(SUMXMY2('Tabela Entrada-Saída'!$B$17:$O$17,'Coordenadas dos Polos'!$CH$2:$CU$2)))^2)</f>
        <v>1.2956588322690902E-2</v>
      </c>
      <c r="H17">
        <f>EXP(((-1)/(2*'Cálculos Diversos'!$B$5))*(SQRT(SUMXMY2('Tabela Entrada-Saída'!$B$17:$O$17,'Coordenadas dos Polos'!$CV$2:$DI$2)))^2)</f>
        <v>4.1009959377841065E-5</v>
      </c>
      <c r="I17">
        <f>EXP(((-1)/(2*'Cálculos Diversos'!$B$5))*(SQRT(SUMXMY2('Tabela Entrada-Saída'!$B$17:$O$17,'Coordenadas dos Polos'!$DJ$2:$DW$2)))^2)</f>
        <v>1.4436324641205122E-3</v>
      </c>
      <c r="J17">
        <f>EXP(((-1)/(2*'Cálculos Diversos'!$B$5))*(SQRT(SUMXMY2('Tabela Entrada-Saída'!$B$17:$O$17,'Coordenadas dos Polos'!$DX$2:$EK$2)))^2)</f>
        <v>2.6995790987489007E-3</v>
      </c>
      <c r="K17">
        <f>EXP(((-1)/(2*'Cálculos Diversos'!$B$5))*(SQRT(SUMXMY2('Tabela Entrada-Saída'!$B$17:$O$17,'Coordenadas dos Polos'!$EL$2:$EY$2)))^2)</f>
        <v>1.8794365135555467E-2</v>
      </c>
      <c r="L17">
        <f>EXP(((-1)/(2*'Cálculos Diversos'!$B$5))*(SQRT(SUMXMY2('Tabela Entrada-Saída'!$B$17:$O$17,'Coordenadas dos Polos'!$EZ$2:$FM$2)))^2)</f>
        <v>4.8565212641367856E-4</v>
      </c>
      <c r="M17">
        <f>EXP(((-1)/(2*'Cálculos Diversos'!$B$5))*(SQRT(SUMXMY2('Tabela Entrada-Saída'!$B$17:$O$17,'Coordenadas dos Polos'!$FN$2:$GA$2)))^2)</f>
        <v>1.554681381600213E-3</v>
      </c>
      <c r="N17">
        <f>EXP(((-1)/(2*'Cálculos Diversos'!$B$5))*(SQRT(SUMXMY2('Tabela Entrada-Saída'!$B$17:$O$17,'Coordenadas dos Polos'!$GB$2:$GO$2)))^2)</f>
        <v>2.3980627496814087E-2</v>
      </c>
      <c r="O17">
        <f>EXP(((-1)/(2*'Cálculos Diversos'!$B$5))*(SQRT(SUMXMY2('Tabela Entrada-Saída'!$B$17:$O$17,'Coordenadas dos Polos'!$GP$2:$HC$2)))^2)</f>
        <v>8.1873462743529957E-5</v>
      </c>
      <c r="P17">
        <v>1</v>
      </c>
    </row>
    <row r="18" spans="1:16" x14ac:dyDescent="0.25">
      <c r="A18">
        <v>17</v>
      </c>
      <c r="B18">
        <f>EXP(((-1)/(2*'Cálculos Diversos'!$B$5))*(SQRT(SUMXMY2('Tabela Entrada-Saída'!$B$18:$O$18,'Coordenadas dos Polos'!$P$2:$AC$2)))^2)</f>
        <v>0.36514912574518249</v>
      </c>
      <c r="C18">
        <f>EXP(((-1)/(2*'Cálculos Diversos'!$B$5))*(SQRT(SUMXMY2('Tabela Entrada-Saída'!$B$18:$O$18,'Coordenadas dos Polos'!$AD$2:$AQ$2)))^2)</f>
        <v>1.5290043965475691E-4</v>
      </c>
      <c r="D18">
        <f>EXP(((-1)/(2*'Cálculos Diversos'!$B$5))*(SQRT(SUMXMY2('Tabela Entrada-Saída'!$B$18:$O$18,'Coordenadas dos Polos'!$AR$2:$BE$2)))^2)</f>
        <v>1.853796838064549E-4</v>
      </c>
      <c r="E18">
        <f>EXP(((-1)/(2*'Cálculos Diversos'!$B$5))*(SQRT(SUMXMY2('Tabela Entrada-Saída'!$B$18:$O$18,'Coordenadas dos Polos'!$BF$2:$BS$2)))^2)</f>
        <v>8.3333358700389612E-6</v>
      </c>
      <c r="F18">
        <f>EXP(((-1)/(2*'Cálculos Diversos'!$B$5))*(SQRT(SUMXMY2('Tabela Entrada-Saída'!$B$18:$O$18,'Coordenadas dos Polos'!$BT$2:$CG$2)))^2)</f>
        <v>8.6289454115656087E-4</v>
      </c>
      <c r="G18">
        <f>EXP(((-1)/(2*'Cálculos Diversos'!$B$5))*(SQRT(SUMXMY2('Tabela Entrada-Saída'!$B$18:$O$18,'Coordenadas dos Polos'!$CH$2:$CU$2)))^2)</f>
        <v>1.0111560717809692E-2</v>
      </c>
      <c r="H18">
        <f>EXP(((-1)/(2*'Cálculos Diversos'!$B$5))*(SQRT(SUMXMY2('Tabela Entrada-Saída'!$B$18:$O$18,'Coordenadas dos Polos'!$CV$2:$DI$2)))^2)</f>
        <v>4.6456680363958054E-5</v>
      </c>
      <c r="I18">
        <f>EXP(((-1)/(2*'Cálculos Diversos'!$B$5))*(SQRT(SUMXMY2('Tabela Entrada-Saída'!$B$18:$O$18,'Coordenadas dos Polos'!$DJ$2:$DW$2)))^2)</f>
        <v>1.5298613764667896E-3</v>
      </c>
      <c r="J18">
        <f>EXP(((-1)/(2*'Cálculos Diversos'!$B$5))*(SQRT(SUMXMY2('Tabela Entrada-Saída'!$B$18:$O$18,'Coordenadas dos Polos'!$DX$2:$EK$2)))^2)</f>
        <v>2.4425459847019879E-3</v>
      </c>
      <c r="K18">
        <f>EXP(((-1)/(2*'Cálculos Diversos'!$B$5))*(SQRT(SUMXMY2('Tabela Entrada-Saída'!$B$18:$O$18,'Coordenadas dos Polos'!$EL$2:$EY$2)))^2)</f>
        <v>1.4586836175969273E-2</v>
      </c>
      <c r="L18">
        <f>EXP(((-1)/(2*'Cálculos Diversos'!$B$5))*(SQRT(SUMXMY2('Tabela Entrada-Saída'!$B$18:$O$18,'Coordenadas dos Polos'!$EZ$2:$FM$2)))^2)</f>
        <v>6.7865036009200671E-4</v>
      </c>
      <c r="M18">
        <f>EXP(((-1)/(2*'Cálculos Diversos'!$B$5))*(SQRT(SUMXMY2('Tabela Entrada-Saída'!$B$18:$O$18,'Coordenadas dos Polos'!$FN$2:$GA$2)))^2)</f>
        <v>1.8599386750127278E-3</v>
      </c>
      <c r="N18">
        <f>EXP(((-1)/(2*'Cálculos Diversos'!$B$5))*(SQRT(SUMXMY2('Tabela Entrada-Saída'!$B$18:$O$18,'Coordenadas dos Polos'!$GB$2:$GO$2)))^2)</f>
        <v>2.9578209733679594E-2</v>
      </c>
      <c r="O18">
        <f>EXP(((-1)/(2*'Cálculos Diversos'!$B$5))*(SQRT(SUMXMY2('Tabela Entrada-Saída'!$B$18:$O$18,'Coordenadas dos Polos'!$GP$2:$HC$2)))^2)</f>
        <v>6.62362998964203E-5</v>
      </c>
      <c r="P18">
        <v>1</v>
      </c>
    </row>
    <row r="19" spans="1:16" x14ac:dyDescent="0.25">
      <c r="A19">
        <v>18</v>
      </c>
      <c r="B19">
        <f>EXP(((-1)/(2*'Cálculos Diversos'!$B$5))*(SQRT(SUMXMY2('Tabela Entrada-Saída'!$B$19:$O$19,'Coordenadas dos Polos'!$P$2:$AC$2)))^2)</f>
        <v>0.18345275437916314</v>
      </c>
      <c r="C19">
        <f>EXP(((-1)/(2*'Cálculos Diversos'!$B$5))*(SQRT(SUMXMY2('Tabela Entrada-Saída'!$B$19:$O$19,'Coordenadas dos Polos'!$AD$2:$AQ$2)))^2)</f>
        <v>1.9426235995765456E-4</v>
      </c>
      <c r="D19">
        <f>EXP(((-1)/(2*'Cálculos Diversos'!$B$5))*(SQRT(SUMXMY2('Tabela Entrada-Saída'!$B$19:$O$19,'Coordenadas dos Polos'!$AR$2:$BE$2)))^2)</f>
        <v>1.6119938375131751E-4</v>
      </c>
      <c r="E19">
        <f>EXP(((-1)/(2*'Cálculos Diversos'!$B$5))*(SQRT(SUMXMY2('Tabela Entrada-Saída'!$B$19:$O$19,'Coordenadas dos Polos'!$BF$2:$BS$2)))^2)</f>
        <v>7.0196778680659496E-6</v>
      </c>
      <c r="F19">
        <f>EXP(((-1)/(2*'Cálculos Diversos'!$B$5))*(SQRT(SUMXMY2('Tabela Entrada-Saída'!$B$19:$O$19,'Coordenadas dos Polos'!$BT$2:$CG$2)))^2)</f>
        <v>9.7771551039855771E-4</v>
      </c>
      <c r="G19">
        <f>EXP(((-1)/(2*'Cálculos Diversos'!$B$5))*(SQRT(SUMXMY2('Tabela Entrada-Saída'!$B$19:$O$19,'Coordenadas dos Polos'!$CH$2:$CU$2)))^2)</f>
        <v>8.0292716938424203E-3</v>
      </c>
      <c r="H19">
        <f>EXP(((-1)/(2*'Cálculos Diversos'!$B$5))*(SQRT(SUMXMY2('Tabela Entrada-Saída'!$B$19:$O$19,'Coordenadas dos Polos'!$CV$2:$DI$2)))^2)</f>
        <v>7.5061404949080499E-5</v>
      </c>
      <c r="I19">
        <f>EXP(((-1)/(2*'Cálculos Diversos'!$B$5))*(SQRT(SUMXMY2('Tabela Entrada-Saída'!$B$19:$O$19,'Coordenadas dos Polos'!$DJ$2:$DW$2)))^2)</f>
        <v>9.3120602185759241E-4</v>
      </c>
      <c r="J19">
        <f>EXP(((-1)/(2*'Cálculos Diversos'!$B$5))*(SQRT(SUMXMY2('Tabela Entrada-Saída'!$B$19:$O$19,'Coordenadas dos Polos'!$DX$2:$EK$2)))^2)</f>
        <v>1.4888432441663175E-3</v>
      </c>
      <c r="K19">
        <f>EXP(((-1)/(2*'Cálculos Diversos'!$B$5))*(SQRT(SUMXMY2('Tabela Entrada-Saída'!$B$19:$O$19,'Coordenadas dos Polos'!$EL$2:$EY$2)))^2)</f>
        <v>1.0351543693233179E-2</v>
      </c>
      <c r="L19">
        <f>EXP(((-1)/(2*'Cálculos Diversos'!$B$5))*(SQRT(SUMXMY2('Tabela Entrada-Saída'!$B$19:$O$19,'Coordenadas dos Polos'!$EZ$2:$FM$2)))^2)</f>
        <v>8.0856711014071594E-4</v>
      </c>
      <c r="M19">
        <f>EXP(((-1)/(2*'Cálculos Diversos'!$B$5))*(SQRT(SUMXMY2('Tabela Entrada-Saída'!$B$19:$O$19,'Coordenadas dos Polos'!$FN$2:$GA$2)))^2)</f>
        <v>1.6331230567356247E-3</v>
      </c>
      <c r="N19">
        <f>EXP(((-1)/(2*'Cálculos Diversos'!$B$5))*(SQRT(SUMXMY2('Tabela Entrada-Saída'!$B$19:$O$19,'Coordenadas dos Polos'!$GB$2:$GO$2)))^2)</f>
        <v>2.2143417762988796E-2</v>
      </c>
      <c r="O19">
        <f>EXP(((-1)/(2*'Cálculos Diversos'!$B$5))*(SQRT(SUMXMY2('Tabela Entrada-Saída'!$B$19:$O$19,'Coordenadas dos Polos'!$GP$2:$HC$2)))^2)</f>
        <v>5.2705665788500555E-5</v>
      </c>
      <c r="P19">
        <v>1</v>
      </c>
    </row>
    <row r="20" spans="1:16" x14ac:dyDescent="0.25">
      <c r="A20">
        <v>19</v>
      </c>
      <c r="B20">
        <f>EXP(((-1)/(2*'Cálculos Diversos'!$B$5))*(SQRT(SUMXMY2('Tabela Entrada-Saída'!$B$20:$O$20,'Coordenadas dos Polos'!$P$2:$AC$2)))^2)</f>
        <v>6.1215575043259425E-2</v>
      </c>
      <c r="C20">
        <f>EXP(((-1)/(2*'Cálculos Diversos'!$B$5))*(SQRT(SUMXMY2('Tabela Entrada-Saída'!$B$20:$O$20,'Coordenadas dos Polos'!$AD$2:$AQ$2)))^2)</f>
        <v>1.9765649678081418E-4</v>
      </c>
      <c r="D20">
        <f>EXP(((-1)/(2*'Cálculos Diversos'!$B$5))*(SQRT(SUMXMY2('Tabela Entrada-Saída'!$B$20:$O$20,'Coordenadas dos Polos'!$AR$2:$BE$2)))^2)</f>
        <v>2.2245625682495269E-4</v>
      </c>
      <c r="E20">
        <f>EXP(((-1)/(2*'Cálculos Diversos'!$B$5))*(SQRT(SUMXMY2('Tabela Entrada-Saída'!$B$20:$O$20,'Coordenadas dos Polos'!$BF$2:$BS$2)))^2)</f>
        <v>4.1744799828898861E-6</v>
      </c>
      <c r="F20">
        <f>EXP(((-1)/(2*'Cálculos Diversos'!$B$5))*(SQRT(SUMXMY2('Tabela Entrada-Saída'!$B$20:$O$20,'Coordenadas dos Polos'!$BT$2:$CG$2)))^2)</f>
        <v>5.3327545372682233E-4</v>
      </c>
      <c r="G20">
        <f>EXP(((-1)/(2*'Cálculos Diversos'!$B$5))*(SQRT(SUMXMY2('Tabela Entrada-Saída'!$B$20:$O$20,'Coordenadas dos Polos'!$CH$2:$CU$2)))^2)</f>
        <v>3.9883192049046034E-3</v>
      </c>
      <c r="H20">
        <f>EXP(((-1)/(2*'Cálculos Diversos'!$B$5))*(SQRT(SUMXMY2('Tabela Entrada-Saída'!$B$20:$O$20,'Coordenadas dos Polos'!$CV$2:$DI$2)))^2)</f>
        <v>6.4425387130155495E-5</v>
      </c>
      <c r="I20">
        <f>EXP(((-1)/(2*'Cálculos Diversos'!$B$5))*(SQRT(SUMXMY2('Tabela Entrada-Saída'!$B$20:$O$20,'Coordenadas dos Polos'!$DJ$2:$DW$2)))^2)</f>
        <v>6.3622749998466668E-4</v>
      </c>
      <c r="J20">
        <f>EXP(((-1)/(2*'Cálculos Diversos'!$B$5))*(SQRT(SUMXMY2('Tabela Entrada-Saída'!$B$20:$O$20,'Coordenadas dos Polos'!$DX$2:$EK$2)))^2)</f>
        <v>8.4226187404360601E-4</v>
      </c>
      <c r="K20">
        <f>EXP(((-1)/(2*'Cálculos Diversos'!$B$5))*(SQRT(SUMXMY2('Tabela Entrada-Saída'!$B$20:$O$20,'Coordenadas dos Polos'!$EL$2:$EY$2)))^2)</f>
        <v>9.795363728483714E-3</v>
      </c>
      <c r="L20">
        <f>EXP(((-1)/(2*'Cálculos Diversos'!$B$5))*(SQRT(SUMXMY2('Tabela Entrada-Saída'!$B$20:$O$20,'Coordenadas dos Polos'!$EZ$2:$FM$2)))^2)</f>
        <v>8.2253728937058373E-4</v>
      </c>
      <c r="M20">
        <f>EXP(((-1)/(2*'Cálculos Diversos'!$B$5))*(SQRT(SUMXMY2('Tabela Entrada-Saída'!$B$20:$O$20,'Coordenadas dos Polos'!$FN$2:$GA$2)))^2)</f>
        <v>1.2358963454346705E-3</v>
      </c>
      <c r="N20">
        <f>EXP(((-1)/(2*'Cálculos Diversos'!$B$5))*(SQRT(SUMXMY2('Tabela Entrada-Saída'!$B$20:$O$20,'Coordenadas dos Polos'!$GB$2:$GO$2)))^2)</f>
        <v>1.9681503734881797E-2</v>
      </c>
      <c r="O20">
        <f>EXP(((-1)/(2*'Cálculos Diversos'!$B$5))*(SQRT(SUMXMY2('Tabela Entrada-Saída'!$B$20:$O$20,'Coordenadas dos Polos'!$GP$2:$HC$2)))^2)</f>
        <v>5.8064134689171551E-5</v>
      </c>
      <c r="P20">
        <v>1</v>
      </c>
    </row>
    <row r="21" spans="1:16" x14ac:dyDescent="0.25">
      <c r="A21">
        <v>20</v>
      </c>
      <c r="B21">
        <f>EXP(((-1)/(2*'Cálculos Diversos'!$B$5))*(SQRT(SUMXMY2('Tabela Entrada-Saída'!$B$21:$O$21,'Coordenadas dos Polos'!$P$2:$AC$2)))^2)</f>
        <v>9.3155125287356921E-3</v>
      </c>
      <c r="C21">
        <f>EXP(((-1)/(2*'Cálculos Diversos'!$B$5))*(SQRT(SUMXMY2('Tabela Entrada-Saída'!$B$21:$O$21,'Coordenadas dos Polos'!$AD$2:$AQ$2)))^2)</f>
        <v>1.5943284751651735E-4</v>
      </c>
      <c r="D21">
        <f>EXP(((-1)/(2*'Cálculos Diversos'!$B$5))*(SQRT(SUMXMY2('Tabela Entrada-Saída'!$B$21:$O$21,'Coordenadas dos Polos'!$AR$2:$BE$2)))^2)</f>
        <v>2.4430435505100605E-4</v>
      </c>
      <c r="E21">
        <f>EXP(((-1)/(2*'Cálculos Diversos'!$B$5))*(SQRT(SUMXMY2('Tabela Entrada-Saída'!$B$21:$O$21,'Coordenadas dos Polos'!$BF$2:$BS$2)))^2)</f>
        <v>2.6717226672747363E-6</v>
      </c>
      <c r="F21">
        <f>EXP(((-1)/(2*'Cálculos Diversos'!$B$5))*(SQRT(SUMXMY2('Tabela Entrada-Saída'!$B$21:$O$21,'Coordenadas dos Polos'!$BT$2:$CG$2)))^2)</f>
        <v>2.944748721075765E-4</v>
      </c>
      <c r="G21">
        <f>EXP(((-1)/(2*'Cálculos Diversos'!$B$5))*(SQRT(SUMXMY2('Tabela Entrada-Saída'!$B$21:$O$21,'Coordenadas dos Polos'!$CH$2:$CU$2)))^2)</f>
        <v>1.0912066683185025E-3</v>
      </c>
      <c r="H21">
        <f>EXP(((-1)/(2*'Cálculos Diversos'!$B$5))*(SQRT(SUMXMY2('Tabela Entrada-Saída'!$B$21:$O$21,'Coordenadas dos Polos'!$CV$2:$DI$2)))^2)</f>
        <v>6.6817947374794303E-5</v>
      </c>
      <c r="I21">
        <f>EXP(((-1)/(2*'Cálculos Diversos'!$B$5))*(SQRT(SUMXMY2('Tabela Entrada-Saída'!$B$21:$O$21,'Coordenadas dos Polos'!$DJ$2:$DW$2)))^2)</f>
        <v>4.2042409773623086E-4</v>
      </c>
      <c r="J21">
        <f>EXP(((-1)/(2*'Cálculos Diversos'!$B$5))*(SQRT(SUMXMY2('Tabela Entrada-Saída'!$B$21:$O$21,'Coordenadas dos Polos'!$DX$2:$EK$2)))^2)</f>
        <v>2.7704967422924987E-4</v>
      </c>
      <c r="K21">
        <f>EXP(((-1)/(2*'Cálculos Diversos'!$B$5))*(SQRT(SUMXMY2('Tabela Entrada-Saída'!$B$21:$O$21,'Coordenadas dos Polos'!$EL$2:$EY$2)))^2)</f>
        <v>4.9277565839538065E-3</v>
      </c>
      <c r="L21">
        <f>EXP(((-1)/(2*'Cálculos Diversos'!$B$5))*(SQRT(SUMXMY2('Tabela Entrada-Saída'!$B$21:$O$21,'Coordenadas dos Polos'!$EZ$2:$FM$2)))^2)</f>
        <v>8.4088591794916675E-4</v>
      </c>
      <c r="M21">
        <f>EXP(((-1)/(2*'Cálculos Diversos'!$B$5))*(SQRT(SUMXMY2('Tabela Entrada-Saída'!$B$21:$O$21,'Coordenadas dos Polos'!$FN$2:$GA$2)))^2)</f>
        <v>6.5419631426819774E-4</v>
      </c>
      <c r="N21">
        <f>EXP(((-1)/(2*'Cálculos Diversos'!$B$5))*(SQRT(SUMXMY2('Tabela Entrada-Saída'!$B$21:$O$21,'Coordenadas dos Polos'!$GB$2:$GO$2)))^2)</f>
        <v>7.9977751597355637E-3</v>
      </c>
      <c r="O21">
        <f>EXP(((-1)/(2*'Cálculos Diversos'!$B$5))*(SQRT(SUMXMY2('Tabela Entrada-Saída'!$B$21:$O$21,'Coordenadas dos Polos'!$GP$2:$HC$2)))^2)</f>
        <v>3.9242048539328523E-5</v>
      </c>
      <c r="P21">
        <v>1</v>
      </c>
    </row>
    <row r="22" spans="1:16" x14ac:dyDescent="0.25">
      <c r="A22">
        <v>21</v>
      </c>
      <c r="B22">
        <f>EXP(((-1)/(2*'Cálculos Diversos'!$B$5))*(SQRT(SUMXMY2('Tabela Entrada-Saída'!$B$22:$O$22,'Coordenadas dos Polos'!$P$2:$AC$2)))^2)</f>
        <v>1.701870768486024E-3</v>
      </c>
      <c r="C22">
        <f>EXP(((-1)/(2*'Cálculos Diversos'!$B$5))*(SQRT(SUMXMY2('Tabela Entrada-Saída'!$B$22:$O$22,'Coordenadas dos Polos'!$AD$2:$AQ$2)))^2)</f>
        <v>8.5893143699130543E-5</v>
      </c>
      <c r="D22">
        <f>EXP(((-1)/(2*'Cálculos Diversos'!$B$5))*(SQRT(SUMXMY2('Tabela Entrada-Saída'!$B$22:$O$22,'Coordenadas dos Polos'!$AR$2:$BE$2)))^2)</f>
        <v>1.8687476562243585E-4</v>
      </c>
      <c r="E22">
        <f>EXP(((-1)/(2*'Cálculos Diversos'!$B$5))*(SQRT(SUMXMY2('Tabela Entrada-Saída'!$B$22:$O$22,'Coordenadas dos Polos'!$BF$2:$BS$2)))^2)</f>
        <v>2.7174836089960049E-6</v>
      </c>
      <c r="F22">
        <f>EXP(((-1)/(2*'Cálculos Diversos'!$B$5))*(SQRT(SUMXMY2('Tabela Entrada-Saída'!$B$22:$O$22,'Coordenadas dos Polos'!$BT$2:$CG$2)))^2)</f>
        <v>8.011991104364082E-5</v>
      </c>
      <c r="G22">
        <f>EXP(((-1)/(2*'Cálculos Diversos'!$B$5))*(SQRT(SUMXMY2('Tabela Entrada-Saída'!$B$22:$O$22,'Coordenadas dos Polos'!$CH$2:$CU$2)))^2)</f>
        <v>5.230824330252577E-4</v>
      </c>
      <c r="H22">
        <f>EXP(((-1)/(2*'Cálculos Diversos'!$B$5))*(SQRT(SUMXMY2('Tabela Entrada-Saída'!$B$22:$O$22,'Coordenadas dos Polos'!$CV$2:$DI$2)))^2)</f>
        <v>3.4669555645619227E-5</v>
      </c>
      <c r="I22">
        <f>EXP(((-1)/(2*'Cálculos Diversos'!$B$5))*(SQRT(SUMXMY2('Tabela Entrada-Saída'!$B$22:$O$22,'Coordenadas dos Polos'!$DJ$2:$DW$2)))^2)</f>
        <v>3.7392596892465703E-4</v>
      </c>
      <c r="J22">
        <f>EXP(((-1)/(2*'Cálculos Diversos'!$B$5))*(SQRT(SUMXMY2('Tabela Entrada-Saída'!$B$22:$O$22,'Coordenadas dos Polos'!$DX$2:$EK$2)))^2)</f>
        <v>1.5944860273802526E-4</v>
      </c>
      <c r="K22">
        <f>EXP(((-1)/(2*'Cálculos Diversos'!$B$5))*(SQRT(SUMXMY2('Tabela Entrada-Saída'!$B$22:$O$22,'Coordenadas dos Polos'!$EL$2:$EY$2)))^2)</f>
        <v>5.8051664721165729E-3</v>
      </c>
      <c r="L22">
        <f>EXP(((-1)/(2*'Cálculos Diversos'!$B$5))*(SQRT(SUMXMY2('Tabela Entrada-Saída'!$B$22:$O$22,'Coordenadas dos Polos'!$EZ$2:$FM$2)))^2)</f>
        <v>4.2484935487880455E-4</v>
      </c>
      <c r="M22">
        <f>EXP(((-1)/(2*'Cálculos Diversos'!$B$5))*(SQRT(SUMXMY2('Tabela Entrada-Saída'!$B$22:$O$22,'Coordenadas dos Polos'!$FN$2:$GA$2)))^2)</f>
        <v>2.9702776637760856E-4</v>
      </c>
      <c r="N22">
        <f>EXP(((-1)/(2*'Cálculos Diversos'!$B$5))*(SQRT(SUMXMY2('Tabela Entrada-Saída'!$B$22:$O$22,'Coordenadas dos Polos'!$GB$2:$GO$2)))^2)</f>
        <v>3.3603664190057299E-3</v>
      </c>
      <c r="O22">
        <f>EXP(((-1)/(2*'Cálculos Diversos'!$B$5))*(SQRT(SUMXMY2('Tabela Entrada-Saída'!$B$22:$O$22,'Coordenadas dos Polos'!$GP$2:$HC$2)))^2)</f>
        <v>5.2957616247105796E-5</v>
      </c>
      <c r="P22">
        <v>1</v>
      </c>
    </row>
    <row r="23" spans="1:16" x14ac:dyDescent="0.25">
      <c r="A23">
        <v>22</v>
      </c>
      <c r="B23">
        <f>EXP(((-1)/(2*'Cálculos Diversos'!$B$5))*(SQRT(SUMXMY2('Tabela Entrada-Saída'!$B$23:$O$23,'Coordenadas dos Polos'!$P$2:$AC$2)))^2)</f>
        <v>6.7014385958174161E-4</v>
      </c>
      <c r="C23">
        <f>EXP(((-1)/(2*'Cálculos Diversos'!$B$5))*(SQRT(SUMXMY2('Tabela Entrada-Saída'!$B$23:$O$23,'Coordenadas dos Polos'!$AD$2:$AQ$2)))^2)</f>
        <v>5.5034210404160378E-5</v>
      </c>
      <c r="D23">
        <f>EXP(((-1)/(2*'Cálculos Diversos'!$B$5))*(SQRT(SUMXMY2('Tabela Entrada-Saída'!$B$23:$O$23,'Coordenadas dos Polos'!$AR$2:$BE$2)))^2)</f>
        <v>1.3286711085775879E-4</v>
      </c>
      <c r="E23">
        <f>EXP(((-1)/(2*'Cálculos Diversos'!$B$5))*(SQRT(SUMXMY2('Tabela Entrada-Saída'!$B$23:$O$23,'Coordenadas dos Polos'!$BF$2:$BS$2)))^2)</f>
        <v>3.4751636596535268E-6</v>
      </c>
      <c r="F23">
        <f>EXP(((-1)/(2*'Cálculos Diversos'!$B$5))*(SQRT(SUMXMY2('Tabela Entrada-Saída'!$B$23:$O$23,'Coordenadas dos Polos'!$BT$2:$CG$2)))^2)</f>
        <v>4.9339847787879392E-5</v>
      </c>
      <c r="G23">
        <f>EXP(((-1)/(2*'Cálculos Diversos'!$B$5))*(SQRT(SUMXMY2('Tabela Entrada-Saída'!$B$23:$O$23,'Coordenadas dos Polos'!$CH$2:$CU$2)))^2)</f>
        <v>3.3463429560807615E-4</v>
      </c>
      <c r="H23">
        <f>EXP(((-1)/(2*'Cálculos Diversos'!$B$5))*(SQRT(SUMXMY2('Tabela Entrada-Saída'!$B$23:$O$23,'Coordenadas dos Polos'!$CV$2:$DI$2)))^2)</f>
        <v>2.8420851064138016E-5</v>
      </c>
      <c r="I23">
        <f>EXP(((-1)/(2*'Cálculos Diversos'!$B$5))*(SQRT(SUMXMY2('Tabela Entrada-Saída'!$B$23:$O$23,'Coordenadas dos Polos'!$DJ$2:$DW$2)))^2)</f>
        <v>4.0195810804366121E-4</v>
      </c>
      <c r="J23">
        <f>EXP(((-1)/(2*'Cálculos Diversos'!$B$5))*(SQRT(SUMXMY2('Tabela Entrada-Saída'!$B$23:$O$23,'Coordenadas dos Polos'!$DX$2:$EK$2)))^2)</f>
        <v>1.1104511462877302E-4</v>
      </c>
      <c r="K23">
        <f>EXP(((-1)/(2*'Cálculos Diversos'!$B$5))*(SQRT(SUMXMY2('Tabela Entrada-Saída'!$B$23:$O$23,'Coordenadas dos Polos'!$EL$2:$EY$2)))^2)</f>
        <v>4.8574447893299658E-3</v>
      </c>
      <c r="L23">
        <f>EXP(((-1)/(2*'Cálculos Diversos'!$B$5))*(SQRT(SUMXMY2('Tabela Entrada-Saída'!$B$23:$O$23,'Coordenadas dos Polos'!$EZ$2:$FM$2)))^2)</f>
        <v>2.9807008362844851E-4</v>
      </c>
      <c r="M23">
        <f>EXP(((-1)/(2*'Cálculos Diversos'!$B$5))*(SQRT(SUMXMY2('Tabela Entrada-Saída'!$B$23:$O$23,'Coordenadas dos Polos'!$FN$2:$GA$2)))^2)</f>
        <v>1.7893318431818611E-4</v>
      </c>
      <c r="N23">
        <f>EXP(((-1)/(2*'Cálculos Diversos'!$B$5))*(SQRT(SUMXMY2('Tabela Entrada-Saída'!$B$23:$O$23,'Coordenadas dos Polos'!$GB$2:$GO$2)))^2)</f>
        <v>1.5023850222800424E-3</v>
      </c>
      <c r="O23">
        <f>EXP(((-1)/(2*'Cálculos Diversos'!$B$5))*(SQRT(SUMXMY2('Tabela Entrada-Saída'!$B$23:$O$23,'Coordenadas dos Polos'!$GP$2:$HC$2)))^2)</f>
        <v>4.8397987877016339E-5</v>
      </c>
      <c r="P23">
        <v>1</v>
      </c>
    </row>
    <row r="24" spans="1:16" x14ac:dyDescent="0.25">
      <c r="A24">
        <v>23</v>
      </c>
      <c r="B24">
        <f>EXP(((-1)/(2*'Cálculos Diversos'!$B$5))*(SQRT(SUMXMY2('Tabela Entrada-Saída'!$B$24:$O$24,'Coordenadas dos Polos'!$P$2:$AC$2)))^2)</f>
        <v>1.2023725509461636E-3</v>
      </c>
      <c r="C24">
        <f>EXP(((-1)/(2*'Cálculos Diversos'!$B$5))*(SQRT(SUMXMY2('Tabela Entrada-Saída'!$B$24:$O$24,'Coordenadas dos Polos'!$AD$2:$AQ$2)))^2)</f>
        <v>3.9650365746337081E-5</v>
      </c>
      <c r="D24">
        <f>EXP(((-1)/(2*'Cálculos Diversos'!$B$5))*(SQRT(SUMXMY2('Tabela Entrada-Saída'!$B$24:$O$24,'Coordenadas dos Polos'!$AR$2:$BE$2)))^2)</f>
        <v>1.0851732336773621E-4</v>
      </c>
      <c r="E24">
        <f>EXP(((-1)/(2*'Cálculos Diversos'!$B$5))*(SQRT(SUMXMY2('Tabela Entrada-Saída'!$B$24:$O$24,'Coordenadas dos Polos'!$BF$2:$BS$2)))^2)</f>
        <v>7.5306505718759152E-6</v>
      </c>
      <c r="F24">
        <f>EXP(((-1)/(2*'Cálculos Diversos'!$B$5))*(SQRT(SUMXMY2('Tabela Entrada-Saída'!$B$24:$O$24,'Coordenadas dos Polos'!$BT$2:$CG$2)))^2)</f>
        <v>3.4452370854443693E-5</v>
      </c>
      <c r="G24">
        <f>EXP(((-1)/(2*'Cálculos Diversos'!$B$5))*(SQRT(SUMXMY2('Tabela Entrada-Saída'!$B$24:$O$24,'Coordenadas dos Polos'!$CH$2:$CU$2)))^2)</f>
        <v>6.8886657898337871E-4</v>
      </c>
      <c r="H24">
        <f>EXP(((-1)/(2*'Cálculos Diversos'!$B$5))*(SQRT(SUMXMY2('Tabela Entrada-Saída'!$B$24:$O$24,'Coordenadas dos Polos'!$CV$2:$DI$2)))^2)</f>
        <v>1.7146188606776252E-5</v>
      </c>
      <c r="I24">
        <f>EXP(((-1)/(2*'Cálculos Diversos'!$B$5))*(SQRT(SUMXMY2('Tabela Entrada-Saída'!$B$24:$O$24,'Coordenadas dos Polos'!$DJ$2:$DW$2)))^2)</f>
        <v>8.0315742798766005E-4</v>
      </c>
      <c r="J24">
        <f>EXP(((-1)/(2*'Cálculos Diversos'!$B$5))*(SQRT(SUMXMY2('Tabela Entrada-Saída'!$B$24:$O$24,'Coordenadas dos Polos'!$DX$2:$EK$2)))^2)</f>
        <v>2.48643299487028E-4</v>
      </c>
      <c r="K24">
        <f>EXP(((-1)/(2*'Cálculos Diversos'!$B$5))*(SQRT(SUMXMY2('Tabela Entrada-Saída'!$B$24:$O$24,'Coordenadas dos Polos'!$EL$2:$EY$2)))^2)</f>
        <v>1.1824210143588705E-2</v>
      </c>
      <c r="L24">
        <f>EXP(((-1)/(2*'Cálculos Diversos'!$B$5))*(SQRT(SUMXMY2('Tabela Entrada-Saída'!$B$24:$O$24,'Coordenadas dos Polos'!$EZ$2:$FM$2)))^2)</f>
        <v>1.8351726705274571E-4</v>
      </c>
      <c r="M24">
        <f>EXP(((-1)/(2*'Cálculos Diversos'!$B$5))*(SQRT(SUMXMY2('Tabela Entrada-Saída'!$B$24:$O$24,'Coordenadas dos Polos'!$FN$2:$GA$2)))^2)</f>
        <v>1.8773829727231195E-4</v>
      </c>
      <c r="N24">
        <f>EXP(((-1)/(2*'Cálculos Diversos'!$B$5))*(SQRT(SUMXMY2('Tabela Entrada-Saída'!$B$24:$O$24,'Coordenadas dos Polos'!$GB$2:$GO$2)))^2)</f>
        <v>1.6941243856475861E-3</v>
      </c>
      <c r="O24">
        <f>EXP(((-1)/(2*'Cálculos Diversos'!$B$5))*(SQRT(SUMXMY2('Tabela Entrada-Saída'!$B$24:$O$24,'Coordenadas dos Polos'!$GP$2:$HC$2)))^2)</f>
        <v>9.8929079841752839E-5</v>
      </c>
      <c r="P24">
        <v>1</v>
      </c>
    </row>
    <row r="25" spans="1:16" x14ac:dyDescent="0.25">
      <c r="A25">
        <v>24</v>
      </c>
      <c r="B25">
        <f>EXP(((-1)/(2*'Cálculos Diversos'!$B$5))*(SQRT(SUMXMY2('Tabela Entrada-Saída'!$B$25:$O$25,'Coordenadas dos Polos'!$P$2:$AC$2)))^2)</f>
        <v>3.6315263209091269E-3</v>
      </c>
      <c r="C25">
        <f>EXP(((-1)/(2*'Cálculos Diversos'!$B$5))*(SQRT(SUMXMY2('Tabela Entrada-Saída'!$B$25:$O$25,'Coordenadas dos Polos'!$AD$2:$AQ$2)))^2)</f>
        <v>6.6410212496682451E-5</v>
      </c>
      <c r="D25">
        <f>EXP(((-1)/(2*'Cálculos Diversos'!$B$5))*(SQRT(SUMXMY2('Tabela Entrada-Saída'!$B$25:$O$25,'Coordenadas dos Polos'!$AR$2:$BE$2)))^2)</f>
        <v>8.5335320529995309E-5</v>
      </c>
      <c r="E25">
        <f>EXP(((-1)/(2*'Cálculos Diversos'!$B$5))*(SQRT(SUMXMY2('Tabela Entrada-Saída'!$B$25:$O$25,'Coordenadas dos Polos'!$BF$2:$BS$2)))^2)</f>
        <v>1.2989524466121096E-5</v>
      </c>
      <c r="F25">
        <f>EXP(((-1)/(2*'Cálculos Diversos'!$B$5))*(SQRT(SUMXMY2('Tabela Entrada-Saída'!$B$25:$O$25,'Coordenadas dos Polos'!$BT$2:$CG$2)))^2)</f>
        <v>1.2033425831006369E-4</v>
      </c>
      <c r="G25">
        <f>EXP(((-1)/(2*'Cálculos Diversos'!$B$5))*(SQRT(SUMXMY2('Tabela Entrada-Saída'!$B$25:$O$25,'Coordenadas dos Polos'!$CH$2:$CU$2)))^2)</f>
        <v>1.6433912501089324E-3</v>
      </c>
      <c r="H25">
        <f>EXP(((-1)/(2*'Cálculos Diversos'!$B$5))*(SQRT(SUMXMY2('Tabela Entrada-Saída'!$B$25:$O$25,'Coordenadas dos Polos'!$CV$2:$DI$2)))^2)</f>
        <v>4.3155069216563514E-5</v>
      </c>
      <c r="I25">
        <f>EXP(((-1)/(2*'Cálculos Diversos'!$B$5))*(SQRT(SUMXMY2('Tabela Entrada-Saída'!$B$25:$O$25,'Coordenadas dos Polos'!$DJ$2:$DW$2)))^2)</f>
        <v>9.0500405716313539E-4</v>
      </c>
      <c r="J25">
        <f>EXP(((-1)/(2*'Cálculos Diversos'!$B$5))*(SQRT(SUMXMY2('Tabela Entrada-Saída'!$B$25:$O$25,'Coordenadas dos Polos'!$DX$2:$EK$2)))^2)</f>
        <v>3.8698366899944816E-4</v>
      </c>
      <c r="K25">
        <f>EXP(((-1)/(2*'Cálculos Diversos'!$B$5))*(SQRT(SUMXMY2('Tabela Entrada-Saída'!$B$25:$O$25,'Coordenadas dos Polos'!$EL$2:$EY$2)))^2)</f>
        <v>1.0250478297082229E-2</v>
      </c>
      <c r="L25">
        <f>EXP(((-1)/(2*'Cálculos Diversos'!$B$5))*(SQRT(SUMXMY2('Tabela Entrada-Saída'!$B$25:$O$25,'Coordenadas dos Polos'!$EZ$2:$FM$2)))^2)</f>
        <v>2.9168708954463814E-4</v>
      </c>
      <c r="M25">
        <f>EXP(((-1)/(2*'Cálculos Diversos'!$B$5))*(SQRT(SUMXMY2('Tabela Entrada-Saída'!$B$25:$O$25,'Coordenadas dos Polos'!$FN$2:$GA$2)))^2)</f>
        <v>3.1284789135223274E-4</v>
      </c>
      <c r="N25">
        <f>EXP(((-1)/(2*'Cálculos Diversos'!$B$5))*(SQRT(SUMXMY2('Tabela Entrada-Saída'!$B$25:$O$25,'Coordenadas dos Polos'!$GB$2:$GO$2)))^2)</f>
        <v>2.1246271642729555E-3</v>
      </c>
      <c r="O25">
        <f>EXP(((-1)/(2*'Cálculos Diversos'!$B$5))*(SQRT(SUMXMY2('Tabela Entrada-Saída'!$B$25:$O$25,'Coordenadas dos Polos'!$GP$2:$HC$2)))^2)</f>
        <v>7.8123174501952504E-5</v>
      </c>
      <c r="P25">
        <v>1</v>
      </c>
    </row>
    <row r="26" spans="1:16" x14ac:dyDescent="0.25">
      <c r="A26">
        <v>25</v>
      </c>
      <c r="B26">
        <f>EXP(((-1)/(2*'Cálculos Diversos'!$B$5))*(SQRT(SUMXMY2('Tabela Entrada-Saída'!$B$26:$O$26,'Coordenadas dos Polos'!$P$2:$AC$2)))^2)</f>
        <v>1.3334330859432595E-2</v>
      </c>
      <c r="C26">
        <f>EXP(((-1)/(2*'Cálculos Diversos'!$B$5))*(SQRT(SUMXMY2('Tabela Entrada-Saída'!$B$26:$O$26,'Coordenadas dos Polos'!$AD$2:$AQ$2)))^2)</f>
        <v>8.819260670288552E-5</v>
      </c>
      <c r="D26">
        <f>EXP(((-1)/(2*'Cálculos Diversos'!$B$5))*(SQRT(SUMXMY2('Tabela Entrada-Saída'!$B$26:$O$26,'Coordenadas dos Polos'!$AR$2:$BE$2)))^2)</f>
        <v>1.144041276815304E-4</v>
      </c>
      <c r="E26">
        <f>EXP(((-1)/(2*'Cálculos Diversos'!$B$5))*(SQRT(SUMXMY2('Tabela Entrada-Saída'!$B$26:$O$26,'Coordenadas dos Polos'!$BF$2:$BS$2)))^2)</f>
        <v>1.2646873882079346E-5</v>
      </c>
      <c r="F26">
        <f>EXP(((-1)/(2*'Cálculos Diversos'!$B$5))*(SQRT(SUMXMY2('Tabela Entrada-Saída'!$B$26:$O$26,'Coordenadas dos Polos'!$BT$2:$CG$2)))^2)</f>
        <v>1.3521209275683041E-4</v>
      </c>
      <c r="G26">
        <f>EXP(((-1)/(2*'Cálculos Diversos'!$B$5))*(SQRT(SUMXMY2('Tabela Entrada-Saída'!$B$26:$O$26,'Coordenadas dos Polos'!$CH$2:$CU$2)))^2)</f>
        <v>3.918634593082196E-3</v>
      </c>
      <c r="H26">
        <f>EXP(((-1)/(2*'Cálculos Diversos'!$B$5))*(SQRT(SUMXMY2('Tabela Entrada-Saída'!$B$26:$O$26,'Coordenadas dos Polos'!$CV$2:$DI$2)))^2)</f>
        <v>3.3710512087942526E-5</v>
      </c>
      <c r="I26">
        <f>EXP(((-1)/(2*'Cálculos Diversos'!$B$5))*(SQRT(SUMXMY2('Tabela Entrada-Saída'!$B$26:$O$26,'Coordenadas dos Polos'!$DJ$2:$DW$2)))^2)</f>
        <v>1.0777359978966165E-3</v>
      </c>
      <c r="J26">
        <f>EXP(((-1)/(2*'Cálculos Diversos'!$B$5))*(SQRT(SUMXMY2('Tabela Entrada-Saída'!$B$26:$O$26,'Coordenadas dos Polos'!$DX$2:$EK$2)))^2)</f>
        <v>8.9604999821351391E-4</v>
      </c>
      <c r="K26">
        <f>EXP(((-1)/(2*'Cálculos Diversos'!$B$5))*(SQRT(SUMXMY2('Tabela Entrada-Saída'!$B$26:$O$26,'Coordenadas dos Polos'!$EL$2:$EY$2)))^2)</f>
        <v>2.2848801836657811E-2</v>
      </c>
      <c r="L26">
        <f>EXP(((-1)/(2*'Cálculos Diversos'!$B$5))*(SQRT(SUMXMY2('Tabela Entrada-Saída'!$B$26:$O$26,'Coordenadas dos Polos'!$EZ$2:$FM$2)))^2)</f>
        <v>2.9545999724172348E-4</v>
      </c>
      <c r="M26">
        <f>EXP(((-1)/(2*'Cálculos Diversos'!$B$5))*(SQRT(SUMXMY2('Tabela Entrada-Saída'!$B$26:$O$26,'Coordenadas dos Polos'!$FN$2:$GA$2)))^2)</f>
        <v>5.4638829146266691E-4</v>
      </c>
      <c r="N26">
        <f>EXP(((-1)/(2*'Cálculos Diversos'!$B$5))*(SQRT(SUMXMY2('Tabela Entrada-Saída'!$B$26:$O$26,'Coordenadas dos Polos'!$GB$2:$GO$2)))^2)</f>
        <v>6.1880942732483457E-3</v>
      </c>
      <c r="O26">
        <f>EXP(((-1)/(2*'Cálculos Diversos'!$B$5))*(SQRT(SUMXMY2('Tabela Entrada-Saída'!$B$26:$O$26,'Coordenadas dos Polos'!$GP$2:$HC$2)))^2)</f>
        <v>1.4314492744283802E-4</v>
      </c>
      <c r="P26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Y16"/>
  <sheetViews>
    <sheetView workbookViewId="0">
      <selection activeCell="WQS18" sqref="WQS18"/>
    </sheetView>
  </sheetViews>
  <sheetFormatPr defaultRowHeight="15" x14ac:dyDescent="0.25"/>
  <sheetData>
    <row r="1" spans="1:25" x14ac:dyDescent="0.25">
      <c r="A1" t="s">
        <v>7</v>
      </c>
    </row>
    <row r="2" spans="1:25" x14ac:dyDescent="0.25">
      <c r="A2">
        <f t="array" ref="A2:Y16">TRANSPOSE('Matrix (R)'!$B$2:$P$26)</f>
        <v>0.1139288504903888</v>
      </c>
      <c r="B2">
        <v>0.18577836753255819</v>
      </c>
      <c r="C2">
        <v>0.32467128234753612</v>
      </c>
      <c r="D2">
        <v>0.44591708272594566</v>
      </c>
      <c r="E2">
        <v>0.53791796496282862</v>
      </c>
      <c r="F2">
        <v>0.5081176786527507</v>
      </c>
      <c r="G2">
        <v>0.28296030449122828</v>
      </c>
      <c r="H2">
        <v>7.8869348988966623E-2</v>
      </c>
      <c r="I2">
        <v>2.8701389551133934E-2</v>
      </c>
      <c r="J2">
        <v>1.5707033112939708E-2</v>
      </c>
      <c r="K2">
        <v>1.1747169519596729E-2</v>
      </c>
      <c r="L2">
        <v>2.0106292182880642E-2</v>
      </c>
      <c r="M2">
        <v>3.9314969542944271E-2</v>
      </c>
      <c r="N2">
        <v>8.7190009187242359E-2</v>
      </c>
      <c r="O2">
        <v>0.17439654506294699</v>
      </c>
      <c r="P2">
        <v>0.30109886273361497</v>
      </c>
      <c r="Q2">
        <v>0.36514912574518249</v>
      </c>
      <c r="R2">
        <v>0.18345275437916314</v>
      </c>
      <c r="S2">
        <v>6.1215575043259425E-2</v>
      </c>
      <c r="T2">
        <v>9.3155125287356921E-3</v>
      </c>
      <c r="U2">
        <v>1.701870768486024E-3</v>
      </c>
      <c r="V2">
        <v>6.7014385958174161E-4</v>
      </c>
      <c r="W2">
        <v>1.2023725509461636E-3</v>
      </c>
      <c r="X2">
        <v>3.6315263209091269E-3</v>
      </c>
      <c r="Y2">
        <v>1.3334330859432595E-2</v>
      </c>
    </row>
    <row r="3" spans="1:25" x14ac:dyDescent="0.25">
      <c r="A3">
        <v>1.4516318248637702E-4</v>
      </c>
      <c r="B3">
        <v>1.5203962828982029E-4</v>
      </c>
      <c r="C3">
        <v>1.0957308986966084E-4</v>
      </c>
      <c r="D3">
        <v>8.9577462087037606E-5</v>
      </c>
      <c r="E3">
        <v>8.188905519423269E-5</v>
      </c>
      <c r="F3">
        <v>1.1709572343877016E-4</v>
      </c>
      <c r="G3">
        <v>1.6682313970259557E-4</v>
      </c>
      <c r="H3">
        <v>2.1231012822685779E-4</v>
      </c>
      <c r="I3">
        <v>1.8972340401261352E-4</v>
      </c>
      <c r="J3">
        <v>1.6473684416644339E-4</v>
      </c>
      <c r="K3">
        <v>1.2063564832822783E-4</v>
      </c>
      <c r="L3">
        <v>1.3971459861003314E-4</v>
      </c>
      <c r="M3">
        <v>1.4481365162268358E-4</v>
      </c>
      <c r="N3">
        <v>1.2143031324445286E-4</v>
      </c>
      <c r="O3">
        <v>1.2151668093944255E-4</v>
      </c>
      <c r="P3">
        <v>1.2934835487570445E-4</v>
      </c>
      <c r="Q3">
        <v>1.5290043965475691E-4</v>
      </c>
      <c r="R3">
        <v>1.9426235995765456E-4</v>
      </c>
      <c r="S3">
        <v>1.9765649678081418E-4</v>
      </c>
      <c r="T3">
        <v>1.5943284751651735E-4</v>
      </c>
      <c r="U3">
        <v>8.5893143699130543E-5</v>
      </c>
      <c r="V3">
        <v>5.5034210404160378E-5</v>
      </c>
      <c r="W3">
        <v>3.9650365746337081E-5</v>
      </c>
      <c r="X3">
        <v>6.6410212496682451E-5</v>
      </c>
      <c r="Y3">
        <v>8.819260670288552E-5</v>
      </c>
    </row>
    <row r="4" spans="1:25" x14ac:dyDescent="0.25">
      <c r="A4">
        <v>1.8417707843306117E-4</v>
      </c>
      <c r="B4">
        <v>1.704591215397993E-4</v>
      </c>
      <c r="C4">
        <v>1.8055399961458587E-4</v>
      </c>
      <c r="D4">
        <v>1.0119856541066137E-4</v>
      </c>
      <c r="E4">
        <v>6.3158730932889716E-5</v>
      </c>
      <c r="F4">
        <v>1.029878720064105E-4</v>
      </c>
      <c r="G4">
        <v>1.8391833215953513E-4</v>
      </c>
      <c r="H4">
        <v>2.392583144115114E-4</v>
      </c>
      <c r="I4">
        <v>3.5838938430546064E-4</v>
      </c>
      <c r="J4">
        <v>3.5972684944157019E-4</v>
      </c>
      <c r="K4">
        <v>1.7835571170394916E-4</v>
      </c>
      <c r="L4">
        <v>2.1252231782744471E-4</v>
      </c>
      <c r="M4">
        <v>2.5441434514972998E-4</v>
      </c>
      <c r="N4">
        <v>2.0234701843852755E-4</v>
      </c>
      <c r="O4">
        <v>1.2266115622302045E-4</v>
      </c>
      <c r="P4">
        <v>1.2739122659156515E-4</v>
      </c>
      <c r="Q4">
        <v>1.853796838064549E-4</v>
      </c>
      <c r="R4">
        <v>1.6119938375131751E-4</v>
      </c>
      <c r="S4">
        <v>2.2245625682495269E-4</v>
      </c>
      <c r="T4">
        <v>2.4430435505100605E-4</v>
      </c>
      <c r="U4">
        <v>1.8687476562243585E-4</v>
      </c>
      <c r="V4">
        <v>1.3286711085775879E-4</v>
      </c>
      <c r="W4">
        <v>1.0851732336773621E-4</v>
      </c>
      <c r="X4">
        <v>8.5335320529995309E-5</v>
      </c>
      <c r="Y4">
        <v>1.144041276815304E-4</v>
      </c>
    </row>
    <row r="5" spans="1:25" x14ac:dyDescent="0.25">
      <c r="A5">
        <v>1.8321357697116436E-5</v>
      </c>
      <c r="B5">
        <v>1.484048060356382E-5</v>
      </c>
      <c r="C5">
        <v>1.1879200804511983E-5</v>
      </c>
      <c r="D5">
        <v>1.126234282882125E-5</v>
      </c>
      <c r="E5">
        <v>6.8357159634350734E-6</v>
      </c>
      <c r="F5">
        <v>4.1109516985395304E-6</v>
      </c>
      <c r="G5">
        <v>4.2457501297262138E-6</v>
      </c>
      <c r="H5">
        <v>4.2478897565335597E-6</v>
      </c>
      <c r="I5">
        <v>5.4680402525175531E-6</v>
      </c>
      <c r="J5">
        <v>9.6862353920492263E-6</v>
      </c>
      <c r="K5">
        <v>1.275705863422758E-5</v>
      </c>
      <c r="L5">
        <v>1.3562995603506025E-5</v>
      </c>
      <c r="M5">
        <v>1.6744134581525467E-5</v>
      </c>
      <c r="N5">
        <v>2.0983253636893388E-5</v>
      </c>
      <c r="O5">
        <v>1.8007330641737499E-5</v>
      </c>
      <c r="P5">
        <v>1.0768716356742826E-5</v>
      </c>
      <c r="Q5">
        <v>8.3333358700389612E-6</v>
      </c>
      <c r="R5">
        <v>7.0196778680659496E-6</v>
      </c>
      <c r="S5">
        <v>4.1744799828898861E-6</v>
      </c>
      <c r="T5">
        <v>2.6717226672747363E-6</v>
      </c>
      <c r="U5">
        <v>2.7174836089960049E-6</v>
      </c>
      <c r="V5">
        <v>3.4751636596535268E-6</v>
      </c>
      <c r="W5">
        <v>7.5306505718759152E-6</v>
      </c>
      <c r="X5">
        <v>1.2989524466121096E-5</v>
      </c>
      <c r="Y5">
        <v>1.2646873882079346E-5</v>
      </c>
    </row>
    <row r="6" spans="1:25" x14ac:dyDescent="0.25">
      <c r="A6">
        <v>5.3303317768313375E-4</v>
      </c>
      <c r="B6">
        <v>6.3592352080294313E-4</v>
      </c>
      <c r="C6">
        <v>5.2575135464707459E-4</v>
      </c>
      <c r="D6">
        <v>7.1504624822086584E-4</v>
      </c>
      <c r="E6">
        <v>6.3622327249190024E-4</v>
      </c>
      <c r="F6">
        <v>8.8427769400193344E-4</v>
      </c>
      <c r="G6">
        <v>8.6139023090000513E-4</v>
      </c>
      <c r="H6">
        <v>7.5527144643433835E-4</v>
      </c>
      <c r="I6">
        <v>3.4699024593649099E-4</v>
      </c>
      <c r="J6">
        <v>3.0950931605370905E-4</v>
      </c>
      <c r="K6">
        <v>2.106929242201781E-4</v>
      </c>
      <c r="L6">
        <v>2.677243221372E-4</v>
      </c>
      <c r="M6">
        <v>3.2804606378169008E-4</v>
      </c>
      <c r="N6">
        <v>3.8668268519204542E-4</v>
      </c>
      <c r="O6">
        <v>6.0002833974212555E-4</v>
      </c>
      <c r="P6">
        <v>6.5867887962793158E-4</v>
      </c>
      <c r="Q6">
        <v>8.6289454115656087E-4</v>
      </c>
      <c r="R6">
        <v>9.7771551039855771E-4</v>
      </c>
      <c r="S6">
        <v>5.3327545372682233E-4</v>
      </c>
      <c r="T6">
        <v>2.944748721075765E-4</v>
      </c>
      <c r="U6">
        <v>8.011991104364082E-5</v>
      </c>
      <c r="V6">
        <v>4.9339847787879392E-5</v>
      </c>
      <c r="W6">
        <v>3.4452370854443693E-5</v>
      </c>
      <c r="X6">
        <v>1.2033425831006369E-4</v>
      </c>
      <c r="Y6">
        <v>1.3521209275683041E-4</v>
      </c>
    </row>
    <row r="7" spans="1:25" x14ac:dyDescent="0.25">
      <c r="A7">
        <v>9.4775055669735955E-3</v>
      </c>
      <c r="B7">
        <v>1.1313794060379211E-2</v>
      </c>
      <c r="C7">
        <v>1.0850183206481602E-2</v>
      </c>
      <c r="D7">
        <v>1.1905182778514154E-2</v>
      </c>
      <c r="E7">
        <v>1.3394037868964061E-2</v>
      </c>
      <c r="F7">
        <v>9.0039971005265486E-3</v>
      </c>
      <c r="G7">
        <v>6.9087608234504865E-3</v>
      </c>
      <c r="H7">
        <v>3.8946522527440229E-3</v>
      </c>
      <c r="I7">
        <v>2.7057395980462379E-3</v>
      </c>
      <c r="J7">
        <v>2.237043319046225E-3</v>
      </c>
      <c r="K7">
        <v>2.9741000057097126E-3</v>
      </c>
      <c r="L7">
        <v>3.8859009865416095E-3</v>
      </c>
      <c r="M7">
        <v>5.3038467732046193E-3</v>
      </c>
      <c r="N7">
        <v>8.0825809032321061E-3</v>
      </c>
      <c r="O7">
        <v>1.192546073311687E-2</v>
      </c>
      <c r="P7">
        <v>1.2956588322690902E-2</v>
      </c>
      <c r="Q7">
        <v>1.0111560717809692E-2</v>
      </c>
      <c r="R7">
        <v>8.0292716938424203E-3</v>
      </c>
      <c r="S7">
        <v>3.9883192049046034E-3</v>
      </c>
      <c r="T7">
        <v>1.0912066683185025E-3</v>
      </c>
      <c r="U7">
        <v>5.230824330252577E-4</v>
      </c>
      <c r="V7">
        <v>3.3463429560807615E-4</v>
      </c>
      <c r="W7">
        <v>6.8886657898337871E-4</v>
      </c>
      <c r="X7">
        <v>1.6433912501089324E-3</v>
      </c>
      <c r="Y7">
        <v>3.918634593082196E-3</v>
      </c>
    </row>
    <row r="8" spans="1:25" x14ac:dyDescent="0.25">
      <c r="A8">
        <v>5.574319840075907E-5</v>
      </c>
      <c r="B8">
        <v>5.2540753803879256E-5</v>
      </c>
      <c r="C8">
        <v>2.9973359292082586E-5</v>
      </c>
      <c r="D8">
        <v>3.120970207453402E-5</v>
      </c>
      <c r="E8">
        <v>2.4790824570164046E-5</v>
      </c>
      <c r="F8">
        <v>3.446696732912957E-5</v>
      </c>
      <c r="G8">
        <v>4.8355471139626729E-5</v>
      </c>
      <c r="H8">
        <v>7.8330571109193998E-5</v>
      </c>
      <c r="I8">
        <v>5.9646408837835905E-5</v>
      </c>
      <c r="J8">
        <v>6.8633570960092077E-5</v>
      </c>
      <c r="K8">
        <v>5.5157576906501426E-5</v>
      </c>
      <c r="L8">
        <v>5.8042078088909048E-5</v>
      </c>
      <c r="M8">
        <v>5.4530281312351209E-5</v>
      </c>
      <c r="N8">
        <v>4.3706815636564424E-5</v>
      </c>
      <c r="O8">
        <v>4.9255841617406749E-5</v>
      </c>
      <c r="P8">
        <v>4.1009959377841065E-5</v>
      </c>
      <c r="Q8">
        <v>4.6456680363958054E-5</v>
      </c>
      <c r="R8">
        <v>7.5061404949080499E-5</v>
      </c>
      <c r="S8">
        <v>6.4425387130155495E-5</v>
      </c>
      <c r="T8">
        <v>6.6817947374794303E-5</v>
      </c>
      <c r="U8">
        <v>3.4669555645619227E-5</v>
      </c>
      <c r="V8">
        <v>2.8420851064138016E-5</v>
      </c>
      <c r="W8">
        <v>1.7146188606776252E-5</v>
      </c>
      <c r="X8">
        <v>4.3155069216563514E-5</v>
      </c>
      <c r="Y8">
        <v>3.3710512087942526E-5</v>
      </c>
    </row>
    <row r="9" spans="1:25" x14ac:dyDescent="0.25">
      <c r="A9">
        <v>2.2298472038874031E-3</v>
      </c>
      <c r="B9">
        <v>1.8814858970797501E-3</v>
      </c>
      <c r="C9">
        <v>2.2769726414831764E-3</v>
      </c>
      <c r="D9">
        <v>1.7726102458371481E-3</v>
      </c>
      <c r="E9">
        <v>9.3426134358013595E-4</v>
      </c>
      <c r="F9">
        <v>7.4474718516826129E-4</v>
      </c>
      <c r="G9">
        <v>8.2989788664914279E-4</v>
      </c>
      <c r="H9">
        <v>6.9839697113656624E-4</v>
      </c>
      <c r="I9">
        <v>9.902473995148397E-4</v>
      </c>
      <c r="J9">
        <v>1.535788018457845E-3</v>
      </c>
      <c r="K9">
        <v>1.2571050714658427E-3</v>
      </c>
      <c r="L9">
        <v>1.4883946123586517E-3</v>
      </c>
      <c r="M9">
        <v>2.1881678098391736E-3</v>
      </c>
      <c r="N9">
        <v>2.7964460206438371E-3</v>
      </c>
      <c r="O9">
        <v>1.96281367773138E-3</v>
      </c>
      <c r="P9">
        <v>1.4436324641205122E-3</v>
      </c>
      <c r="Q9">
        <v>1.5298613764667896E-3</v>
      </c>
      <c r="R9">
        <v>9.3120602185759241E-4</v>
      </c>
      <c r="S9">
        <v>6.3622749998466668E-4</v>
      </c>
      <c r="T9">
        <v>4.2042409773623086E-4</v>
      </c>
      <c r="U9">
        <v>3.7392596892465703E-4</v>
      </c>
      <c r="V9">
        <v>4.0195810804366121E-4</v>
      </c>
      <c r="W9">
        <v>8.0315742798766005E-4</v>
      </c>
      <c r="X9">
        <v>9.0500405716313539E-4</v>
      </c>
      <c r="Y9">
        <v>1.0777359978966165E-3</v>
      </c>
    </row>
    <row r="10" spans="1:25" x14ac:dyDescent="0.25">
      <c r="A10">
        <v>2.2911034978160493E-3</v>
      </c>
      <c r="B10">
        <v>2.5272440188475295E-3</v>
      </c>
      <c r="C10">
        <v>3.1704345566924003E-3</v>
      </c>
      <c r="D10">
        <v>2.8271285721981057E-3</v>
      </c>
      <c r="E10">
        <v>2.4766285407642344E-3</v>
      </c>
      <c r="F10">
        <v>1.7672507379133914E-3</v>
      </c>
      <c r="G10">
        <v>1.5095597337406756E-3</v>
      </c>
      <c r="H10">
        <v>8.4711391526647039E-4</v>
      </c>
      <c r="I10">
        <v>7.8332997516937909E-4</v>
      </c>
      <c r="J10">
        <v>7.301304037288372E-4</v>
      </c>
      <c r="K10">
        <v>7.5376350231476927E-4</v>
      </c>
      <c r="L10">
        <v>1.0056141444490171E-3</v>
      </c>
      <c r="M10">
        <v>1.5283945516512229E-3</v>
      </c>
      <c r="N10">
        <v>2.3161166028912287E-3</v>
      </c>
      <c r="O10">
        <v>2.5812195901898506E-3</v>
      </c>
      <c r="P10">
        <v>2.6995790987489007E-3</v>
      </c>
      <c r="Q10">
        <v>2.4425459847019879E-3</v>
      </c>
      <c r="R10">
        <v>1.4888432441663175E-3</v>
      </c>
      <c r="S10">
        <v>8.4226187404360601E-4</v>
      </c>
      <c r="T10">
        <v>2.7704967422924987E-4</v>
      </c>
      <c r="U10">
        <v>1.5944860273802526E-4</v>
      </c>
      <c r="V10">
        <v>1.1104511462877302E-4</v>
      </c>
      <c r="W10">
        <v>2.48643299487028E-4</v>
      </c>
      <c r="X10">
        <v>3.8698366899944816E-4</v>
      </c>
      <c r="Y10">
        <v>8.9604999821351391E-4</v>
      </c>
    </row>
    <row r="11" spans="1:25" x14ac:dyDescent="0.25">
      <c r="A11">
        <v>2.4522373988771346E-2</v>
      </c>
      <c r="B11">
        <v>2.2356616104300613E-2</v>
      </c>
      <c r="C11">
        <v>2.2854742894972656E-2</v>
      </c>
      <c r="D11">
        <v>1.3653863613789353E-2</v>
      </c>
      <c r="E11">
        <v>1.1266014817724183E-2</v>
      </c>
      <c r="F11">
        <v>7.5835607800955667E-3</v>
      </c>
      <c r="G11">
        <v>9.147432781073753E-3</v>
      </c>
      <c r="H11">
        <v>7.7592218621524928E-3</v>
      </c>
      <c r="I11">
        <v>1.3541411227672251E-2</v>
      </c>
      <c r="J11">
        <v>1.4370950468549824E-2</v>
      </c>
      <c r="K11">
        <v>1.7327203916116557E-2</v>
      </c>
      <c r="L11">
        <v>2.0334452422359161E-2</v>
      </c>
      <c r="M11">
        <v>2.5814971692322854E-2</v>
      </c>
      <c r="N11">
        <v>2.8648829781707123E-2</v>
      </c>
      <c r="O11">
        <v>2.1075626940252785E-2</v>
      </c>
      <c r="P11">
        <v>1.8794365135555467E-2</v>
      </c>
      <c r="Q11">
        <v>1.4586836175969273E-2</v>
      </c>
      <c r="R11">
        <v>1.0351543693233179E-2</v>
      </c>
      <c r="S11">
        <v>9.795363728483714E-3</v>
      </c>
      <c r="T11">
        <v>4.9277565839538065E-3</v>
      </c>
      <c r="U11">
        <v>5.8051664721165729E-3</v>
      </c>
      <c r="V11">
        <v>4.8574447893299658E-3</v>
      </c>
      <c r="W11">
        <v>1.1824210143588705E-2</v>
      </c>
      <c r="X11">
        <v>1.0250478297082229E-2</v>
      </c>
      <c r="Y11">
        <v>2.2848801836657811E-2</v>
      </c>
    </row>
    <row r="12" spans="1:25" x14ac:dyDescent="0.25">
      <c r="A12">
        <v>6.1359842631037549E-4</v>
      </c>
      <c r="B12">
        <v>6.1160442310331049E-4</v>
      </c>
      <c r="C12">
        <v>5.0127085996651223E-4</v>
      </c>
      <c r="D12">
        <v>4.1066631593249307E-4</v>
      </c>
      <c r="E12">
        <v>2.8609658379091021E-4</v>
      </c>
      <c r="F12">
        <v>4.8999699894271959E-4</v>
      </c>
      <c r="G12">
        <v>7.4909817049803758E-4</v>
      </c>
      <c r="H12">
        <v>1.0178632815641612E-3</v>
      </c>
      <c r="I12">
        <v>9.1472546167557149E-4</v>
      </c>
      <c r="J12">
        <v>9.2191723093729225E-4</v>
      </c>
      <c r="K12">
        <v>5.1538675762332589E-4</v>
      </c>
      <c r="L12">
        <v>5.9701635328601027E-4</v>
      </c>
      <c r="M12">
        <v>6.5618767195108974E-4</v>
      </c>
      <c r="N12">
        <v>5.4841156185126447E-4</v>
      </c>
      <c r="O12">
        <v>4.9286719541976958E-4</v>
      </c>
      <c r="P12">
        <v>4.8565212641367856E-4</v>
      </c>
      <c r="Q12">
        <v>6.7865036009200671E-4</v>
      </c>
      <c r="R12">
        <v>8.0856711014071594E-4</v>
      </c>
      <c r="S12">
        <v>8.2253728937058373E-4</v>
      </c>
      <c r="T12">
        <v>8.4088591794916675E-4</v>
      </c>
      <c r="U12">
        <v>4.2484935487880455E-4</v>
      </c>
      <c r="V12">
        <v>2.9807008362844851E-4</v>
      </c>
      <c r="W12">
        <v>1.8351726705274571E-4</v>
      </c>
      <c r="X12">
        <v>2.9168708954463814E-4</v>
      </c>
      <c r="Y12">
        <v>2.9545999724172348E-4</v>
      </c>
    </row>
    <row r="13" spans="1:25" x14ac:dyDescent="0.25">
      <c r="A13">
        <v>1.3904147191406977E-3</v>
      </c>
      <c r="B13">
        <v>1.5602053939137129E-3</v>
      </c>
      <c r="C13">
        <v>1.5968826206828027E-3</v>
      </c>
      <c r="D13">
        <v>1.4018001421520186E-3</v>
      </c>
      <c r="E13">
        <v>1.2467964311547992E-3</v>
      </c>
      <c r="F13">
        <v>1.5187373894393768E-3</v>
      </c>
      <c r="G13">
        <v>1.6844152324071904E-3</v>
      </c>
      <c r="H13">
        <v>1.3859246068191752E-3</v>
      </c>
      <c r="I13">
        <v>1.1118632902204812E-3</v>
      </c>
      <c r="J13">
        <v>9.2239335033417983E-4</v>
      </c>
      <c r="K13">
        <v>6.5981296748351926E-4</v>
      </c>
      <c r="L13">
        <v>8.4937338239888193E-4</v>
      </c>
      <c r="M13">
        <v>1.0986840924822753E-3</v>
      </c>
      <c r="N13">
        <v>1.2228443416711036E-3</v>
      </c>
      <c r="O13">
        <v>1.3348373451360404E-3</v>
      </c>
      <c r="P13">
        <v>1.554681381600213E-3</v>
      </c>
      <c r="Q13">
        <v>1.8599386750127278E-3</v>
      </c>
      <c r="R13">
        <v>1.6331230567356247E-3</v>
      </c>
      <c r="S13">
        <v>1.2358963454346705E-3</v>
      </c>
      <c r="T13">
        <v>6.5419631426819774E-4</v>
      </c>
      <c r="U13">
        <v>2.9702776637760856E-4</v>
      </c>
      <c r="V13">
        <v>1.7893318431818611E-4</v>
      </c>
      <c r="W13">
        <v>1.8773829727231195E-4</v>
      </c>
      <c r="X13">
        <v>3.1284789135223274E-4</v>
      </c>
      <c r="Y13">
        <v>5.4638829146266691E-4</v>
      </c>
    </row>
    <row r="14" spans="1:25" x14ac:dyDescent="0.25">
      <c r="A14">
        <v>1.6590322273099933E-2</v>
      </c>
      <c r="B14">
        <v>2.1356980562296884E-2</v>
      </c>
      <c r="C14">
        <v>2.6630954853142326E-2</v>
      </c>
      <c r="D14">
        <v>1.9467801402058015E-2</v>
      </c>
      <c r="E14">
        <v>2.0326492586290813E-2</v>
      </c>
      <c r="F14">
        <v>2.7124278485872625E-2</v>
      </c>
      <c r="G14">
        <v>3.0605574445925276E-2</v>
      </c>
      <c r="H14">
        <v>2.0068440931391623E-2</v>
      </c>
      <c r="I14">
        <v>1.6807598797831225E-2</v>
      </c>
      <c r="J14">
        <v>9.9724432025381487E-3</v>
      </c>
      <c r="K14">
        <v>6.4541011541863393E-3</v>
      </c>
      <c r="L14">
        <v>9.1653005722780994E-3</v>
      </c>
      <c r="M14">
        <v>1.2772952242601703E-2</v>
      </c>
      <c r="N14">
        <v>1.4721776048402559E-2</v>
      </c>
      <c r="O14">
        <v>1.5645417841808684E-2</v>
      </c>
      <c r="P14">
        <v>2.3980627496814087E-2</v>
      </c>
      <c r="Q14">
        <v>2.9578209733679594E-2</v>
      </c>
      <c r="R14">
        <v>2.2143417762988796E-2</v>
      </c>
      <c r="S14">
        <v>1.9681503734881797E-2</v>
      </c>
      <c r="T14">
        <v>7.9977751597355637E-3</v>
      </c>
      <c r="U14">
        <v>3.3603664190057299E-3</v>
      </c>
      <c r="V14">
        <v>1.5023850222800424E-3</v>
      </c>
      <c r="W14">
        <v>1.6941243856475861E-3</v>
      </c>
      <c r="X14">
        <v>2.1246271642729555E-3</v>
      </c>
      <c r="Y14">
        <v>6.1880942732483457E-3</v>
      </c>
    </row>
    <row r="15" spans="1:25" x14ac:dyDescent="0.25">
      <c r="A15">
        <v>1.2737292639628469E-4</v>
      </c>
      <c r="B15">
        <v>1.0812586504660146E-4</v>
      </c>
      <c r="C15">
        <v>9.9884203785949766E-5</v>
      </c>
      <c r="D15">
        <v>5.5016268357133495E-5</v>
      </c>
      <c r="E15">
        <v>4.2164691140610561E-5</v>
      </c>
      <c r="F15">
        <v>3.0897179625750518E-5</v>
      </c>
      <c r="G15">
        <v>4.2984482840342206E-5</v>
      </c>
      <c r="H15">
        <v>4.6318650120223578E-5</v>
      </c>
      <c r="I15">
        <v>9.1646599059145182E-5</v>
      </c>
      <c r="J15">
        <v>1.0727828031818716E-4</v>
      </c>
      <c r="K15">
        <v>1.2164635399261467E-4</v>
      </c>
      <c r="L15">
        <v>1.3514755216790944E-4</v>
      </c>
      <c r="M15">
        <v>1.5849162880462284E-4</v>
      </c>
      <c r="N15">
        <v>1.5241942876334923E-4</v>
      </c>
      <c r="O15">
        <v>1.0014017920513317E-4</v>
      </c>
      <c r="P15">
        <v>8.1873462743529957E-5</v>
      </c>
      <c r="Q15">
        <v>6.62362998964203E-5</v>
      </c>
      <c r="R15">
        <v>5.2705665788500555E-5</v>
      </c>
      <c r="S15">
        <v>5.8064134689171551E-5</v>
      </c>
      <c r="T15">
        <v>3.9242048539328523E-5</v>
      </c>
      <c r="U15">
        <v>5.2957616247105796E-5</v>
      </c>
      <c r="V15">
        <v>4.8397987877016339E-5</v>
      </c>
      <c r="W15">
        <v>9.8929079841752839E-5</v>
      </c>
      <c r="X15">
        <v>7.8123174501952504E-5</v>
      </c>
      <c r="Y15">
        <v>1.4314492744283802E-4</v>
      </c>
    </row>
    <row r="16" spans="1:25" x14ac:dyDescent="0.25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6"/>
  <sheetViews>
    <sheetView workbookViewId="0">
      <selection activeCell="WQS18" sqref="WQS18"/>
    </sheetView>
  </sheetViews>
  <sheetFormatPr defaultRowHeight="15" x14ac:dyDescent="0.25"/>
  <sheetData>
    <row r="1" spans="1:15" x14ac:dyDescent="0.25">
      <c r="A1" t="s">
        <v>8</v>
      </c>
    </row>
    <row r="2" spans="1:15" x14ac:dyDescent="0.25">
      <c r="A2">
        <f t="array" ref="A2:O16">MMULT('Matrix (R)^t'!$A$2:$Y$16,'Matrix (R)'!$B$2:$P$26)</f>
        <v>1.288426981854971</v>
      </c>
      <c r="B2">
        <v>4.8318127826104177E-4</v>
      </c>
      <c r="C2">
        <v>5.3884243182059424E-4</v>
      </c>
      <c r="D2">
        <v>3.5470858494693246E-5</v>
      </c>
      <c r="E2">
        <v>2.6678258853873433E-3</v>
      </c>
      <c r="F2">
        <v>3.8654917483154673E-2</v>
      </c>
      <c r="G2">
        <v>1.579720727290345E-4</v>
      </c>
      <c r="H2">
        <v>5.3000973883682951E-3</v>
      </c>
      <c r="I2">
        <v>8.5659113925714622E-3</v>
      </c>
      <c r="J2">
        <v>5.5884046231107043E-2</v>
      </c>
      <c r="K2">
        <v>2.0495772482788631E-3</v>
      </c>
      <c r="L2">
        <v>5.6118367472676595E-3</v>
      </c>
      <c r="M2">
        <v>8.7019353129346819E-2</v>
      </c>
      <c r="N2">
        <v>2.5606514806097389E-4</v>
      </c>
      <c r="O2">
        <v>3.7960963631411988</v>
      </c>
    </row>
    <row r="3" spans="1:15" x14ac:dyDescent="0.25">
      <c r="A3">
        <v>4.8318127826104177E-4</v>
      </c>
      <c r="B3">
        <v>4.7173163273260324E-7</v>
      </c>
      <c r="C3">
        <v>6.3747474477213502E-7</v>
      </c>
      <c r="D3">
        <v>3.1088774209589265E-8</v>
      </c>
      <c r="E3">
        <v>1.6927378311125571E-6</v>
      </c>
      <c r="F3">
        <v>2.0753515365657328E-5</v>
      </c>
      <c r="G3">
        <v>1.7093617356958652E-7</v>
      </c>
      <c r="H3">
        <v>4.1994736285757891E-6</v>
      </c>
      <c r="I3">
        <v>4.8323768888517235E-6</v>
      </c>
      <c r="J3">
        <v>4.8640842769347292E-5</v>
      </c>
      <c r="K3">
        <v>2.1140650496707039E-6</v>
      </c>
      <c r="L3">
        <v>3.8888286267159997E-6</v>
      </c>
      <c r="M3">
        <v>5.5170343313515524E-5</v>
      </c>
      <c r="N3">
        <v>2.7476057444442402E-7</v>
      </c>
      <c r="O3">
        <v>3.2458235880538913E-3</v>
      </c>
    </row>
    <row r="4" spans="1:15" x14ac:dyDescent="0.25">
      <c r="A4">
        <v>5.3884243182059424E-4</v>
      </c>
      <c r="B4">
        <v>6.3747474477213502E-7</v>
      </c>
      <c r="C4">
        <v>9.3749708755167694E-7</v>
      </c>
      <c r="D4">
        <v>4.3129115504258588E-8</v>
      </c>
      <c r="E4">
        <v>2.0527753933529519E-6</v>
      </c>
      <c r="F4">
        <v>2.5170686072827863E-5</v>
      </c>
      <c r="G4">
        <v>2.3378790906720541E-7</v>
      </c>
      <c r="H4">
        <v>5.8613772718381481E-6</v>
      </c>
      <c r="I4">
        <v>6.0945167404726944E-6</v>
      </c>
      <c r="J4">
        <v>6.7903532210842878E-5</v>
      </c>
      <c r="K4">
        <v>2.9198365909260776E-6</v>
      </c>
      <c r="L4">
        <v>4.9776605279998625E-6</v>
      </c>
      <c r="M4">
        <v>6.9180282393129332E-5</v>
      </c>
      <c r="N4">
        <v>3.9944102124731211E-7</v>
      </c>
      <c r="O4">
        <v>4.4828583516829104E-3</v>
      </c>
    </row>
    <row r="5" spans="1:15" x14ac:dyDescent="0.25">
      <c r="A5">
        <v>3.5470858494693246E-5</v>
      </c>
      <c r="B5">
        <v>3.1088774209589265E-8</v>
      </c>
      <c r="C5">
        <v>4.3129115504258588E-8</v>
      </c>
      <c r="D5">
        <v>3.1030059799450226E-9</v>
      </c>
      <c r="E5">
        <v>1.1205944492633176E-7</v>
      </c>
      <c r="F5">
        <v>1.7576198142320305E-6</v>
      </c>
      <c r="G5">
        <v>1.1668869132268792E-8</v>
      </c>
      <c r="H5">
        <v>3.9136160540819606E-7</v>
      </c>
      <c r="I5">
        <v>4.216524278791611E-7</v>
      </c>
      <c r="J5">
        <v>4.5038015415631985E-6</v>
      </c>
      <c r="K5">
        <v>1.3568561512133852E-7</v>
      </c>
      <c r="L5">
        <v>2.7866406787167845E-7</v>
      </c>
      <c r="M5">
        <v>3.7184786642630119E-6</v>
      </c>
      <c r="N5">
        <v>2.5152436314730321E-8</v>
      </c>
      <c r="O5">
        <v>2.4528036715844282E-4</v>
      </c>
    </row>
    <row r="6" spans="1:15" x14ac:dyDescent="0.25">
      <c r="A6">
        <v>2.6678258853873433E-3</v>
      </c>
      <c r="B6">
        <v>1.6927378311125571E-6</v>
      </c>
      <c r="C6">
        <v>2.0527753933529519E-6</v>
      </c>
      <c r="D6">
        <v>1.1205944492633176E-7</v>
      </c>
      <c r="E6">
        <v>7.4730955581345934E-6</v>
      </c>
      <c r="F6">
        <v>9.5526963195970106E-5</v>
      </c>
      <c r="G6">
        <v>5.9075131182633825E-7</v>
      </c>
      <c r="H6">
        <v>1.5780811917801567E-5</v>
      </c>
      <c r="I6">
        <v>2.1533693761259539E-5</v>
      </c>
      <c r="J6">
        <v>1.7431181261869786E-4</v>
      </c>
      <c r="K6">
        <v>7.4091748464335951E-6</v>
      </c>
      <c r="L6">
        <v>1.6109094127418385E-5</v>
      </c>
      <c r="M6">
        <v>2.3810026880232817E-4</v>
      </c>
      <c r="N6">
        <v>8.9642794452746472E-7</v>
      </c>
      <c r="O6">
        <v>1.1743088580015944E-2</v>
      </c>
    </row>
    <row r="7" spans="1:15" x14ac:dyDescent="0.25">
      <c r="A7">
        <v>3.8654917483154673E-2</v>
      </c>
      <c r="B7">
        <v>2.0753515365657328E-5</v>
      </c>
      <c r="C7">
        <v>2.5170686072827863E-5</v>
      </c>
      <c r="D7">
        <v>1.7576198142320305E-6</v>
      </c>
      <c r="E7">
        <v>9.5526963195970106E-5</v>
      </c>
      <c r="F7">
        <v>1.4432028436792317E-3</v>
      </c>
      <c r="G7">
        <v>7.2115736234809989E-6</v>
      </c>
      <c r="H7">
        <v>2.4039580934839214E-4</v>
      </c>
      <c r="I7">
        <v>3.2841807551284909E-4</v>
      </c>
      <c r="J7">
        <v>2.6653809675552006E-3</v>
      </c>
      <c r="K7">
        <v>8.8557560796325013E-5</v>
      </c>
      <c r="L7">
        <v>2.1492409355844126E-4</v>
      </c>
      <c r="M7">
        <v>3.127555504850789E-3</v>
      </c>
      <c r="N7">
        <v>1.3360748121919561E-5</v>
      </c>
      <c r="O7">
        <v>0.15714834173530501</v>
      </c>
    </row>
    <row r="8" spans="1:15" x14ac:dyDescent="0.25">
      <c r="A8">
        <v>1.579720727290345E-4</v>
      </c>
      <c r="B8">
        <v>1.7093617356958652E-7</v>
      </c>
      <c r="C8">
        <v>2.3378790906720541E-7</v>
      </c>
      <c r="D8">
        <v>1.1668869132268792E-8</v>
      </c>
      <c r="E8">
        <v>5.9075131182633825E-7</v>
      </c>
      <c r="F8">
        <v>7.2115736234809989E-6</v>
      </c>
      <c r="G8">
        <v>6.339824334553877E-8</v>
      </c>
      <c r="H8">
        <v>1.5316155544848825E-6</v>
      </c>
      <c r="I8">
        <v>1.6824766884887297E-6</v>
      </c>
      <c r="J8">
        <v>1.7811902021810987E-5</v>
      </c>
      <c r="K8">
        <v>7.6926625829718414E-7</v>
      </c>
      <c r="L8">
        <v>1.3653920934453571E-6</v>
      </c>
      <c r="M8">
        <v>1.8939531277453074E-5</v>
      </c>
      <c r="N8">
        <v>1.0278759098598046E-7</v>
      </c>
      <c r="O8">
        <v>1.195256976895899E-3</v>
      </c>
    </row>
    <row r="9" spans="1:15" x14ac:dyDescent="0.25">
      <c r="A9">
        <v>5.3000973883682951E-3</v>
      </c>
      <c r="B9">
        <v>4.1994736285757891E-6</v>
      </c>
      <c r="C9">
        <v>5.8613772718381481E-6</v>
      </c>
      <c r="D9">
        <v>3.9136160540819606E-7</v>
      </c>
      <c r="E9">
        <v>1.5780811917801567E-5</v>
      </c>
      <c r="F9">
        <v>2.4039580934839214E-4</v>
      </c>
      <c r="G9">
        <v>1.5316155544848825E-6</v>
      </c>
      <c r="H9">
        <v>5.1838870424493713E-5</v>
      </c>
      <c r="I9">
        <v>5.8090218009807487E-5</v>
      </c>
      <c r="J9">
        <v>5.8258174361360113E-4</v>
      </c>
      <c r="K9">
        <v>1.8525680674725456E-5</v>
      </c>
      <c r="L9">
        <v>3.8751311590404447E-5</v>
      </c>
      <c r="M9">
        <v>5.326583389018458E-4</v>
      </c>
      <c r="N9">
        <v>3.1877542881992319E-6</v>
      </c>
      <c r="O9">
        <v>3.2110315005014677E-2</v>
      </c>
    </row>
    <row r="10" spans="1:15" x14ac:dyDescent="0.25">
      <c r="A10">
        <v>8.5659113925714622E-3</v>
      </c>
      <c r="B10">
        <v>4.8323768888517235E-6</v>
      </c>
      <c r="C10">
        <v>6.0945167404726944E-6</v>
      </c>
      <c r="D10">
        <v>4.216524278791611E-7</v>
      </c>
      <c r="E10">
        <v>2.1533693761259539E-5</v>
      </c>
      <c r="F10">
        <v>3.2841807551284909E-4</v>
      </c>
      <c r="G10">
        <v>1.6824766884887297E-6</v>
      </c>
      <c r="H10">
        <v>5.8090218009807487E-5</v>
      </c>
      <c r="I10">
        <v>7.6331675877229683E-5</v>
      </c>
      <c r="J10">
        <v>6.404882280362916E-4</v>
      </c>
      <c r="K10">
        <v>2.0815473857947665E-5</v>
      </c>
      <c r="L10">
        <v>4.9614173967371314E-5</v>
      </c>
      <c r="M10">
        <v>7.1769980256559745E-4</v>
      </c>
      <c r="N10">
        <v>3.249882405738628E-6</v>
      </c>
      <c r="O10">
        <v>3.6667482903590017E-2</v>
      </c>
    </row>
    <row r="11" spans="1:15" x14ac:dyDescent="0.25">
      <c r="A11">
        <v>5.5884046231107043E-2</v>
      </c>
      <c r="B11">
        <v>4.8640842769347292E-5</v>
      </c>
      <c r="C11">
        <v>6.7903532210842878E-5</v>
      </c>
      <c r="D11">
        <v>4.5038015415631985E-6</v>
      </c>
      <c r="E11">
        <v>1.7431181261869786E-4</v>
      </c>
      <c r="F11">
        <v>2.6653809675552006E-3</v>
      </c>
      <c r="G11">
        <v>1.7811902021810987E-5</v>
      </c>
      <c r="H11">
        <v>5.8258174361360113E-4</v>
      </c>
      <c r="I11">
        <v>6.404882280362916E-4</v>
      </c>
      <c r="J11">
        <v>6.7908502236541327E-3</v>
      </c>
      <c r="K11">
        <v>2.1263965169873405E-4</v>
      </c>
      <c r="L11">
        <v>4.3397282266942078E-4</v>
      </c>
      <c r="M11">
        <v>5.9330565807301739E-3</v>
      </c>
      <c r="N11">
        <v>3.7840454409044582E-5</v>
      </c>
      <c r="O11">
        <v>0.37429924014783134</v>
      </c>
    </row>
    <row r="12" spans="1:15" x14ac:dyDescent="0.25">
      <c r="A12">
        <v>2.0495772482788631E-3</v>
      </c>
      <c r="B12">
        <v>2.1140650496707039E-6</v>
      </c>
      <c r="C12">
        <v>2.9198365909260776E-6</v>
      </c>
      <c r="D12">
        <v>1.3568561512133852E-7</v>
      </c>
      <c r="E12">
        <v>7.4091748464335951E-6</v>
      </c>
      <c r="F12">
        <v>8.8557560796325013E-5</v>
      </c>
      <c r="G12">
        <v>7.6926625829718414E-7</v>
      </c>
      <c r="H12">
        <v>1.8525680674725456E-5</v>
      </c>
      <c r="I12">
        <v>2.0815473857947665E-5</v>
      </c>
      <c r="J12">
        <v>2.1263965169873405E-4</v>
      </c>
      <c r="K12">
        <v>9.581847096461356E-6</v>
      </c>
      <c r="L12">
        <v>1.7092030585302386E-5</v>
      </c>
      <c r="M12">
        <v>2.4175039225367235E-4</v>
      </c>
      <c r="N12">
        <v>1.2148035311058304E-6</v>
      </c>
      <c r="O12">
        <v>1.4456583889165353E-2</v>
      </c>
    </row>
    <row r="13" spans="1:15" x14ac:dyDescent="0.25">
      <c r="A13">
        <v>5.6118367472676595E-3</v>
      </c>
      <c r="B13">
        <v>3.8888286267159997E-6</v>
      </c>
      <c r="C13">
        <v>4.9776605279998625E-6</v>
      </c>
      <c r="D13">
        <v>2.7866406787167845E-7</v>
      </c>
      <c r="E13">
        <v>1.6109094127418385E-5</v>
      </c>
      <c r="F13">
        <v>2.1492409355844126E-4</v>
      </c>
      <c r="G13">
        <v>1.3653920934453571E-6</v>
      </c>
      <c r="H13">
        <v>3.8751311590404447E-5</v>
      </c>
      <c r="I13">
        <v>4.9614173967371314E-5</v>
      </c>
      <c r="J13">
        <v>4.3397282266942078E-4</v>
      </c>
      <c r="K13">
        <v>1.7092030585302386E-5</v>
      </c>
      <c r="L13">
        <v>3.6280573316306774E-5</v>
      </c>
      <c r="M13">
        <v>5.2860419296068726E-4</v>
      </c>
      <c r="N13">
        <v>2.2882191753928625E-6</v>
      </c>
      <c r="O13">
        <v>2.744575650927069E-2</v>
      </c>
    </row>
    <row r="14" spans="1:15" x14ac:dyDescent="0.25">
      <c r="A14">
        <v>8.7019353129346819E-2</v>
      </c>
      <c r="B14">
        <v>5.5170343313515524E-5</v>
      </c>
      <c r="C14">
        <v>6.9180282393129332E-5</v>
      </c>
      <c r="D14">
        <v>3.7184786642630119E-6</v>
      </c>
      <c r="E14">
        <v>2.3810026880232817E-4</v>
      </c>
      <c r="F14">
        <v>3.127555504850789E-3</v>
      </c>
      <c r="G14">
        <v>1.8939531277453074E-5</v>
      </c>
      <c r="H14">
        <v>5.326583389018458E-4</v>
      </c>
      <c r="I14">
        <v>7.1769980256559745E-4</v>
      </c>
      <c r="J14">
        <v>5.9330565807301739E-3</v>
      </c>
      <c r="K14">
        <v>2.4175039225367235E-4</v>
      </c>
      <c r="L14">
        <v>5.2860419296068726E-4</v>
      </c>
      <c r="M14">
        <v>7.8909837731960877E-3</v>
      </c>
      <c r="N14">
        <v>3.0578981379303815E-5</v>
      </c>
      <c r="O14">
        <v>0.3859615665522787</v>
      </c>
    </row>
    <row r="15" spans="1:15" x14ac:dyDescent="0.25">
      <c r="A15">
        <v>2.5606514806097389E-4</v>
      </c>
      <c r="B15">
        <v>2.7476057444442402E-7</v>
      </c>
      <c r="C15">
        <v>3.9944102124731211E-7</v>
      </c>
      <c r="D15">
        <v>2.5152436314730321E-8</v>
      </c>
      <c r="E15">
        <v>8.9642794452746472E-7</v>
      </c>
      <c r="F15">
        <v>1.3360748121919561E-5</v>
      </c>
      <c r="G15">
        <v>1.0278759098598046E-7</v>
      </c>
      <c r="H15">
        <v>3.1877542881992319E-6</v>
      </c>
      <c r="I15">
        <v>3.249882405738628E-6</v>
      </c>
      <c r="J15">
        <v>3.7840454409044582E-5</v>
      </c>
      <c r="K15">
        <v>1.2148035311058304E-6</v>
      </c>
      <c r="L15">
        <v>2.2882191753928625E-6</v>
      </c>
      <c r="M15">
        <v>3.0578981379303815E-5</v>
      </c>
      <c r="N15">
        <v>2.1930136650017305E-7</v>
      </c>
      <c r="O15">
        <v>2.1392086871914748E-3</v>
      </c>
    </row>
    <row r="16" spans="1:15" x14ac:dyDescent="0.25">
      <c r="A16">
        <v>3.7960963631411988</v>
      </c>
      <c r="B16">
        <v>3.2458235880538913E-3</v>
      </c>
      <c r="C16">
        <v>4.4828583516829104E-3</v>
      </c>
      <c r="D16">
        <v>2.4528036715844282E-4</v>
      </c>
      <c r="E16">
        <v>1.1743088580015944E-2</v>
      </c>
      <c r="F16">
        <v>0.15714834173530501</v>
      </c>
      <c r="G16">
        <v>1.195256976895899E-3</v>
      </c>
      <c r="H16">
        <v>3.2110315005014677E-2</v>
      </c>
      <c r="I16">
        <v>3.6667482903590017E-2</v>
      </c>
      <c r="J16">
        <v>0.37429924014783134</v>
      </c>
      <c r="K16">
        <v>1.4456583889165353E-2</v>
      </c>
      <c r="L16">
        <v>2.744575650927069E-2</v>
      </c>
      <c r="M16">
        <v>0.3859615665522787</v>
      </c>
      <c r="N16">
        <v>2.1392086871914748E-3</v>
      </c>
      <c r="O16">
        <v>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O16"/>
  <sheetViews>
    <sheetView workbookViewId="0">
      <selection activeCell="WQS18" sqref="WQS18"/>
    </sheetView>
  </sheetViews>
  <sheetFormatPr defaultRowHeight="15" x14ac:dyDescent="0.25"/>
  <sheetData>
    <row r="1" spans="1:15" x14ac:dyDescent="0.25">
      <c r="A1" t="s">
        <v>9</v>
      </c>
    </row>
    <row r="2" spans="1:15" x14ac:dyDescent="0.25">
      <c r="A2">
        <f t="array" ref="A2:O16">MINVERSE('Matrix (R)^t.(R)'!$A$2:$O$16)</f>
        <v>50.797145108351678</v>
      </c>
      <c r="B2">
        <v>-31872.629281116719</v>
      </c>
      <c r="C2">
        <v>-56154.275876958513</v>
      </c>
      <c r="D2">
        <v>88213.694861693031</v>
      </c>
      <c r="E2">
        <v>-54818.992059167518</v>
      </c>
      <c r="F2">
        <v>-1049.5789315662514</v>
      </c>
      <c r="G2">
        <v>-161767.12078589364</v>
      </c>
      <c r="H2">
        <v>-2152.0911752335578</v>
      </c>
      <c r="I2">
        <v>-14782.456836442792</v>
      </c>
      <c r="J2">
        <v>1764.146493199778</v>
      </c>
      <c r="K2">
        <v>16457.931545971423</v>
      </c>
      <c r="L2">
        <v>79259.020371941893</v>
      </c>
      <c r="M2">
        <v>-2390.9012422314663</v>
      </c>
      <c r="N2">
        <v>-286448.16439231171</v>
      </c>
      <c r="O2">
        <v>8.6357625803334077</v>
      </c>
    </row>
    <row r="3" spans="1:15" x14ac:dyDescent="0.25">
      <c r="A3">
        <v>-31872.629280993238</v>
      </c>
      <c r="B3">
        <v>3559170317.5234418</v>
      </c>
      <c r="C3">
        <v>413625176.90026683</v>
      </c>
      <c r="D3">
        <v>4322885530.0671005</v>
      </c>
      <c r="E3">
        <v>356379334.00427866</v>
      </c>
      <c r="F3">
        <v>-10483724.575687595</v>
      </c>
      <c r="G3">
        <v>-1600070209.081666</v>
      </c>
      <c r="H3">
        <v>33931087.697637573</v>
      </c>
      <c r="I3">
        <v>149674313.06898358</v>
      </c>
      <c r="J3">
        <v>-14032380.289744971</v>
      </c>
      <c r="K3">
        <v>-451313544.82416195</v>
      </c>
      <c r="L3">
        <v>-538342969.48992133</v>
      </c>
      <c r="M3">
        <v>9146424.1842604056</v>
      </c>
      <c r="N3">
        <v>1437915025.0160413</v>
      </c>
      <c r="O3">
        <v>-64115.351625113311</v>
      </c>
    </row>
    <row r="4" spans="1:15" x14ac:dyDescent="0.25">
      <c r="A4">
        <v>-56154.275876975786</v>
      </c>
      <c r="B4">
        <v>413625176.90106618</v>
      </c>
      <c r="C4">
        <v>714179943.76863325</v>
      </c>
      <c r="D4">
        <v>2851950442.5984588</v>
      </c>
      <c r="E4">
        <v>275126286.43973917</v>
      </c>
      <c r="F4">
        <v>-7114278.0595445391</v>
      </c>
      <c r="G4">
        <v>1372636828.9168458</v>
      </c>
      <c r="H4">
        <v>-27772035.215653639</v>
      </c>
      <c r="I4">
        <v>60862583.693547964</v>
      </c>
      <c r="J4">
        <v>4028261.2777390447</v>
      </c>
      <c r="K4">
        <v>-311965766.76479226</v>
      </c>
      <c r="L4">
        <v>-263022895.96751297</v>
      </c>
      <c r="M4">
        <v>5880384.9547114158</v>
      </c>
      <c r="N4">
        <v>-654684184.38824403</v>
      </c>
      <c r="O4">
        <v>-30877.213224905227</v>
      </c>
    </row>
    <row r="5" spans="1:15" x14ac:dyDescent="0.25">
      <c r="A5">
        <v>88213.694862271994</v>
      </c>
      <c r="B5">
        <v>4322885530.0682068</v>
      </c>
      <c r="C5">
        <v>2851950442.5956826</v>
      </c>
      <c r="D5">
        <v>102093596141.49591</v>
      </c>
      <c r="E5">
        <v>1063959808.5326734</v>
      </c>
      <c r="F5">
        <v>-119882785.62286633</v>
      </c>
      <c r="G5">
        <v>-13368059273.472969</v>
      </c>
      <c r="H5">
        <v>-895073761.98555028</v>
      </c>
      <c r="I5">
        <v>846546252.0725311</v>
      </c>
      <c r="J5">
        <v>-25035748.348052748</v>
      </c>
      <c r="K5">
        <v>-100735174.4347319</v>
      </c>
      <c r="L5">
        <v>-735652187.92929554</v>
      </c>
      <c r="M5">
        <v>2466945.3849629825</v>
      </c>
      <c r="N5">
        <v>1773676931.9507389</v>
      </c>
      <c r="O5">
        <v>-235900.61548707259</v>
      </c>
    </row>
    <row r="6" spans="1:15" x14ac:dyDescent="0.25">
      <c r="A6">
        <v>-54818.99205916885</v>
      </c>
      <c r="B6">
        <v>356379334.0046978</v>
      </c>
      <c r="C6">
        <v>275126286.43968427</v>
      </c>
      <c r="D6">
        <v>1063959808.534146</v>
      </c>
      <c r="E6">
        <v>182482210.10786793</v>
      </c>
      <c r="F6">
        <v>-2674540.3813919155</v>
      </c>
      <c r="G6">
        <v>422941661.17867881</v>
      </c>
      <c r="H6">
        <v>-6867818.2236742368</v>
      </c>
      <c r="I6">
        <v>47977420.004889183</v>
      </c>
      <c r="J6">
        <v>-804517.17165669415</v>
      </c>
      <c r="K6">
        <v>-110422434.85261823</v>
      </c>
      <c r="L6">
        <v>-217758582.56723762</v>
      </c>
      <c r="M6">
        <v>4960316.757502838</v>
      </c>
      <c r="N6">
        <v>185034390.0727748</v>
      </c>
      <c r="O6">
        <v>-25843.514690370812</v>
      </c>
    </row>
    <row r="7" spans="1:15" x14ac:dyDescent="0.25">
      <c r="A7">
        <v>-1049.5789315678976</v>
      </c>
      <c r="B7">
        <v>-10483724.575683849</v>
      </c>
      <c r="C7">
        <v>-7114278.0595366033</v>
      </c>
      <c r="D7">
        <v>-119882785.62286273</v>
      </c>
      <c r="E7">
        <v>-2674540.3813873357</v>
      </c>
      <c r="F7">
        <v>405052.8922205476</v>
      </c>
      <c r="G7">
        <v>4480908.1713494202</v>
      </c>
      <c r="H7">
        <v>1649714.2311930077</v>
      </c>
      <c r="I7">
        <v>-2122720.4150126879</v>
      </c>
      <c r="J7">
        <v>-36342.366701578205</v>
      </c>
      <c r="K7">
        <v>3002489.6817557449</v>
      </c>
      <c r="L7">
        <v>705787.01122394798</v>
      </c>
      <c r="M7">
        <v>46714.823081919822</v>
      </c>
      <c r="N7">
        <v>5471731.2166705662</v>
      </c>
      <c r="O7">
        <v>306.43771068703512</v>
      </c>
    </row>
    <row r="8" spans="1:15" x14ac:dyDescent="0.25">
      <c r="A8">
        <v>-161767.12078611532</v>
      </c>
      <c r="B8">
        <v>-1600070209.0797663</v>
      </c>
      <c r="C8">
        <v>1372636828.9174321</v>
      </c>
      <c r="D8">
        <v>-13368059273.462038</v>
      </c>
      <c r="E8">
        <v>422941661.1792022</v>
      </c>
      <c r="F8">
        <v>4480908.171325583</v>
      </c>
      <c r="G8">
        <v>11356159605.134775</v>
      </c>
      <c r="H8">
        <v>82885050.015699744</v>
      </c>
      <c r="I8">
        <v>-1101099.9067361844</v>
      </c>
      <c r="J8">
        <v>17569785.838760741</v>
      </c>
      <c r="K8">
        <v>-823862361.25310278</v>
      </c>
      <c r="L8">
        <v>-594995642.30003154</v>
      </c>
      <c r="M8">
        <v>23856204.198577166</v>
      </c>
      <c r="N8">
        <v>-2091332905.2327235</v>
      </c>
      <c r="O8">
        <v>-80080.400601685411</v>
      </c>
    </row>
    <row r="9" spans="1:15" x14ac:dyDescent="0.25">
      <c r="A9">
        <v>-2152.0911752408197</v>
      </c>
      <c r="B9">
        <v>33931087.69764889</v>
      </c>
      <c r="C9">
        <v>-27772035.215627454</v>
      </c>
      <c r="D9">
        <v>-895073761.98554981</v>
      </c>
      <c r="E9">
        <v>-6867818.2236575838</v>
      </c>
      <c r="F9">
        <v>1649714.231192918</v>
      </c>
      <c r="G9">
        <v>82885050.015810639</v>
      </c>
      <c r="H9">
        <v>13075446.699240148</v>
      </c>
      <c r="I9">
        <v>-9471183.4214798193</v>
      </c>
      <c r="J9">
        <v>-145124.10355021618</v>
      </c>
      <c r="K9">
        <v>-5256323.5796949472</v>
      </c>
      <c r="L9">
        <v>-6171924.4227528097</v>
      </c>
      <c r="M9">
        <v>386252.58966463542</v>
      </c>
      <c r="N9">
        <v>2332085.0916171051</v>
      </c>
      <c r="O9">
        <v>1498.7872498507602</v>
      </c>
    </row>
    <row r="10" spans="1:15" x14ac:dyDescent="0.25">
      <c r="A10">
        <v>-14782.456836427631</v>
      </c>
      <c r="B10">
        <v>149674313.06899437</v>
      </c>
      <c r="C10">
        <v>60862583.693457998</v>
      </c>
      <c r="D10">
        <v>846546252.07272518</v>
      </c>
      <c r="E10">
        <v>47977420.004841819</v>
      </c>
      <c r="F10">
        <v>-2122720.4150134255</v>
      </c>
      <c r="G10">
        <v>-1101099.9070769206</v>
      </c>
      <c r="H10">
        <v>-9471183.4214843363</v>
      </c>
      <c r="I10">
        <v>25925451.784121402</v>
      </c>
      <c r="J10">
        <v>-1438351.9122122584</v>
      </c>
      <c r="K10">
        <v>-22597364.092303913</v>
      </c>
      <c r="L10">
        <v>-58993804.609690286</v>
      </c>
      <c r="M10">
        <v>1192350.0021194059</v>
      </c>
      <c r="N10">
        <v>232687984.71770793</v>
      </c>
      <c r="O10">
        <v>-10358.752015945744</v>
      </c>
    </row>
    <row r="11" spans="1:15" x14ac:dyDescent="0.25">
      <c r="A11">
        <v>1764.1464931979601</v>
      </c>
      <c r="B11">
        <v>-14032380.28973419</v>
      </c>
      <c r="C11">
        <v>4028261.2777489712</v>
      </c>
      <c r="D11">
        <v>-25035748.348034728</v>
      </c>
      <c r="E11">
        <v>-804517.17165071424</v>
      </c>
      <c r="F11">
        <v>-36342.366701602252</v>
      </c>
      <c r="G11">
        <v>17569785.838788785</v>
      </c>
      <c r="H11">
        <v>-145124.10355004022</v>
      </c>
      <c r="I11">
        <v>-1438351.9122110642</v>
      </c>
      <c r="J11">
        <v>329937.53686423349</v>
      </c>
      <c r="K11">
        <v>-1190545.7896022748</v>
      </c>
      <c r="L11">
        <v>3293194.3509350116</v>
      </c>
      <c r="M11">
        <v>-96281.489268938269</v>
      </c>
      <c r="N11">
        <v>-47866746.549396463</v>
      </c>
      <c r="O11">
        <v>855.23793613345322</v>
      </c>
    </row>
    <row r="12" spans="1:15" x14ac:dyDescent="0.25">
      <c r="A12">
        <v>16457.931545972402</v>
      </c>
      <c r="B12">
        <v>-451313544.82440543</v>
      </c>
      <c r="C12">
        <v>-311965766.76474047</v>
      </c>
      <c r="D12">
        <v>-100735174.4356622</v>
      </c>
      <c r="E12">
        <v>-110422434.85261153</v>
      </c>
      <c r="F12">
        <v>3002489.6817588974</v>
      </c>
      <c r="G12">
        <v>-823862361.25286078</v>
      </c>
      <c r="H12">
        <v>-5256323.5796837648</v>
      </c>
      <c r="I12">
        <v>-22597364.092337605</v>
      </c>
      <c r="J12">
        <v>-1190545.7895978214</v>
      </c>
      <c r="K12">
        <v>206094785.98742846</v>
      </c>
      <c r="L12">
        <v>116296204.12767732</v>
      </c>
      <c r="M12">
        <v>-2653575.2608867362</v>
      </c>
      <c r="N12">
        <v>295897241.37969095</v>
      </c>
      <c r="O12">
        <v>11925.026252734557</v>
      </c>
    </row>
    <row r="13" spans="1:15" x14ac:dyDescent="0.25">
      <c r="A13">
        <v>79259.02037194671</v>
      </c>
      <c r="B13">
        <v>-538342969.49041796</v>
      </c>
      <c r="C13">
        <v>-263022895.9674215</v>
      </c>
      <c r="D13">
        <v>-735652187.93114793</v>
      </c>
      <c r="E13">
        <v>-217758582.56723061</v>
      </c>
      <c r="F13">
        <v>705787.01122977538</v>
      </c>
      <c r="G13">
        <v>-594995642.29931247</v>
      </c>
      <c r="H13">
        <v>-6171924.4227297986</v>
      </c>
      <c r="I13">
        <v>-58993804.609752409</v>
      </c>
      <c r="J13">
        <v>3293194.3509432003</v>
      </c>
      <c r="K13">
        <v>116296204.12767181</v>
      </c>
      <c r="L13">
        <v>319594834.53301311</v>
      </c>
      <c r="M13">
        <v>-8174298.3001144975</v>
      </c>
      <c r="N13">
        <v>-554990193.67512262</v>
      </c>
      <c r="O13">
        <v>39263.128352917418</v>
      </c>
    </row>
    <row r="14" spans="1:15" x14ac:dyDescent="0.25">
      <c r="A14">
        <v>-2390.9012422319347</v>
      </c>
      <c r="B14">
        <v>9146424.1842737813</v>
      </c>
      <c r="C14">
        <v>5880384.9547102368</v>
      </c>
      <c r="D14">
        <v>2466945.3850181028</v>
      </c>
      <c r="E14">
        <v>4960316.7575034676</v>
      </c>
      <c r="F14">
        <v>46714.82308176261</v>
      </c>
      <c r="G14">
        <v>23856204.198560845</v>
      </c>
      <c r="H14">
        <v>386252.58966397645</v>
      </c>
      <c r="I14">
        <v>1192350.0021212262</v>
      </c>
      <c r="J14">
        <v>-96281.489269154772</v>
      </c>
      <c r="K14">
        <v>-2653575.2608868945</v>
      </c>
      <c r="L14">
        <v>-8174298.3001155192</v>
      </c>
      <c r="M14">
        <v>239265.67452214772</v>
      </c>
      <c r="N14">
        <v>15958193.520379096</v>
      </c>
      <c r="O14">
        <v>-1021.6563394400828</v>
      </c>
    </row>
    <row r="15" spans="1:15" x14ac:dyDescent="0.25">
      <c r="A15">
        <v>-286448.16439205426</v>
      </c>
      <c r="B15">
        <v>1437915025.0145853</v>
      </c>
      <c r="C15">
        <v>-654684184.38963068</v>
      </c>
      <c r="D15">
        <v>1773676931.9491193</v>
      </c>
      <c r="E15">
        <v>185034390.07193521</v>
      </c>
      <c r="F15">
        <v>5471731.2166722007</v>
      </c>
      <c r="G15">
        <v>-2091332905.2370176</v>
      </c>
      <c r="H15">
        <v>2332085.091579617</v>
      </c>
      <c r="I15">
        <v>232687984.71755227</v>
      </c>
      <c r="J15">
        <v>-47866746.549397305</v>
      </c>
      <c r="K15">
        <v>295897241.38032639</v>
      </c>
      <c r="L15">
        <v>-554990193.67395318</v>
      </c>
      <c r="M15">
        <v>15958193.520347623</v>
      </c>
      <c r="N15">
        <v>7541863891.4847212</v>
      </c>
      <c r="O15">
        <v>-145679.25334173627</v>
      </c>
    </row>
    <row r="16" spans="1:15" x14ac:dyDescent="0.25">
      <c r="A16">
        <v>8.6357625803298639</v>
      </c>
      <c r="B16">
        <v>-64115.351625144809</v>
      </c>
      <c r="C16">
        <v>-30877.213224873511</v>
      </c>
      <c r="D16">
        <v>-235900.6154872737</v>
      </c>
      <c r="E16">
        <v>-25843.514690357166</v>
      </c>
      <c r="F16">
        <v>306.43771068765324</v>
      </c>
      <c r="G16">
        <v>-80080.400601537098</v>
      </c>
      <c r="H16">
        <v>1498.7872498539916</v>
      </c>
      <c r="I16">
        <v>-10358.752015950176</v>
      </c>
      <c r="J16">
        <v>855.23793613435771</v>
      </c>
      <c r="K16">
        <v>11925.026252723545</v>
      </c>
      <c r="L16">
        <v>39263.12835289965</v>
      </c>
      <c r="M16">
        <v>-1021.656339439494</v>
      </c>
      <c r="N16">
        <v>-145679.25334186334</v>
      </c>
      <c r="O16">
        <v>7.6477193135328623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Y16"/>
  <sheetViews>
    <sheetView workbookViewId="0">
      <selection activeCell="WQS18" sqref="WQS18"/>
    </sheetView>
  </sheetViews>
  <sheetFormatPr defaultRowHeight="15" x14ac:dyDescent="0.25"/>
  <sheetData>
    <row r="1" spans="1:25" x14ac:dyDescent="0.25">
      <c r="A1" t="s">
        <v>10</v>
      </c>
    </row>
    <row r="2" spans="1:25" x14ac:dyDescent="0.25">
      <c r="A2">
        <f t="array" ref="A2:Y16">MMULT('Matrix ((R)^t.(R))^(-1)'!$A$2:$O$16,'Matrix (R)^t'!$A$2:$Y$16)</f>
        <v>1.6289997834143666</v>
      </c>
      <c r="B2">
        <v>-0.54722814188926172</v>
      </c>
      <c r="C2">
        <v>-1.4275500127863676</v>
      </c>
      <c r="D2">
        <v>1.0403366988721086</v>
      </c>
      <c r="E2">
        <v>1.5666695851447585</v>
      </c>
      <c r="F2">
        <v>2.1802385034143938</v>
      </c>
      <c r="G2">
        <v>-2.1728112871112231</v>
      </c>
      <c r="H2">
        <v>-0.33534894718866859</v>
      </c>
      <c r="I2">
        <v>-0.18561927322979521</v>
      </c>
      <c r="J2">
        <v>-0.61806535330092238</v>
      </c>
      <c r="K2">
        <v>0.12489353637022482</v>
      </c>
      <c r="L2">
        <v>0.64660521971606677</v>
      </c>
      <c r="M2">
        <v>1.0171424047520166</v>
      </c>
      <c r="N2">
        <v>0.30485379026927184</v>
      </c>
      <c r="O2">
        <v>-2.4381113656271065</v>
      </c>
      <c r="P2">
        <v>-2.1663875199969755</v>
      </c>
      <c r="Q2">
        <v>2.4334933160985077</v>
      </c>
      <c r="R2">
        <v>-1.8812691608460366</v>
      </c>
      <c r="S2">
        <v>0.74513169478417574</v>
      </c>
      <c r="T2">
        <v>1.4678153814646411</v>
      </c>
      <c r="U2">
        <v>-0.4092743228241158</v>
      </c>
      <c r="V2">
        <v>-0.19753445006246118</v>
      </c>
      <c r="W2">
        <v>-2.4143378656357175</v>
      </c>
      <c r="X2">
        <v>0.30862820604364849</v>
      </c>
      <c r="Y2">
        <v>1.3287295801591075</v>
      </c>
    </row>
    <row r="3" spans="1:25" x14ac:dyDescent="0.25">
      <c r="A3">
        <v>-10373.739171652298</v>
      </c>
      <c r="B3">
        <v>-7038.6955883240735</v>
      </c>
      <c r="C3">
        <v>-394.50337548495736</v>
      </c>
      <c r="D3">
        <v>19996.850544033077</v>
      </c>
      <c r="E3">
        <v>3041.0889269990439</v>
      </c>
      <c r="F3">
        <v>-443.41176602583437</v>
      </c>
      <c r="G3">
        <v>-5165.1966896740487</v>
      </c>
      <c r="H3">
        <v>-4369.8419623813243</v>
      </c>
      <c r="I3">
        <v>16903.82368562909</v>
      </c>
      <c r="J3">
        <v>-18027.655395130278</v>
      </c>
      <c r="K3">
        <v>7918.1664297625539</v>
      </c>
      <c r="L3">
        <v>7990.3710363857972</v>
      </c>
      <c r="M3">
        <v>-412.41565077815903</v>
      </c>
      <c r="N3">
        <v>10377.974462695536</v>
      </c>
      <c r="O3">
        <v>4661.97203293239</v>
      </c>
      <c r="P3">
        <v>-10564.882004193176</v>
      </c>
      <c r="Q3">
        <v>-20659.897337233924</v>
      </c>
      <c r="R3">
        <v>6032.5323881544755</v>
      </c>
      <c r="S3">
        <v>29785.694102321402</v>
      </c>
      <c r="T3">
        <v>-13295.081319855868</v>
      </c>
      <c r="U3">
        <v>8511.2985820003378</v>
      </c>
      <c r="V3">
        <v>-15099.413257634304</v>
      </c>
      <c r="W3">
        <v>4430.5644252335769</v>
      </c>
      <c r="X3">
        <v>-3316.0276922298362</v>
      </c>
      <c r="Y3">
        <v>-10489.57540562388</v>
      </c>
    </row>
    <row r="4" spans="1:25" x14ac:dyDescent="0.25">
      <c r="A4">
        <v>-4370.0383052947473</v>
      </c>
      <c r="B4">
        <v>-2520.2815838984716</v>
      </c>
      <c r="C4">
        <v>4240.7344437344982</v>
      </c>
      <c r="D4">
        <v>-122.21052658087501</v>
      </c>
      <c r="E4">
        <v>-3923.9538505847704</v>
      </c>
      <c r="F4">
        <v>5214.5503238998172</v>
      </c>
      <c r="G4">
        <v>684.35234633279106</v>
      </c>
      <c r="H4">
        <v>-7858.6965518347752</v>
      </c>
      <c r="I4">
        <v>11373.841755773738</v>
      </c>
      <c r="J4">
        <v>2229.4407926253443</v>
      </c>
      <c r="K4">
        <v>-612.60034485260621</v>
      </c>
      <c r="L4">
        <v>-529.07706151514503</v>
      </c>
      <c r="M4">
        <v>-2461.5826802444535</v>
      </c>
      <c r="N4">
        <v>455.38193299290651</v>
      </c>
      <c r="O4">
        <v>5479.9995522036879</v>
      </c>
      <c r="P4">
        <v>-346.69538325076792</v>
      </c>
      <c r="Q4">
        <v>-8163.8992514649981</v>
      </c>
      <c r="R4">
        <v>9587.2116490828885</v>
      </c>
      <c r="S4">
        <v>-5903.2551312770775</v>
      </c>
      <c r="T4">
        <v>-6407.7462936972297</v>
      </c>
      <c r="U4">
        <v>8808.2453825651646</v>
      </c>
      <c r="V4">
        <v>-883.40165402386629</v>
      </c>
      <c r="W4">
        <v>-8429.9603365989351</v>
      </c>
      <c r="X4">
        <v>2805.5641752877746</v>
      </c>
      <c r="Y4">
        <v>1654.0766006355952</v>
      </c>
    </row>
    <row r="5" spans="1:25" x14ac:dyDescent="0.25">
      <c r="A5">
        <v>-4927.1513195836742</v>
      </c>
      <c r="B5">
        <v>-12369.556512591109</v>
      </c>
      <c r="C5">
        <v>-56635.319582450262</v>
      </c>
      <c r="D5">
        <v>83280.400256037334</v>
      </c>
      <c r="E5">
        <v>-59450.211561089323</v>
      </c>
      <c r="F5">
        <v>23876.106519901456</v>
      </c>
      <c r="G5">
        <v>53249.917646641348</v>
      </c>
      <c r="H5">
        <v>1748.6485306578397</v>
      </c>
      <c r="I5">
        <v>146286.22264414668</v>
      </c>
      <c r="J5">
        <v>-36819.522650282772</v>
      </c>
      <c r="K5">
        <v>1448.244229857024</v>
      </c>
      <c r="L5">
        <v>-8951.1467500371218</v>
      </c>
      <c r="M5">
        <v>-59889.234396324406</v>
      </c>
      <c r="N5">
        <v>-33505.538098796271</v>
      </c>
      <c r="O5">
        <v>128538.80102988999</v>
      </c>
      <c r="P5">
        <v>-53759.619610977155</v>
      </c>
      <c r="Q5">
        <v>8617.6412038356939</v>
      </c>
      <c r="R5">
        <v>-96327.899288886925</v>
      </c>
      <c r="S5">
        <v>-29621.067710336676</v>
      </c>
      <c r="T5">
        <v>-28873.207194922754</v>
      </c>
      <c r="U5">
        <v>887.84572829448734</v>
      </c>
      <c r="V5">
        <v>-91262.564784729941</v>
      </c>
      <c r="W5">
        <v>-42586.133688949601</v>
      </c>
      <c r="X5">
        <v>120341.84133871293</v>
      </c>
      <c r="Y5">
        <v>46702.504022025882</v>
      </c>
    </row>
    <row r="6" spans="1:25" x14ac:dyDescent="0.25">
      <c r="A6">
        <v>-4483.2221600849589</v>
      </c>
      <c r="B6">
        <v>-2145.1614600623179</v>
      </c>
      <c r="C6">
        <v>2898.0021618596584</v>
      </c>
      <c r="D6">
        <v>1927.7719439835382</v>
      </c>
      <c r="E6">
        <v>-1859.0450209517221</v>
      </c>
      <c r="F6">
        <v>1611.4796694638644</v>
      </c>
      <c r="G6">
        <v>1997.2186197923438</v>
      </c>
      <c r="H6">
        <v>-93.918737481286371</v>
      </c>
      <c r="I6">
        <v>3018.4222456447606</v>
      </c>
      <c r="J6">
        <v>383.02169291563041</v>
      </c>
      <c r="K6">
        <v>492.68244723111275</v>
      </c>
      <c r="L6">
        <v>9.7004397198215884</v>
      </c>
      <c r="M6">
        <v>-1328.1622661863621</v>
      </c>
      <c r="N6">
        <v>1332.407084157996</v>
      </c>
      <c r="O6">
        <v>3684.405869570237</v>
      </c>
      <c r="P6">
        <v>-444.47861559499506</v>
      </c>
      <c r="Q6">
        <v>-7470.9827626941042</v>
      </c>
      <c r="R6">
        <v>5225.1199419380791</v>
      </c>
      <c r="S6">
        <v>-2642.7480402563924</v>
      </c>
      <c r="T6">
        <v>-2337.0497653890052</v>
      </c>
      <c r="U6">
        <v>2149.5756285909483</v>
      </c>
      <c r="V6">
        <v>-2696.5913639374012</v>
      </c>
      <c r="W6">
        <v>248.97315950164193</v>
      </c>
      <c r="X6">
        <v>-496.84588181529398</v>
      </c>
      <c r="Y6">
        <v>1019.4251700928253</v>
      </c>
    </row>
    <row r="7" spans="1:25" x14ac:dyDescent="0.25">
      <c r="A7">
        <v>41.021026454348714</v>
      </c>
      <c r="B7">
        <v>96.628640972167148</v>
      </c>
      <c r="C7">
        <v>-150.09280968159607</v>
      </c>
      <c r="D7">
        <v>-261.40627463755919</v>
      </c>
      <c r="E7">
        <v>243.1867119022161</v>
      </c>
      <c r="F7">
        <v>-62.566678085014928</v>
      </c>
      <c r="G7">
        <v>89.562386850734413</v>
      </c>
      <c r="H7">
        <v>-7.8041741336929249</v>
      </c>
      <c r="I7">
        <v>-186.17214642834188</v>
      </c>
      <c r="J7">
        <v>161.74629485175222</v>
      </c>
      <c r="K7">
        <v>-56.136978098419775</v>
      </c>
      <c r="L7">
        <v>-57.825624073936922</v>
      </c>
      <c r="M7">
        <v>81.853997212802085</v>
      </c>
      <c r="N7">
        <v>109.4131880288632</v>
      </c>
      <c r="O7">
        <v>-41.925359904626646</v>
      </c>
      <c r="P7">
        <v>199.05743518836408</v>
      </c>
      <c r="Q7">
        <v>-98.207577514495085</v>
      </c>
      <c r="R7">
        <v>-34.581110907518337</v>
      </c>
      <c r="S7">
        <v>49.633642181544474</v>
      </c>
      <c r="T7">
        <v>21.889609343030884</v>
      </c>
      <c r="U7">
        <v>-98.718330242600416</v>
      </c>
      <c r="V7">
        <v>104.95210290879942</v>
      </c>
      <c r="W7">
        <v>149.81432868093242</v>
      </c>
      <c r="X7">
        <v>-98.399020627226832</v>
      </c>
      <c r="Y7">
        <v>-194.92328024070986</v>
      </c>
    </row>
    <row r="8" spans="1:25" x14ac:dyDescent="0.25">
      <c r="A8">
        <v>-12213.254692219678</v>
      </c>
      <c r="B8">
        <v>-4360.1630565454107</v>
      </c>
      <c r="C8">
        <v>42565.055094349009</v>
      </c>
      <c r="D8">
        <v>-36322.489466038372</v>
      </c>
      <c r="E8">
        <v>-340.34100789086369</v>
      </c>
      <c r="F8">
        <v>10685.181678253299</v>
      </c>
      <c r="G8">
        <v>-3972.5412334111315</v>
      </c>
      <c r="H8">
        <v>-22526.903945091763</v>
      </c>
      <c r="I8">
        <v>-19943.640979301461</v>
      </c>
      <c r="J8">
        <v>22600.065579356407</v>
      </c>
      <c r="K8">
        <v>18264.27074735325</v>
      </c>
      <c r="L8">
        <v>11606.51407630874</v>
      </c>
      <c r="M8">
        <v>1176.4455272063933</v>
      </c>
      <c r="N8">
        <v>-9504.8921249932755</v>
      </c>
      <c r="O8">
        <v>-14833.338493051342</v>
      </c>
      <c r="P8">
        <v>20124.908879815644</v>
      </c>
      <c r="Q8">
        <v>-21177.5054073473</v>
      </c>
      <c r="R8">
        <v>46344.438075072409</v>
      </c>
      <c r="S8">
        <v>-22666.847860600363</v>
      </c>
      <c r="T8">
        <v>-1003.5256300979672</v>
      </c>
      <c r="U8">
        <v>7814.6741432214185</v>
      </c>
      <c r="V8">
        <v>13923.773298235494</v>
      </c>
      <c r="W8">
        <v>-38390.535257493219</v>
      </c>
      <c r="X8">
        <v>20429.65106621325</v>
      </c>
      <c r="Y8">
        <v>-8278.99901129301</v>
      </c>
    </row>
    <row r="9" spans="1:25" x14ac:dyDescent="0.25">
      <c r="A9">
        <v>56.178669760935463</v>
      </c>
      <c r="B9">
        <v>-29.633091677009588</v>
      </c>
      <c r="C9">
        <v>100.59265161653934</v>
      </c>
      <c r="D9">
        <v>-739.05985558707948</v>
      </c>
      <c r="E9">
        <v>903.71819813471075</v>
      </c>
      <c r="F9">
        <v>-24.419599548431052</v>
      </c>
      <c r="G9">
        <v>-53.573862811537538</v>
      </c>
      <c r="H9">
        <v>-245.37205045095675</v>
      </c>
      <c r="I9">
        <v>-1349.5774206386839</v>
      </c>
      <c r="J9">
        <v>291.53900832123031</v>
      </c>
      <c r="K9">
        <v>4.9790166610857796</v>
      </c>
      <c r="L9">
        <v>-2.1426504301368823</v>
      </c>
      <c r="M9">
        <v>753.90247309431084</v>
      </c>
      <c r="N9">
        <v>1413.8123618100465</v>
      </c>
      <c r="O9">
        <v>-1036.1725020908245</v>
      </c>
      <c r="P9">
        <v>198.9199726151428</v>
      </c>
      <c r="Q9">
        <v>-815.30279539906701</v>
      </c>
      <c r="R9">
        <v>607.08147264004469</v>
      </c>
      <c r="S9">
        <v>1122.524670194467</v>
      </c>
      <c r="T9">
        <v>-90.593656642250608</v>
      </c>
      <c r="U9">
        <v>-134.70716155650098</v>
      </c>
      <c r="V9">
        <v>654.22956247653383</v>
      </c>
      <c r="W9">
        <v>600.78427762359968</v>
      </c>
      <c r="X9">
        <v>-571.26835289676524</v>
      </c>
      <c r="Y9">
        <v>-1616.4393352183372</v>
      </c>
    </row>
    <row r="10" spans="1:25" x14ac:dyDescent="0.25">
      <c r="A10">
        <v>-1667.3909945943506</v>
      </c>
      <c r="B10">
        <v>-669.90554013633846</v>
      </c>
      <c r="C10">
        <v>1664.4973269981147</v>
      </c>
      <c r="D10">
        <v>2053.9435530596802</v>
      </c>
      <c r="E10">
        <v>-1173.9273063401324</v>
      </c>
      <c r="F10">
        <v>-603.49064881060258</v>
      </c>
      <c r="G10">
        <v>139.67392183871925</v>
      </c>
      <c r="H10">
        <v>424.19980588994622</v>
      </c>
      <c r="I10">
        <v>1447.8623298897201</v>
      </c>
      <c r="J10">
        <v>-497.68272447388517</v>
      </c>
      <c r="K10">
        <v>1055.5722026133171</v>
      </c>
      <c r="L10">
        <v>706.94393470384057</v>
      </c>
      <c r="M10">
        <v>-951.8370125067795</v>
      </c>
      <c r="N10">
        <v>-1206.7256963436612</v>
      </c>
      <c r="O10">
        <v>1466.3794445365475</v>
      </c>
      <c r="P10">
        <v>-291.45489654812809</v>
      </c>
      <c r="Q10">
        <v>-1176.8518901846965</v>
      </c>
      <c r="R10">
        <v>481.86197467091006</v>
      </c>
      <c r="S10">
        <v>-356.58278064849947</v>
      </c>
      <c r="T10">
        <v>-579.63871383735932</v>
      </c>
      <c r="U10">
        <v>290.10194522638994</v>
      </c>
      <c r="V10">
        <v>-1630.7466477018843</v>
      </c>
      <c r="W10">
        <v>358.74675260646654</v>
      </c>
      <c r="X10">
        <v>336.42690227741878</v>
      </c>
      <c r="Y10">
        <v>380.02475781379144</v>
      </c>
    </row>
    <row r="11" spans="1:25" x14ac:dyDescent="0.25">
      <c r="A11">
        <v>134.54571357103475</v>
      </c>
      <c r="B11">
        <v>11.132871754773873</v>
      </c>
      <c r="C11">
        <v>-3.4710402399210807</v>
      </c>
      <c r="D11">
        <v>-148.06022060082967</v>
      </c>
      <c r="E11">
        <v>-15.451575547621928</v>
      </c>
      <c r="F11">
        <v>167.08787273360133</v>
      </c>
      <c r="G11">
        <v>-69.058942197867623</v>
      </c>
      <c r="H11">
        <v>-57.093731253461669</v>
      </c>
      <c r="I11">
        <v>-14.246807204313086</v>
      </c>
      <c r="J11">
        <v>-33.295246385028008</v>
      </c>
      <c r="K11">
        <v>-160.89113116172859</v>
      </c>
      <c r="L11">
        <v>-108.58500315684626</v>
      </c>
      <c r="M11">
        <v>21.657257979596466</v>
      </c>
      <c r="N11">
        <v>133.95934289979039</v>
      </c>
      <c r="O11">
        <v>-84.267218401378727</v>
      </c>
      <c r="P11">
        <v>-43.052000330697524</v>
      </c>
      <c r="Q11">
        <v>22.835570089171483</v>
      </c>
      <c r="R11">
        <v>66.39099488043837</v>
      </c>
      <c r="S11">
        <v>-116.26311510194171</v>
      </c>
      <c r="T11">
        <v>120.2914096433268</v>
      </c>
      <c r="U11">
        <v>109.02107196555073</v>
      </c>
      <c r="V11">
        <v>137.55861141321031</v>
      </c>
      <c r="W11">
        <v>-273.62327472596519</v>
      </c>
      <c r="X11">
        <v>-17.010185955517613</v>
      </c>
      <c r="Y11">
        <v>219.88877533268248</v>
      </c>
    </row>
    <row r="12" spans="1:25" x14ac:dyDescent="0.25">
      <c r="A12">
        <v>1792.280321857952</v>
      </c>
      <c r="B12">
        <v>1356.528724878759</v>
      </c>
      <c r="C12">
        <v>-2790.4717620807878</v>
      </c>
      <c r="D12">
        <v>28.408121405207567</v>
      </c>
      <c r="E12">
        <v>1176.8360266493401</v>
      </c>
      <c r="F12">
        <v>-2210.9474216255767</v>
      </c>
      <c r="G12">
        <v>1693.3281414123157</v>
      </c>
      <c r="H12">
        <v>5452.7100587835212</v>
      </c>
      <c r="I12">
        <v>-3599.9247648702058</v>
      </c>
      <c r="J12">
        <v>1505.6692455400207</v>
      </c>
      <c r="K12">
        <v>-1478.8797866323566</v>
      </c>
      <c r="L12">
        <v>-1446.1710430010189</v>
      </c>
      <c r="M12">
        <v>175.65198344000419</v>
      </c>
      <c r="N12">
        <v>-994.05687610198038</v>
      </c>
      <c r="O12">
        <v>33.846901397881084</v>
      </c>
      <c r="P12">
        <v>578.39390711588385</v>
      </c>
      <c r="Q12">
        <v>3738.4385817057791</v>
      </c>
      <c r="R12">
        <v>-6877.8875172769604</v>
      </c>
      <c r="S12">
        <v>-1913.7170027564807</v>
      </c>
      <c r="T12">
        <v>4785.7870270725616</v>
      </c>
      <c r="U12">
        <v>-4847.8519303558114</v>
      </c>
      <c r="V12">
        <v>-391.12967080860653</v>
      </c>
      <c r="W12">
        <v>4090.6333787655221</v>
      </c>
      <c r="X12">
        <v>-1553.0937559585709</v>
      </c>
      <c r="Y12">
        <v>1695.6191114448393</v>
      </c>
    </row>
    <row r="13" spans="1:25" x14ac:dyDescent="0.25">
      <c r="A13">
        <v>6931.2389303032905</v>
      </c>
      <c r="B13">
        <v>2726.2819097030515</v>
      </c>
      <c r="C13">
        <v>-5180.3889582655029</v>
      </c>
      <c r="D13">
        <v>-1055.3428656117831</v>
      </c>
      <c r="E13">
        <v>-252.40456320313388</v>
      </c>
      <c r="F13">
        <v>-709.25711749691254</v>
      </c>
      <c r="G13">
        <v>-3726.0493529168089</v>
      </c>
      <c r="H13">
        <v>-337.34480241066194</v>
      </c>
      <c r="I13">
        <v>-2282.5348598377459</v>
      </c>
      <c r="J13">
        <v>-849.17638562038337</v>
      </c>
      <c r="K13">
        <v>-2269.4049635499759</v>
      </c>
      <c r="L13">
        <v>-910.30071142772067</v>
      </c>
      <c r="M13">
        <v>1465.7642202262577</v>
      </c>
      <c r="N13">
        <v>-2248.343888434516</v>
      </c>
      <c r="O13">
        <v>-3918.9362589199154</v>
      </c>
      <c r="P13">
        <v>-1014.8909138216259</v>
      </c>
      <c r="Q13">
        <v>11904.133798276314</v>
      </c>
      <c r="R13">
        <v>-4016.9952485692265</v>
      </c>
      <c r="S13">
        <v>662.34826024277572</v>
      </c>
      <c r="T13">
        <v>1841.629021304012</v>
      </c>
      <c r="U13">
        <v>-818.73504314405</v>
      </c>
      <c r="V13">
        <v>4440.9513138686161</v>
      </c>
      <c r="W13">
        <v>-1383.9772891078537</v>
      </c>
      <c r="X13">
        <v>-399.13707195925963</v>
      </c>
      <c r="Y13">
        <v>1400.8728403777204</v>
      </c>
    </row>
    <row r="14" spans="1:25" x14ac:dyDescent="0.25">
      <c r="A14">
        <v>-181.24748561012348</v>
      </c>
      <c r="B14">
        <v>-53.389200101380084</v>
      </c>
      <c r="C14">
        <v>166.68476525841515</v>
      </c>
      <c r="D14">
        <v>-69.608924788231548</v>
      </c>
      <c r="E14">
        <v>17.071716466055932</v>
      </c>
      <c r="F14">
        <v>12.211069298616621</v>
      </c>
      <c r="G14">
        <v>160.58374759508752</v>
      </c>
      <c r="H14">
        <v>-10.285126944283093</v>
      </c>
      <c r="I14">
        <v>17.18813879362142</v>
      </c>
      <c r="J14">
        <v>55.726661142931107</v>
      </c>
      <c r="K14">
        <v>74.198337246445362</v>
      </c>
      <c r="L14">
        <v>24.025312144625332</v>
      </c>
      <c r="M14">
        <v>-32.6830879115887</v>
      </c>
      <c r="N14">
        <v>47.513472066965278</v>
      </c>
      <c r="O14">
        <v>75.938879860719453</v>
      </c>
      <c r="P14">
        <v>82.10899497856758</v>
      </c>
      <c r="Q14">
        <v>-296.30873820911938</v>
      </c>
      <c r="R14">
        <v>79.567857670545663</v>
      </c>
      <c r="S14">
        <v>-15.905719252344738</v>
      </c>
      <c r="T14">
        <v>-57.653226232709812</v>
      </c>
      <c r="U14">
        <v>-16.187669023182934</v>
      </c>
      <c r="V14">
        <v>-93.433290988056797</v>
      </c>
      <c r="W14">
        <v>37.655643313274368</v>
      </c>
      <c r="X14">
        <v>61.887189358323667</v>
      </c>
      <c r="Y14">
        <v>-85.659316133310313</v>
      </c>
    </row>
    <row r="15" spans="1:25" x14ac:dyDescent="0.25">
      <c r="A15">
        <v>-23970.462464455981</v>
      </c>
      <c r="B15">
        <v>-2184.7988878716715</v>
      </c>
      <c r="C15">
        <v>5122.5641306005418</v>
      </c>
      <c r="D15">
        <v>18828.829139077512</v>
      </c>
      <c r="E15">
        <v>2188.7245455064112</v>
      </c>
      <c r="F15">
        <v>-24244.971912493173</v>
      </c>
      <c r="G15">
        <v>11078.165215477406</v>
      </c>
      <c r="H15">
        <v>14081.45496559923</v>
      </c>
      <c r="I15">
        <v>-2364.0707741072401</v>
      </c>
      <c r="J15">
        <v>9023.9596779489657</v>
      </c>
      <c r="K15">
        <v>25860.237956628203</v>
      </c>
      <c r="L15">
        <v>18704.922593790921</v>
      </c>
      <c r="M15">
        <v>-1269.4406486612279</v>
      </c>
      <c r="N15">
        <v>-24740.10775156715</v>
      </c>
      <c r="O15">
        <v>10306.290998471435</v>
      </c>
      <c r="P15">
        <v>9707.8030071122921</v>
      </c>
      <c r="Q15">
        <v>-5348.2120596123277</v>
      </c>
      <c r="R15">
        <v>-7247.3479297842132</v>
      </c>
      <c r="S15">
        <v>6591.8375442560646</v>
      </c>
      <c r="T15">
        <v>-14677.569919023343</v>
      </c>
      <c r="U15">
        <v>-21014.067028277903</v>
      </c>
      <c r="V15">
        <v>-23891.211918256886</v>
      </c>
      <c r="W15">
        <v>44585.358140645316</v>
      </c>
      <c r="X15">
        <v>-5767.7613179388572</v>
      </c>
      <c r="Y15">
        <v>-19360.12530307658</v>
      </c>
    </row>
    <row r="16" spans="1:25" x14ac:dyDescent="0.25">
      <c r="A16">
        <v>0.96594182993752931</v>
      </c>
      <c r="B16">
        <v>0.30662428014795928</v>
      </c>
      <c r="C16">
        <v>-0.57903432342910222</v>
      </c>
      <c r="D16">
        <v>-0.27597923743454977</v>
      </c>
      <c r="E16">
        <v>-6.8477685259065169E-3</v>
      </c>
      <c r="F16">
        <v>8.0800397274077618E-2</v>
      </c>
      <c r="G16">
        <v>-0.33364203440605955</v>
      </c>
      <c r="H16">
        <v>-6.0623747878620904E-2</v>
      </c>
      <c r="I16">
        <v>-0.54766370012254484</v>
      </c>
      <c r="J16">
        <v>-0.55818084901236276</v>
      </c>
      <c r="K16">
        <v>-0.82060295928985205</v>
      </c>
      <c r="L16">
        <v>-0.65311344676051064</v>
      </c>
      <c r="M16">
        <v>2.7127810664408614E-2</v>
      </c>
      <c r="N16">
        <v>0.40909682376024037</v>
      </c>
      <c r="O16">
        <v>-0.52649160042284926</v>
      </c>
      <c r="P16">
        <v>-0.1764690335223289</v>
      </c>
      <c r="Q16">
        <v>1.1043524628133721</v>
      </c>
      <c r="R16">
        <v>-0.38586708777537204</v>
      </c>
      <c r="S16">
        <v>0.3048207966643286</v>
      </c>
      <c r="T16">
        <v>0.5059795559928304</v>
      </c>
      <c r="U16">
        <v>0.51163820468580212</v>
      </c>
      <c r="V16">
        <v>1.3549839284869076</v>
      </c>
      <c r="W16">
        <v>9.39132300500507E-2</v>
      </c>
      <c r="X16">
        <v>-1.5588712162084128E-2</v>
      </c>
      <c r="Y16">
        <v>0.27482518026528702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C17"/>
  <sheetViews>
    <sheetView topLeftCell="C1" zoomScale="190" zoomScaleNormal="190" workbookViewId="0">
      <selection activeCell="WQS18" sqref="WQS18"/>
    </sheetView>
  </sheetViews>
  <sheetFormatPr defaultRowHeight="15" x14ac:dyDescent="0.25"/>
  <cols>
    <col min="2" max="2" width="15.42578125" bestFit="1" customWidth="1"/>
    <col min="3" max="3" width="20.7109375" bestFit="1" customWidth="1"/>
  </cols>
  <sheetData>
    <row r="1" spans="1:3" x14ac:dyDescent="0.25">
      <c r="A1" t="s">
        <v>11</v>
      </c>
    </row>
    <row r="2" spans="1:3" x14ac:dyDescent="0.25">
      <c r="A2" t="s">
        <v>12</v>
      </c>
      <c r="B2" t="s">
        <v>13</v>
      </c>
      <c r="C2" t="s">
        <v>14</v>
      </c>
    </row>
    <row r="3" spans="1:3" x14ac:dyDescent="0.25">
      <c r="A3" t="s">
        <v>15</v>
      </c>
      <c r="B3">
        <f t="array" ref="B3:B17">MMULT('Matrix (((R)^t.(R))^(-1)).(R)^t'!$A$2:$Y$16,'Tabela Entrada-Saída'!$P$2:$P$26)</f>
        <v>-730.10547164612126</v>
      </c>
      <c r="C3" t="e">
        <f>EXP(((-1)/(2*'Cálculos Diversos'!$B$5))*(SQRT(SUMXMY2(Formulário!$B$1:$B$14,'Coordenadas dos Polos'!$P$2:$AC$2)))^2)</f>
        <v>#DIV/0!</v>
      </c>
    </row>
    <row r="4" spans="1:3" x14ac:dyDescent="0.25">
      <c r="A4" t="s">
        <v>16</v>
      </c>
      <c r="B4">
        <v>46802549.0448834</v>
      </c>
      <c r="C4" t="e">
        <f>EXP(((-1)/(2*'Cálculos Diversos'!$B$5))*(SQRT(SUMXMY2(Formulário!$B$1:$B$14,'Coordenadas dos Polos'!$AD$2:$AQ$2)))^2)</f>
        <v>#DIV/0!</v>
      </c>
    </row>
    <row r="5" spans="1:3" x14ac:dyDescent="0.25">
      <c r="A5" t="s">
        <v>23</v>
      </c>
      <c r="B5">
        <v>-9281280.6203877181</v>
      </c>
      <c r="C5" t="e">
        <f>EXP(((-1)/(2*'Cálculos Diversos'!$B$5))*(SQRT(SUMXMY2(Formulário!$B$1:$B$14,'Coordenadas dos Polos'!$AR$2:$BE$2)))^2)</f>
        <v>#DIV/0!</v>
      </c>
    </row>
    <row r="6" spans="1:3" x14ac:dyDescent="0.25">
      <c r="A6" t="s">
        <v>24</v>
      </c>
      <c r="B6">
        <v>-110662812.850299</v>
      </c>
      <c r="C6" t="e">
        <f>EXP(((-1)/(2*'Cálculos Diversos'!$B$5))*(SQRT(SUMXMY2(Formulário!$B$1:$B$14,'Coordenadas dos Polos'!$BF$2:$BS$2)))^2)</f>
        <v>#DIV/0!</v>
      </c>
    </row>
    <row r="7" spans="1:3" x14ac:dyDescent="0.25">
      <c r="A7" t="s">
        <v>34</v>
      </c>
      <c r="B7">
        <v>-3653721.2789102257</v>
      </c>
      <c r="C7" t="e">
        <f>EXP(((-1)/(2*'Cálculos Diversos'!$B$5))*(SQRT(SUMXMY2(Formulário!$B$1:$B$14,'Coordenadas dos Polos'!$BT$2:$CG$2)))^2)</f>
        <v>#DIV/0!</v>
      </c>
    </row>
    <row r="8" spans="1:3" x14ac:dyDescent="0.25">
      <c r="A8" t="s">
        <v>35</v>
      </c>
      <c r="B8">
        <v>158255.53633878427</v>
      </c>
      <c r="C8" t="e">
        <f>EXP(((-1)/(2*'Cálculos Diversos'!$B$5))*(SQRT(SUMXMY2(Formulário!$B$1:$B$14,'Coordenadas dos Polos'!$CH$2:$CU$2)))^2)</f>
        <v>#DIV/0!</v>
      </c>
    </row>
    <row r="9" spans="1:3" x14ac:dyDescent="0.25">
      <c r="A9" t="s">
        <v>36</v>
      </c>
      <c r="B9">
        <v>-54361036.603313327</v>
      </c>
      <c r="C9" t="e">
        <f>EXP(((-1)/(2*'Cálculos Diversos'!$B$5))*(SQRT(SUMXMY2(Formulário!$B$1:$B$14,'Coordenadas dos Polos'!$CV$2:$DI$2)))^2)</f>
        <v>#DIV/0!</v>
      </c>
    </row>
    <row r="10" spans="1:3" x14ac:dyDescent="0.25">
      <c r="A10" t="s">
        <v>37</v>
      </c>
      <c r="B10">
        <v>2102748.1600298034</v>
      </c>
      <c r="C10" t="e">
        <f>EXP(((-1)/(2*'Cálculos Diversos'!$B$5))*(SQRT(SUMXMY2(Formulário!$B$1:$B$14,'Coordenadas dos Polos'!$DJ$2:$DW$2)))^2)</f>
        <v>#DIV/0!</v>
      </c>
    </row>
    <row r="11" spans="1:3" x14ac:dyDescent="0.25">
      <c r="A11" t="s">
        <v>38</v>
      </c>
      <c r="B11">
        <v>-2665618.7991378284</v>
      </c>
      <c r="C11" t="e">
        <f>EXP(((-1)/(2*'Cálculos Diversos'!$B$5))*(SQRT(SUMXMY2(Formulário!$B$1:$B$14,'Coordenadas dos Polos'!$DX$2:$EK$2)))^2)</f>
        <v>#DIV/0!</v>
      </c>
    </row>
    <row r="12" spans="1:3" x14ac:dyDescent="0.25">
      <c r="A12" t="s">
        <v>39</v>
      </c>
      <c r="B12">
        <v>-144809.91295119014</v>
      </c>
      <c r="C12" t="e">
        <f>EXP(((-1)/(2*'Cálculos Diversos'!$B$5))*(SQRT(SUMXMY2(Formulário!$B$1:$B$14,'Coordenadas dos Polos'!$EL$2:$EY$2)))^2)</f>
        <v>#DIV/0!</v>
      </c>
    </row>
    <row r="13" spans="1:3" x14ac:dyDescent="0.25">
      <c r="A13" t="s">
        <v>40</v>
      </c>
      <c r="B13">
        <v>-2359056.6614131257</v>
      </c>
      <c r="C13" t="e">
        <f>EXP(((-1)/(2*'Cálculos Diversos'!$B$5))*(SQRT(SUMXMY2(Formulário!$B$1:$B$14,'Coordenadas dos Polos'!$EZ$2:$FM$2)))^2)</f>
        <v>#DIV/0!</v>
      </c>
    </row>
    <row r="14" spans="1:3" x14ac:dyDescent="0.25">
      <c r="A14" t="s">
        <v>41</v>
      </c>
      <c r="B14">
        <v>3594379.2282316759</v>
      </c>
      <c r="C14" t="e">
        <f>EXP(((-1)/(2*'Cálculos Diversos'!$B$5))*(SQRT(SUMXMY2(Formulário!$B$1:$B$14,'Coordenadas dos Polos'!$FN$2:$GA$2)))^2)</f>
        <v>#DIV/0!</v>
      </c>
    </row>
    <row r="15" spans="1:3" x14ac:dyDescent="0.25">
      <c r="A15" t="s">
        <v>42</v>
      </c>
      <c r="B15">
        <v>-91053.288961498474</v>
      </c>
      <c r="C15" t="e">
        <f>EXP(((-1)/(2*'Cálculos Diversos'!$B$5))*(SQRT(SUMXMY2(Formulário!$B$1:$B$14,'Coordenadas dos Polos'!$GB$2:$GO$2)))^2)</f>
        <v>#DIV/0!</v>
      </c>
    </row>
    <row r="16" spans="1:3" x14ac:dyDescent="0.25">
      <c r="A16" t="s">
        <v>65</v>
      </c>
      <c r="B16">
        <v>-8555573.6025433168</v>
      </c>
      <c r="C16" t="e">
        <f>EXP(((-1)/(2*'Cálculos Diversos'!$B$5))*(SQRT(SUMXMY2(Formulário!$B$1:$B$14,'Coordenadas dos Polos'!$GP$2:$HC$2)))^2)</f>
        <v>#DIV/0!</v>
      </c>
    </row>
    <row r="17" spans="1:3" x14ac:dyDescent="0.25">
      <c r="A17" t="s">
        <v>17</v>
      </c>
      <c r="B17">
        <v>6993.8139054232161</v>
      </c>
      <c r="C17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B20"/>
  <sheetViews>
    <sheetView topLeftCell="A2" zoomScale="74" zoomScaleNormal="74" workbookViewId="0">
      <selection activeCell="WQS18" sqref="WQS18"/>
    </sheetView>
  </sheetViews>
  <sheetFormatPr defaultColWidth="9.140625" defaultRowHeight="15" x14ac:dyDescent="0.25"/>
  <cols>
    <col min="1" max="1" width="26.42578125" bestFit="1" customWidth="1"/>
    <col min="2" max="2" width="25.7109375" customWidth="1"/>
    <col min="3" max="3" width="13.5703125" customWidth="1"/>
    <col min="4" max="4" width="228.5703125" customWidth="1"/>
  </cols>
  <sheetData>
    <row r="1" spans="1:2" ht="16.5" thickTop="1" thickBot="1" x14ac:dyDescent="0.3">
      <c r="A1" s="1" t="s">
        <v>47</v>
      </c>
      <c r="B1" s="2"/>
    </row>
    <row r="2" spans="1:2" ht="16.5" thickTop="1" thickBot="1" x14ac:dyDescent="0.3">
      <c r="A2" s="1" t="s">
        <v>48</v>
      </c>
      <c r="B2" s="2"/>
    </row>
    <row r="3" spans="1:2" ht="16.5" thickTop="1" thickBot="1" x14ac:dyDescent="0.3">
      <c r="A3" s="1" t="s">
        <v>49</v>
      </c>
      <c r="B3" s="2"/>
    </row>
    <row r="4" spans="1:2" ht="16.5" thickTop="1" thickBot="1" x14ac:dyDescent="0.3">
      <c r="A4" s="1" t="s">
        <v>50</v>
      </c>
      <c r="B4" s="2"/>
    </row>
    <row r="5" spans="1:2" ht="16.5" thickTop="1" thickBot="1" x14ac:dyDescent="0.3">
      <c r="A5" s="1" t="s">
        <v>51</v>
      </c>
      <c r="B5" s="2"/>
    </row>
    <row r="6" spans="1:2" ht="16.5" thickTop="1" thickBot="1" x14ac:dyDescent="0.3">
      <c r="A6" s="1" t="s">
        <v>52</v>
      </c>
      <c r="B6" s="2"/>
    </row>
    <row r="7" spans="1:2" ht="16.5" thickTop="1" thickBot="1" x14ac:dyDescent="0.3">
      <c r="A7" s="1" t="s">
        <v>53</v>
      </c>
      <c r="B7" s="2"/>
    </row>
    <row r="8" spans="1:2" ht="16.5" thickTop="1" thickBot="1" x14ac:dyDescent="0.3">
      <c r="A8" s="1" t="s">
        <v>54</v>
      </c>
      <c r="B8" s="2"/>
    </row>
    <row r="9" spans="1:2" ht="16.5" thickTop="1" thickBot="1" x14ac:dyDescent="0.3">
      <c r="A9" s="1" t="s">
        <v>55</v>
      </c>
      <c r="B9" s="2"/>
    </row>
    <row r="10" spans="1:2" ht="16.5" thickTop="1" thickBot="1" x14ac:dyDescent="0.3">
      <c r="A10" s="1" t="s">
        <v>56</v>
      </c>
      <c r="B10" s="2"/>
    </row>
    <row r="11" spans="1:2" ht="16.5" thickTop="1" thickBot="1" x14ac:dyDescent="0.3">
      <c r="A11" s="1" t="s">
        <v>57</v>
      </c>
      <c r="B11" s="2"/>
    </row>
    <row r="12" spans="1:2" ht="16.5" thickTop="1" thickBot="1" x14ac:dyDescent="0.3">
      <c r="A12" s="1" t="s">
        <v>58</v>
      </c>
      <c r="B12" s="2"/>
    </row>
    <row r="13" spans="1:2" ht="16.5" thickTop="1" thickBot="1" x14ac:dyDescent="0.3">
      <c r="A13" s="1" t="s">
        <v>59</v>
      </c>
      <c r="B13" s="2"/>
    </row>
    <row r="14" spans="1:2" ht="16.5" thickTop="1" thickBot="1" x14ac:dyDescent="0.3">
      <c r="A14" s="1" t="s">
        <v>63</v>
      </c>
      <c r="B14" s="2"/>
    </row>
    <row r="15" spans="1:2" ht="16.5" thickTop="1" thickBot="1" x14ac:dyDescent="0.3">
      <c r="A15" s="1" t="s">
        <v>60</v>
      </c>
      <c r="B15" s="6" t="str">
        <f>IFERROR(SUMPRODUCT(Solução!$B$3:$B$17,Solução!$C$3:$C$17),"")</f>
        <v/>
      </c>
    </row>
    <row r="16" spans="1:2" ht="16.5" thickTop="1" thickBot="1" x14ac:dyDescent="0.3">
      <c r="A16" s="1" t="s">
        <v>18</v>
      </c>
      <c r="B16" s="3">
        <f>'Coeficiente de Acerto'!$B$55</f>
        <v>0.8528586039993572</v>
      </c>
    </row>
    <row r="17" spans="1:2" ht="226.5" thickTop="1" thickBot="1" x14ac:dyDescent="0.3">
      <c r="A17" s="1" t="s">
        <v>19</v>
      </c>
      <c r="B17" s="4" t="s">
        <v>69</v>
      </c>
    </row>
    <row r="18" spans="1:2" ht="16.5" thickTop="1" thickBot="1" x14ac:dyDescent="0.3">
      <c r="A18" s="1" t="s">
        <v>14</v>
      </c>
      <c r="B18" s="5" t="s">
        <v>70</v>
      </c>
    </row>
    <row r="19" spans="1:2" ht="16.5" thickTop="1" thickBot="1" x14ac:dyDescent="0.3">
      <c r="A19" s="1" t="s">
        <v>20</v>
      </c>
      <c r="B19" s="5" t="s">
        <v>45</v>
      </c>
    </row>
    <row r="20" spans="1:2" ht="15.75" thickTop="1" x14ac:dyDescent="0.25"/>
  </sheetData>
  <sheetProtection selectLockedCell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pageSetUpPr fitToPage="1"/>
  </sheetPr>
  <dimension ref="A1:Q4"/>
  <sheetViews>
    <sheetView zoomScale="130" zoomScaleNormal="130" workbookViewId="0">
      <selection activeCell="WQS18" sqref="WQS18"/>
    </sheetView>
  </sheetViews>
  <sheetFormatPr defaultRowHeight="15" x14ac:dyDescent="0.25"/>
  <cols>
    <col min="1" max="1" width="4.28515625" bestFit="1" customWidth="1"/>
    <col min="2" max="6" width="6" bestFit="1" customWidth="1"/>
    <col min="7" max="11" width="4.85546875" bestFit="1" customWidth="1"/>
    <col min="12" max="16" width="6" bestFit="1" customWidth="1"/>
    <col min="17" max="17" width="4.85546875" bestFit="1" customWidth="1"/>
    <col min="18" max="18" width="4.28515625" bestFit="1" customWidth="1"/>
    <col min="19" max="20" width="4.85546875" bestFit="1" customWidth="1"/>
    <col min="21" max="21" width="4.28515625" bestFit="1" customWidth="1"/>
    <col min="22" max="23" width="6" bestFit="1" customWidth="1"/>
  </cols>
  <sheetData>
    <row r="1" spans="1:17" x14ac:dyDescent="0.25">
      <c r="A1" s="7" t="s">
        <v>46</v>
      </c>
      <c r="B1" s="7" t="s">
        <v>47</v>
      </c>
      <c r="C1" s="7" t="s">
        <v>48</v>
      </c>
      <c r="D1" s="7" t="s">
        <v>49</v>
      </c>
      <c r="E1" s="7" t="s">
        <v>50</v>
      </c>
      <c r="F1" s="7" t="s">
        <v>51</v>
      </c>
      <c r="G1" s="7" t="s">
        <v>52</v>
      </c>
      <c r="H1" s="7" t="s">
        <v>53</v>
      </c>
      <c r="I1" s="7" t="s">
        <v>54</v>
      </c>
      <c r="J1" s="7" t="s">
        <v>55</v>
      </c>
      <c r="K1" s="7" t="s">
        <v>56</v>
      </c>
      <c r="L1" s="7" t="s">
        <v>57</v>
      </c>
      <c r="M1" s="7" t="s">
        <v>58</v>
      </c>
      <c r="N1" s="7" t="s">
        <v>59</v>
      </c>
      <c r="O1" s="7" t="s">
        <v>63</v>
      </c>
      <c r="P1" s="7" t="s">
        <v>61</v>
      </c>
      <c r="Q1" s="7" t="s">
        <v>62</v>
      </c>
    </row>
    <row r="2" spans="1:17" x14ac:dyDescent="0.25">
      <c r="A2" s="7">
        <v>5</v>
      </c>
      <c r="B2" s="7">
        <v>1846.3961999999999</v>
      </c>
      <c r="C2" s="7">
        <v>1293.9159</v>
      </c>
      <c r="D2" s="7">
        <v>1264.1789999999999</v>
      </c>
      <c r="E2" s="7">
        <v>2785.4562000000005</v>
      </c>
      <c r="F2" s="7">
        <v>3</v>
      </c>
      <c r="G2" s="7">
        <v>2</v>
      </c>
      <c r="H2" s="7">
        <v>1</v>
      </c>
      <c r="I2" s="7">
        <v>12</v>
      </c>
      <c r="J2" s="7">
        <v>11</v>
      </c>
      <c r="K2" s="7">
        <v>93.890909090909105</v>
      </c>
      <c r="L2" s="7">
        <v>92.818181818181813</v>
      </c>
      <c r="M2" s="7">
        <v>105.41818181818184</v>
      </c>
      <c r="N2" s="7">
        <v>134.89090909090908</v>
      </c>
      <c r="O2" s="7">
        <v>102.30909090909091</v>
      </c>
      <c r="P2" s="7">
        <v>3015.5259000000005</v>
      </c>
      <c r="Q2" s="7">
        <v>2864.8254521251829</v>
      </c>
    </row>
    <row r="3" spans="1:17" x14ac:dyDescent="0.25">
      <c r="A3" s="7">
        <v>16</v>
      </c>
      <c r="B3" s="7">
        <v>2492.7825000000003</v>
      </c>
      <c r="C3" s="7">
        <v>2423.9181000000003</v>
      </c>
      <c r="D3" s="7">
        <v>2134.3746000000001</v>
      </c>
      <c r="E3" s="7">
        <v>3370.8036000000002</v>
      </c>
      <c r="F3" s="7">
        <v>2</v>
      </c>
      <c r="G3" s="7">
        <v>1</v>
      </c>
      <c r="H3" s="7">
        <v>12</v>
      </c>
      <c r="I3" s="7">
        <v>11</v>
      </c>
      <c r="J3" s="7">
        <v>10</v>
      </c>
      <c r="K3" s="7">
        <v>88.881818181818176</v>
      </c>
      <c r="L3" s="7">
        <v>104.98181818181818</v>
      </c>
      <c r="M3" s="7">
        <v>134.29090909090908</v>
      </c>
      <c r="N3" s="7">
        <v>104.2090909090909</v>
      </c>
      <c r="O3" s="7">
        <v>100.14545454545456</v>
      </c>
      <c r="P3" s="7">
        <v>2617.9904999999999</v>
      </c>
      <c r="Q3" s="7">
        <v>2544.6219007132322</v>
      </c>
    </row>
    <row r="4" spans="1:17" x14ac:dyDescent="0.25">
      <c r="A4" s="7">
        <v>19</v>
      </c>
      <c r="B4" s="7">
        <v>5616.7221</v>
      </c>
      <c r="C4" s="7">
        <v>4544.6286</v>
      </c>
      <c r="D4" s="7">
        <v>2617.9904999999999</v>
      </c>
      <c r="E4" s="7">
        <v>2492.7825000000003</v>
      </c>
      <c r="F4" s="7">
        <v>5</v>
      </c>
      <c r="G4" s="7">
        <v>4</v>
      </c>
      <c r="H4" s="7">
        <v>3</v>
      </c>
      <c r="I4" s="7">
        <v>2</v>
      </c>
      <c r="J4" s="7">
        <v>1</v>
      </c>
      <c r="K4" s="7">
        <v>93.090909090909093</v>
      </c>
      <c r="L4" s="7">
        <v>87.318181818181813</v>
      </c>
      <c r="M4" s="7">
        <v>94.881818181818161</v>
      </c>
      <c r="N4" s="7">
        <v>88.881818181818176</v>
      </c>
      <c r="O4" s="7">
        <v>104.98181818181818</v>
      </c>
      <c r="P4" s="7">
        <v>7087.9160999999995</v>
      </c>
      <c r="Q4" s="7">
        <v>6741.0540220217172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5" fitToHeight="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R55"/>
  <sheetViews>
    <sheetView topLeftCell="A67" zoomScale="130" zoomScaleNormal="130" workbookViewId="0">
      <selection activeCell="WQS18" sqref="WQS18"/>
    </sheetView>
  </sheetViews>
  <sheetFormatPr defaultRowHeight="15" x14ac:dyDescent="0.25"/>
  <cols>
    <col min="1" max="1" width="6.5703125" bestFit="1" customWidth="1"/>
    <col min="2" max="2" width="6.7109375" customWidth="1"/>
    <col min="3" max="14" width="5.28515625" bestFit="1" customWidth="1"/>
    <col min="15" max="15" width="4.28515625" bestFit="1" customWidth="1"/>
    <col min="16" max="16" width="7.7109375" bestFit="1" customWidth="1"/>
    <col min="18" max="18" width="111.42578125" customWidth="1"/>
    <col min="21" max="21" width="10.7109375" bestFit="1" customWidth="1"/>
    <col min="22" max="23" width="14.28515625" bestFit="1" customWidth="1"/>
    <col min="24" max="26" width="14.28515625" customWidth="1"/>
  </cols>
  <sheetData>
    <row r="1" spans="1:18" x14ac:dyDescent="0.25">
      <c r="A1" s="7" t="s">
        <v>46</v>
      </c>
      <c r="B1" s="7" t="s">
        <v>47</v>
      </c>
      <c r="C1" s="7" t="s">
        <v>48</v>
      </c>
      <c r="D1" s="7" t="s">
        <v>49</v>
      </c>
      <c r="E1" s="7" t="s">
        <v>50</v>
      </c>
      <c r="F1" s="7" t="s">
        <v>51</v>
      </c>
      <c r="G1" s="7" t="s">
        <v>52</v>
      </c>
      <c r="H1" s="7" t="s">
        <v>53</v>
      </c>
      <c r="I1" s="7" t="s">
        <v>54</v>
      </c>
      <c r="J1" s="7" t="s">
        <v>55</v>
      </c>
      <c r="K1" s="7" t="s">
        <v>56</v>
      </c>
      <c r="L1" s="7" t="s">
        <v>57</v>
      </c>
      <c r="M1" s="7" t="s">
        <v>58</v>
      </c>
      <c r="N1" s="7" t="s">
        <v>59</v>
      </c>
      <c r="O1" s="7" t="s">
        <v>63</v>
      </c>
      <c r="P1" s="7" t="s">
        <v>61</v>
      </c>
      <c r="Q1" t="s">
        <v>62</v>
      </c>
      <c r="R1" t="s">
        <v>66</v>
      </c>
    </row>
    <row r="2" spans="1:18" x14ac:dyDescent="0.25">
      <c r="A2" s="7">
        <v>1</v>
      </c>
      <c r="B2" s="7">
        <v>2791.7166000000002</v>
      </c>
      <c r="C2" s="7">
        <v>3015.5259000000005</v>
      </c>
      <c r="D2" s="7">
        <v>3827.8128000000002</v>
      </c>
      <c r="E2" s="7">
        <v>4381.8582000000006</v>
      </c>
      <c r="F2" s="7">
        <v>11</v>
      </c>
      <c r="G2" s="7">
        <v>10</v>
      </c>
      <c r="H2" s="7">
        <v>9</v>
      </c>
      <c r="I2" s="7">
        <v>8</v>
      </c>
      <c r="J2" s="7">
        <v>7</v>
      </c>
      <c r="K2" s="7">
        <v>102.30909090909091</v>
      </c>
      <c r="L2" s="7">
        <v>99.981818181818156</v>
      </c>
      <c r="M2" s="7">
        <v>93.981818181818184</v>
      </c>
      <c r="N2" s="7">
        <v>100.40909090909091</v>
      </c>
      <c r="O2" s="7">
        <v>97.772727272727266</v>
      </c>
      <c r="P2" s="7">
        <v>2785.4562000000005</v>
      </c>
      <c r="Q2">
        <v>2470.1318670294058</v>
      </c>
      <c r="R2" t="s">
        <v>67</v>
      </c>
    </row>
    <row r="3" spans="1:18" x14ac:dyDescent="0.25">
      <c r="A3" s="7">
        <v>2</v>
      </c>
      <c r="B3" s="7">
        <v>2785.4562000000005</v>
      </c>
      <c r="C3" s="7">
        <v>2791.7166000000002</v>
      </c>
      <c r="D3" s="7">
        <v>3015.5259000000005</v>
      </c>
      <c r="E3" s="7">
        <v>3827.8128000000002</v>
      </c>
      <c r="F3" s="7">
        <v>12</v>
      </c>
      <c r="G3" s="7">
        <v>11</v>
      </c>
      <c r="H3" s="7">
        <v>10</v>
      </c>
      <c r="I3" s="7">
        <v>9</v>
      </c>
      <c r="J3" s="7">
        <v>8</v>
      </c>
      <c r="K3" s="7">
        <v>134.89090909090908</v>
      </c>
      <c r="L3" s="7">
        <v>102.30909090909091</v>
      </c>
      <c r="M3" s="7">
        <v>99.981818181818156</v>
      </c>
      <c r="N3" s="7">
        <v>93.981818181818184</v>
      </c>
      <c r="O3" s="7">
        <v>100.40909090909091</v>
      </c>
      <c r="P3" s="7">
        <v>1264.1789999999999</v>
      </c>
      <c r="Q3">
        <v>2638.0838618233174</v>
      </c>
      <c r="R3" t="s">
        <v>67</v>
      </c>
    </row>
    <row r="4" spans="1:18" x14ac:dyDescent="0.25">
      <c r="A4" s="7">
        <v>3</v>
      </c>
      <c r="B4" s="7">
        <v>1264.1789999999999</v>
      </c>
      <c r="C4" s="7">
        <v>2785.4562000000005</v>
      </c>
      <c r="D4" s="7">
        <v>2791.7166000000002</v>
      </c>
      <c r="E4" s="7">
        <v>3015.5259000000005</v>
      </c>
      <c r="F4" s="7">
        <v>1</v>
      </c>
      <c r="G4" s="7">
        <v>12</v>
      </c>
      <c r="H4" s="7">
        <v>11</v>
      </c>
      <c r="I4" s="7">
        <v>10</v>
      </c>
      <c r="J4" s="7">
        <v>9</v>
      </c>
      <c r="K4" s="7">
        <v>105.41818181818184</v>
      </c>
      <c r="L4" s="7">
        <v>134.89090909090908</v>
      </c>
      <c r="M4" s="7">
        <v>102.30909090909091</v>
      </c>
      <c r="N4" s="7">
        <v>99.981818181818156</v>
      </c>
      <c r="O4" s="7">
        <v>93.981818181818184</v>
      </c>
      <c r="P4" s="7">
        <v>1293.9159</v>
      </c>
      <c r="Q4">
        <v>1366.4906175096021</v>
      </c>
      <c r="R4" t="s">
        <v>67</v>
      </c>
    </row>
    <row r="5" spans="1:18" x14ac:dyDescent="0.25">
      <c r="A5" s="7">
        <v>4</v>
      </c>
      <c r="B5" s="7">
        <v>1293.9159</v>
      </c>
      <c r="C5" s="7">
        <v>1264.1789999999999</v>
      </c>
      <c r="D5" s="7">
        <v>2785.4562000000005</v>
      </c>
      <c r="E5" s="7">
        <v>2791.7166000000002</v>
      </c>
      <c r="F5" s="7">
        <v>2</v>
      </c>
      <c r="G5" s="7">
        <v>1</v>
      </c>
      <c r="H5" s="7">
        <v>12</v>
      </c>
      <c r="I5" s="7">
        <v>11</v>
      </c>
      <c r="J5" s="7">
        <v>10</v>
      </c>
      <c r="K5" s="7">
        <v>92.818181818181813</v>
      </c>
      <c r="L5" s="7">
        <v>105.41818181818184</v>
      </c>
      <c r="M5" s="7">
        <v>134.89090909090908</v>
      </c>
      <c r="N5" s="7">
        <v>102.30909090909091</v>
      </c>
      <c r="O5" s="7">
        <v>99.981818181818156</v>
      </c>
      <c r="P5" s="7">
        <v>1846.3961999999999</v>
      </c>
      <c r="Q5">
        <v>2290.6199688181232</v>
      </c>
      <c r="R5" t="s">
        <v>67</v>
      </c>
    </row>
    <row r="6" spans="1:18" x14ac:dyDescent="0.25">
      <c r="A6" s="7">
        <v>5</v>
      </c>
      <c r="B6" s="7">
        <v>1846.3961999999999</v>
      </c>
      <c r="C6" s="7">
        <v>1293.9159</v>
      </c>
      <c r="D6" s="7">
        <v>1264.1789999999999</v>
      </c>
      <c r="E6" s="7">
        <v>2785.4562000000005</v>
      </c>
      <c r="F6" s="7">
        <v>3</v>
      </c>
      <c r="G6" s="7">
        <v>2</v>
      </c>
      <c r="H6" s="7">
        <v>1</v>
      </c>
      <c r="I6" s="7">
        <v>12</v>
      </c>
      <c r="J6" s="7">
        <v>11</v>
      </c>
      <c r="K6" s="7">
        <v>93.890909090909105</v>
      </c>
      <c r="L6" s="7">
        <v>92.818181818181813</v>
      </c>
      <c r="M6" s="7">
        <v>105.41818181818184</v>
      </c>
      <c r="N6" s="7">
        <v>134.89090909090908</v>
      </c>
      <c r="O6" s="7">
        <v>102.30909090909091</v>
      </c>
      <c r="P6" s="7">
        <v>3015.5259000000005</v>
      </c>
      <c r="Q6">
        <v>2864.8254521251829</v>
      </c>
      <c r="R6" t="s">
        <v>68</v>
      </c>
    </row>
    <row r="7" spans="1:18" x14ac:dyDescent="0.25">
      <c r="A7" s="7">
        <v>6</v>
      </c>
      <c r="B7" s="7">
        <v>3015.5259000000005</v>
      </c>
      <c r="C7" s="7">
        <v>1846.3961999999999</v>
      </c>
      <c r="D7" s="7">
        <v>1293.9159</v>
      </c>
      <c r="E7" s="7">
        <v>1264.1789999999999</v>
      </c>
      <c r="F7" s="7">
        <v>4</v>
      </c>
      <c r="G7" s="7">
        <v>3</v>
      </c>
      <c r="H7" s="7">
        <v>2</v>
      </c>
      <c r="I7" s="7">
        <v>1</v>
      </c>
      <c r="J7" s="7">
        <v>12</v>
      </c>
      <c r="K7" s="7">
        <v>92.38181818181819</v>
      </c>
      <c r="L7" s="7">
        <v>93.890909090909105</v>
      </c>
      <c r="M7" s="7">
        <v>92.818181818181813</v>
      </c>
      <c r="N7" s="7">
        <v>105.41818181818184</v>
      </c>
      <c r="O7" s="7">
        <v>134.89090909090908</v>
      </c>
      <c r="P7" s="7">
        <v>3910.7630999999997</v>
      </c>
      <c r="Q7">
        <v>4338.7058060279451</v>
      </c>
      <c r="R7" t="s">
        <v>67</v>
      </c>
    </row>
    <row r="8" spans="1:18" x14ac:dyDescent="0.25">
      <c r="A8" s="7">
        <v>7</v>
      </c>
      <c r="B8" s="7">
        <v>3910.7630999999997</v>
      </c>
      <c r="C8" s="7">
        <v>3015.5259000000005</v>
      </c>
      <c r="D8" s="7">
        <v>1846.3961999999999</v>
      </c>
      <c r="E8" s="7">
        <v>1293.9159</v>
      </c>
      <c r="F8" s="7">
        <v>5</v>
      </c>
      <c r="G8" s="7">
        <v>4</v>
      </c>
      <c r="H8" s="7">
        <v>3</v>
      </c>
      <c r="I8" s="7">
        <v>2</v>
      </c>
      <c r="J8" s="7">
        <v>1</v>
      </c>
      <c r="K8" s="7">
        <v>100.92727272727274</v>
      </c>
      <c r="L8" s="7">
        <v>92.38181818181819</v>
      </c>
      <c r="M8" s="7">
        <v>93.890909090909105</v>
      </c>
      <c r="N8" s="7">
        <v>92.818181818181813</v>
      </c>
      <c r="O8" s="7">
        <v>105.41818181818184</v>
      </c>
      <c r="P8" s="7">
        <v>5616.7221</v>
      </c>
      <c r="Q8">
        <v>5264.8266875410918</v>
      </c>
      <c r="R8" t="s">
        <v>67</v>
      </c>
    </row>
    <row r="9" spans="1:18" x14ac:dyDescent="0.25">
      <c r="A9" s="7">
        <v>8</v>
      </c>
      <c r="B9" s="7">
        <v>5616.7221</v>
      </c>
      <c r="C9" s="7">
        <v>3910.7630999999997</v>
      </c>
      <c r="D9" s="7">
        <v>3015.5259000000005</v>
      </c>
      <c r="E9" s="7">
        <v>1846.3961999999999</v>
      </c>
      <c r="F9" s="7">
        <v>6</v>
      </c>
      <c r="G9" s="7">
        <v>5</v>
      </c>
      <c r="H9" s="7">
        <v>4</v>
      </c>
      <c r="I9" s="7">
        <v>3</v>
      </c>
      <c r="J9" s="7">
        <v>2</v>
      </c>
      <c r="K9" s="7">
        <v>90.345454545454544</v>
      </c>
      <c r="L9" s="7">
        <v>100.92727272727274</v>
      </c>
      <c r="M9" s="7">
        <v>92.38181818181819</v>
      </c>
      <c r="N9" s="7">
        <v>93.890909090909105</v>
      </c>
      <c r="O9" s="7">
        <v>92.818181818181813</v>
      </c>
      <c r="P9" s="7">
        <v>5200.4055000000008</v>
      </c>
      <c r="Q9">
        <v>6224.4662665017358</v>
      </c>
      <c r="R9" t="s">
        <v>67</v>
      </c>
    </row>
    <row r="10" spans="1:18" x14ac:dyDescent="0.25">
      <c r="A10" s="7">
        <v>9</v>
      </c>
      <c r="B10" s="7">
        <v>5200.4055000000008</v>
      </c>
      <c r="C10" s="7">
        <v>5616.7221</v>
      </c>
      <c r="D10" s="7">
        <v>3910.7630999999997</v>
      </c>
      <c r="E10" s="7">
        <v>3015.5259000000005</v>
      </c>
      <c r="F10" s="7">
        <v>7</v>
      </c>
      <c r="G10" s="7">
        <v>6</v>
      </c>
      <c r="H10" s="7">
        <v>5</v>
      </c>
      <c r="I10" s="7">
        <v>4</v>
      </c>
      <c r="J10" s="7">
        <v>3</v>
      </c>
      <c r="K10" s="7">
        <v>94.045454545454518</v>
      </c>
      <c r="L10" s="7">
        <v>90.345454545454544</v>
      </c>
      <c r="M10" s="7">
        <v>100.92727272727274</v>
      </c>
      <c r="N10" s="7">
        <v>92.38181818181819</v>
      </c>
      <c r="O10" s="7">
        <v>93.890909090909105</v>
      </c>
      <c r="P10" s="7">
        <v>4815.3909000000003</v>
      </c>
      <c r="Q10">
        <v>5396.272590900795</v>
      </c>
      <c r="R10" t="s">
        <v>67</v>
      </c>
    </row>
    <row r="11" spans="1:18" x14ac:dyDescent="0.25">
      <c r="A11" s="7">
        <v>10</v>
      </c>
      <c r="B11" s="7">
        <v>4815.3909000000003</v>
      </c>
      <c r="C11" s="7">
        <v>5200.4055000000008</v>
      </c>
      <c r="D11" s="7">
        <v>5616.7221</v>
      </c>
      <c r="E11" s="7">
        <v>3910.7630999999997</v>
      </c>
      <c r="F11" s="7">
        <v>8</v>
      </c>
      <c r="G11" s="7">
        <v>7</v>
      </c>
      <c r="H11" s="7">
        <v>6</v>
      </c>
      <c r="I11" s="7">
        <v>5</v>
      </c>
      <c r="J11" s="7">
        <v>4</v>
      </c>
      <c r="K11" s="7">
        <v>97.536363636363646</v>
      </c>
      <c r="L11" s="7">
        <v>94.045454545454518</v>
      </c>
      <c r="M11" s="7">
        <v>90.345454545454544</v>
      </c>
      <c r="N11" s="7">
        <v>100.92727272727274</v>
      </c>
      <c r="O11" s="7">
        <v>92.38181818181819</v>
      </c>
      <c r="P11" s="7">
        <v>4699.5734999999995</v>
      </c>
      <c r="Q11">
        <v>4290.7856570651311</v>
      </c>
      <c r="R11" t="s">
        <v>67</v>
      </c>
    </row>
    <row r="12" spans="1:18" x14ac:dyDescent="0.25">
      <c r="A12" s="7">
        <v>11</v>
      </c>
      <c r="B12" s="7">
        <v>4699.5734999999995</v>
      </c>
      <c r="C12" s="7">
        <v>4815.3909000000003</v>
      </c>
      <c r="D12" s="7">
        <v>5200.4055000000008</v>
      </c>
      <c r="E12" s="7">
        <v>5616.7221</v>
      </c>
      <c r="F12" s="7">
        <v>9</v>
      </c>
      <c r="G12" s="7">
        <v>8</v>
      </c>
      <c r="H12" s="7">
        <v>7</v>
      </c>
      <c r="I12" s="7">
        <v>6</v>
      </c>
      <c r="J12" s="7">
        <v>5</v>
      </c>
      <c r="K12" s="7">
        <v>94.018181818181816</v>
      </c>
      <c r="L12" s="7">
        <v>97.536363636363646</v>
      </c>
      <c r="M12" s="7">
        <v>94.045454545454518</v>
      </c>
      <c r="N12" s="7">
        <v>90.345454545454544</v>
      </c>
      <c r="O12" s="7">
        <v>100.92727272727274</v>
      </c>
      <c r="P12" s="7">
        <v>4356.8166000000001</v>
      </c>
      <c r="Q12">
        <v>3918.971503171826</v>
      </c>
      <c r="R12" t="s">
        <v>67</v>
      </c>
    </row>
    <row r="13" spans="1:18" x14ac:dyDescent="0.25">
      <c r="A13" s="7">
        <v>12</v>
      </c>
      <c r="B13" s="7">
        <v>4356.8166000000001</v>
      </c>
      <c r="C13" s="7">
        <v>4699.5734999999995</v>
      </c>
      <c r="D13" s="7">
        <v>4815.3909000000003</v>
      </c>
      <c r="E13" s="7">
        <v>5200.4055000000008</v>
      </c>
      <c r="F13" s="7">
        <v>10</v>
      </c>
      <c r="G13" s="7">
        <v>9</v>
      </c>
      <c r="H13" s="7">
        <v>8</v>
      </c>
      <c r="I13" s="7">
        <v>7</v>
      </c>
      <c r="J13" s="7">
        <v>6</v>
      </c>
      <c r="K13" s="7">
        <v>100.14545454545456</v>
      </c>
      <c r="L13" s="7">
        <v>94.018181818181816</v>
      </c>
      <c r="M13" s="7">
        <v>97.536363636363646</v>
      </c>
      <c r="N13" s="7">
        <v>94.045454545454518</v>
      </c>
      <c r="O13" s="7">
        <v>90.345454545454544</v>
      </c>
      <c r="P13" s="7">
        <v>3370.8036000000002</v>
      </c>
      <c r="Q13">
        <v>3684.5666173268173</v>
      </c>
      <c r="R13" t="s">
        <v>67</v>
      </c>
    </row>
    <row r="14" spans="1:18" x14ac:dyDescent="0.25">
      <c r="A14" s="7">
        <v>13</v>
      </c>
      <c r="B14" s="7">
        <v>3370.8036000000002</v>
      </c>
      <c r="C14" s="7">
        <v>4356.8166000000001</v>
      </c>
      <c r="D14" s="7">
        <v>4699.5734999999995</v>
      </c>
      <c r="E14" s="7">
        <v>4815.3909000000003</v>
      </c>
      <c r="F14" s="7">
        <v>11</v>
      </c>
      <c r="G14" s="7">
        <v>10</v>
      </c>
      <c r="H14" s="7">
        <v>9</v>
      </c>
      <c r="I14" s="7">
        <v>8</v>
      </c>
      <c r="J14" s="7">
        <v>7</v>
      </c>
      <c r="K14" s="7">
        <v>104.2090909090909</v>
      </c>
      <c r="L14" s="7">
        <v>100.14545454545456</v>
      </c>
      <c r="M14" s="7">
        <v>94.018181818181816</v>
      </c>
      <c r="N14" s="7">
        <v>97.536363636363646</v>
      </c>
      <c r="O14" s="7">
        <v>94.045454545454518</v>
      </c>
      <c r="P14" s="7">
        <v>2134.3746000000001</v>
      </c>
      <c r="Q14">
        <v>2875.8475720830902</v>
      </c>
      <c r="R14" t="s">
        <v>67</v>
      </c>
    </row>
    <row r="15" spans="1:18" x14ac:dyDescent="0.25">
      <c r="A15" s="7">
        <v>14</v>
      </c>
      <c r="B15" s="7">
        <v>2134.3746000000001</v>
      </c>
      <c r="C15" s="7">
        <v>3370.8036000000002</v>
      </c>
      <c r="D15" s="7">
        <v>4356.8166000000001</v>
      </c>
      <c r="E15" s="7">
        <v>4699.5734999999995</v>
      </c>
      <c r="F15" s="7">
        <v>12</v>
      </c>
      <c r="G15" s="7">
        <v>11</v>
      </c>
      <c r="H15" s="7">
        <v>10</v>
      </c>
      <c r="I15" s="7">
        <v>9</v>
      </c>
      <c r="J15" s="7">
        <v>8</v>
      </c>
      <c r="K15" s="7">
        <v>134.29090909090908</v>
      </c>
      <c r="L15" s="7">
        <v>104.2090909090909</v>
      </c>
      <c r="M15" s="7">
        <v>100.14545454545456</v>
      </c>
      <c r="N15" s="7">
        <v>94.018181818181816</v>
      </c>
      <c r="O15" s="7">
        <v>97.536363636363646</v>
      </c>
      <c r="P15" s="7">
        <v>2423.9181000000003</v>
      </c>
      <c r="Q15">
        <v>1918.4672820067699</v>
      </c>
      <c r="R15" t="s">
        <v>67</v>
      </c>
    </row>
    <row r="16" spans="1:18" x14ac:dyDescent="0.25">
      <c r="A16" s="7">
        <v>15</v>
      </c>
      <c r="B16" s="7">
        <v>2423.9181000000003</v>
      </c>
      <c r="C16" s="7">
        <v>2134.3746000000001</v>
      </c>
      <c r="D16" s="7">
        <v>3370.8036000000002</v>
      </c>
      <c r="E16" s="7">
        <v>4356.8166000000001</v>
      </c>
      <c r="F16" s="7">
        <v>1</v>
      </c>
      <c r="G16" s="7">
        <v>12</v>
      </c>
      <c r="H16" s="7">
        <v>11</v>
      </c>
      <c r="I16" s="7">
        <v>10</v>
      </c>
      <c r="J16" s="7">
        <v>9</v>
      </c>
      <c r="K16" s="7">
        <v>104.98181818181818</v>
      </c>
      <c r="L16" s="7">
        <v>134.29090909090908</v>
      </c>
      <c r="M16" s="7">
        <v>104.2090909090909</v>
      </c>
      <c r="N16" s="7">
        <v>100.14545454545456</v>
      </c>
      <c r="O16" s="7">
        <v>94.018181818181816</v>
      </c>
      <c r="P16" s="7">
        <v>2492.7825000000003</v>
      </c>
      <c r="Q16">
        <v>1988.5994855110803</v>
      </c>
      <c r="R16" t="s">
        <v>67</v>
      </c>
    </row>
    <row r="17" spans="1:18" x14ac:dyDescent="0.25">
      <c r="A17" s="7">
        <v>16</v>
      </c>
      <c r="B17" s="7">
        <v>2492.7825000000003</v>
      </c>
      <c r="C17" s="7">
        <v>2423.9181000000003</v>
      </c>
      <c r="D17" s="7">
        <v>2134.3746000000001</v>
      </c>
      <c r="E17" s="7">
        <v>3370.8036000000002</v>
      </c>
      <c r="F17" s="7">
        <v>2</v>
      </c>
      <c r="G17" s="7">
        <v>1</v>
      </c>
      <c r="H17" s="7">
        <v>12</v>
      </c>
      <c r="I17" s="7">
        <v>11</v>
      </c>
      <c r="J17" s="7">
        <v>10</v>
      </c>
      <c r="K17" s="7">
        <v>88.881818181818176</v>
      </c>
      <c r="L17" s="7">
        <v>104.98181818181818</v>
      </c>
      <c r="M17" s="7">
        <v>134.29090909090908</v>
      </c>
      <c r="N17" s="7">
        <v>104.2090909090909</v>
      </c>
      <c r="O17" s="7">
        <v>100.14545454545456</v>
      </c>
      <c r="P17" s="7">
        <v>2617.9904999999999</v>
      </c>
      <c r="Q17">
        <v>2544.6219007132322</v>
      </c>
      <c r="R17" t="s">
        <v>68</v>
      </c>
    </row>
    <row r="18" spans="1:18" x14ac:dyDescent="0.25">
      <c r="A18" s="7">
        <v>17</v>
      </c>
      <c r="B18" s="7">
        <v>2617.9904999999999</v>
      </c>
      <c r="C18" s="7">
        <v>2492.7825000000003</v>
      </c>
      <c r="D18" s="7">
        <v>2423.9181000000003</v>
      </c>
      <c r="E18" s="7">
        <v>2134.3746000000001</v>
      </c>
      <c r="F18" s="7">
        <v>3</v>
      </c>
      <c r="G18" s="7">
        <v>2</v>
      </c>
      <c r="H18" s="7">
        <v>1</v>
      </c>
      <c r="I18" s="7">
        <v>12</v>
      </c>
      <c r="J18" s="7">
        <v>11</v>
      </c>
      <c r="K18" s="7">
        <v>94.881818181818161</v>
      </c>
      <c r="L18" s="7">
        <v>88.881818181818176</v>
      </c>
      <c r="M18" s="7">
        <v>104.98181818181818</v>
      </c>
      <c r="N18" s="7">
        <v>134.29090909090908</v>
      </c>
      <c r="O18" s="7">
        <v>104.2090909090909</v>
      </c>
      <c r="P18" s="7">
        <v>4544.6286</v>
      </c>
      <c r="Q18">
        <v>3580.7623112981232</v>
      </c>
      <c r="R18" t="s">
        <v>67</v>
      </c>
    </row>
    <row r="19" spans="1:18" x14ac:dyDescent="0.25">
      <c r="A19" s="7">
        <v>18</v>
      </c>
      <c r="B19" s="7">
        <v>4544.6286</v>
      </c>
      <c r="C19" s="7">
        <v>2617.9904999999999</v>
      </c>
      <c r="D19" s="7">
        <v>2492.7825000000003</v>
      </c>
      <c r="E19" s="7">
        <v>2423.9181000000003</v>
      </c>
      <c r="F19" s="7">
        <v>4</v>
      </c>
      <c r="G19" s="7">
        <v>3</v>
      </c>
      <c r="H19" s="7">
        <v>2</v>
      </c>
      <c r="I19" s="7">
        <v>1</v>
      </c>
      <c r="J19" s="7">
        <v>12</v>
      </c>
      <c r="K19" s="7">
        <v>87.318181818181813</v>
      </c>
      <c r="L19" s="7">
        <v>94.881818181818161</v>
      </c>
      <c r="M19" s="7">
        <v>88.881818181818176</v>
      </c>
      <c r="N19" s="7">
        <v>104.98181818181818</v>
      </c>
      <c r="O19" s="7">
        <v>134.29090909090908</v>
      </c>
      <c r="P19" s="7">
        <v>5616.7221</v>
      </c>
      <c r="Q19">
        <v>5282.7014249942931</v>
      </c>
      <c r="R19" t="s">
        <v>67</v>
      </c>
    </row>
    <row r="20" spans="1:18" x14ac:dyDescent="0.25">
      <c r="A20" s="7">
        <v>19</v>
      </c>
      <c r="B20" s="7">
        <v>5616.7221</v>
      </c>
      <c r="C20" s="7">
        <v>4544.6286</v>
      </c>
      <c r="D20" s="7">
        <v>2617.9904999999999</v>
      </c>
      <c r="E20" s="7">
        <v>2492.7825000000003</v>
      </c>
      <c r="F20" s="7">
        <v>5</v>
      </c>
      <c r="G20" s="7">
        <v>4</v>
      </c>
      <c r="H20" s="7">
        <v>3</v>
      </c>
      <c r="I20" s="7">
        <v>2</v>
      </c>
      <c r="J20" s="7">
        <v>1</v>
      </c>
      <c r="K20" s="7">
        <v>93.090909090909093</v>
      </c>
      <c r="L20" s="7">
        <v>87.318181818181813</v>
      </c>
      <c r="M20" s="7">
        <v>94.881818181818161</v>
      </c>
      <c r="N20" s="7">
        <v>88.881818181818176</v>
      </c>
      <c r="O20" s="7">
        <v>104.98181818181818</v>
      </c>
      <c r="P20" s="7">
        <v>7087.9160999999995</v>
      </c>
      <c r="Q20">
        <v>6741.0540220217172</v>
      </c>
      <c r="R20" t="s">
        <v>68</v>
      </c>
    </row>
    <row r="21" spans="1:18" x14ac:dyDescent="0.25">
      <c r="A21" s="7">
        <v>20</v>
      </c>
      <c r="B21" s="7">
        <v>7087.9160999999995</v>
      </c>
      <c r="C21" s="7">
        <v>5616.7221</v>
      </c>
      <c r="D21" s="7">
        <v>4544.6286</v>
      </c>
      <c r="E21" s="7">
        <v>2617.9904999999999</v>
      </c>
      <c r="F21" s="7">
        <v>6</v>
      </c>
      <c r="G21" s="7">
        <v>5</v>
      </c>
      <c r="H21" s="7">
        <v>4</v>
      </c>
      <c r="I21" s="7">
        <v>3</v>
      </c>
      <c r="J21" s="7">
        <v>2</v>
      </c>
      <c r="K21" s="7">
        <v>87.081818181818178</v>
      </c>
      <c r="L21" s="7">
        <v>93.090909090909093</v>
      </c>
      <c r="M21" s="7">
        <v>87.318181818181813</v>
      </c>
      <c r="N21" s="7">
        <v>94.881818181818161</v>
      </c>
      <c r="O21" s="7">
        <v>88.881818181818176</v>
      </c>
      <c r="P21" s="7">
        <v>6826.5444000000007</v>
      </c>
      <c r="Q21">
        <v>6085.9454754752987</v>
      </c>
      <c r="R21" t="s">
        <v>67</v>
      </c>
    </row>
    <row r="22" spans="1:18" x14ac:dyDescent="0.25">
      <c r="A22" s="7">
        <v>21</v>
      </c>
      <c r="B22" s="7">
        <v>6826.5444000000007</v>
      </c>
      <c r="C22" s="7">
        <v>7087.9160999999995</v>
      </c>
      <c r="D22" s="7">
        <v>5616.7221</v>
      </c>
      <c r="E22" s="7">
        <v>4544.6286</v>
      </c>
      <c r="F22" s="7">
        <v>7</v>
      </c>
      <c r="G22" s="7">
        <v>6</v>
      </c>
      <c r="H22" s="7">
        <v>5</v>
      </c>
      <c r="I22" s="7">
        <v>4</v>
      </c>
      <c r="J22" s="7">
        <v>3</v>
      </c>
      <c r="K22" s="7">
        <v>88.263636363636365</v>
      </c>
      <c r="L22" s="7">
        <v>87.081818181818178</v>
      </c>
      <c r="M22" s="7">
        <v>93.090909090909093</v>
      </c>
      <c r="N22" s="7">
        <v>87.318181818181813</v>
      </c>
      <c r="O22" s="7">
        <v>94.881818181818161</v>
      </c>
      <c r="P22" s="7">
        <v>6515.0895</v>
      </c>
      <c r="Q22">
        <v>5709.7286273377313</v>
      </c>
      <c r="R22" t="s">
        <v>67</v>
      </c>
    </row>
    <row r="23" spans="1:18" x14ac:dyDescent="0.25">
      <c r="A23" s="7">
        <v>22</v>
      </c>
      <c r="B23" s="7">
        <v>6515.0895</v>
      </c>
      <c r="C23" s="7">
        <v>6826.5444000000007</v>
      </c>
      <c r="D23" s="7">
        <v>7087.9160999999995</v>
      </c>
      <c r="E23" s="7">
        <v>5616.7221</v>
      </c>
      <c r="F23" s="7">
        <v>8</v>
      </c>
      <c r="G23" s="7">
        <v>7</v>
      </c>
      <c r="H23" s="7">
        <v>6</v>
      </c>
      <c r="I23" s="7">
        <v>5</v>
      </c>
      <c r="J23" s="7">
        <v>4</v>
      </c>
      <c r="K23" s="7">
        <v>87.909090909090907</v>
      </c>
      <c r="L23" s="7">
        <v>88.263636363636365</v>
      </c>
      <c r="M23" s="7">
        <v>87.081818181818178</v>
      </c>
      <c r="N23" s="7">
        <v>93.090909090909093</v>
      </c>
      <c r="O23" s="7">
        <v>87.318181818181813</v>
      </c>
      <c r="P23" s="7">
        <v>4228.4784</v>
      </c>
      <c r="Q23">
        <v>5513.9408171253772</v>
      </c>
      <c r="R23" t="s">
        <v>67</v>
      </c>
    </row>
    <row r="24" spans="1:18" x14ac:dyDescent="0.25">
      <c r="A24" s="7">
        <v>23</v>
      </c>
      <c r="B24" s="7">
        <v>4228.4784</v>
      </c>
      <c r="C24" s="7">
        <v>6515.0895</v>
      </c>
      <c r="D24" s="7">
        <v>6826.5444000000007</v>
      </c>
      <c r="E24" s="7">
        <v>7087.9160999999995</v>
      </c>
      <c r="F24" s="7">
        <v>9</v>
      </c>
      <c r="G24" s="7">
        <v>8</v>
      </c>
      <c r="H24" s="7">
        <v>7</v>
      </c>
      <c r="I24" s="7">
        <v>6</v>
      </c>
      <c r="J24" s="7">
        <v>5</v>
      </c>
      <c r="K24" s="7">
        <v>84.3</v>
      </c>
      <c r="L24" s="7">
        <v>87.909090909090907</v>
      </c>
      <c r="M24" s="7">
        <v>88.263636363636365</v>
      </c>
      <c r="N24" s="7">
        <v>87.081818181818178</v>
      </c>
      <c r="O24" s="7">
        <v>93.090909090909093</v>
      </c>
      <c r="P24" s="7">
        <v>4939.0338000000002</v>
      </c>
      <c r="Q24">
        <v>4614.1956242786746</v>
      </c>
      <c r="R24" t="s">
        <v>67</v>
      </c>
    </row>
    <row r="25" spans="1:18" x14ac:dyDescent="0.25">
      <c r="A25" s="7">
        <v>24</v>
      </c>
      <c r="B25" s="7">
        <v>4939.0338000000002</v>
      </c>
      <c r="C25" s="7">
        <v>4228.4784</v>
      </c>
      <c r="D25" s="7">
        <v>6515.0895</v>
      </c>
      <c r="E25" s="7">
        <v>6826.5444000000007</v>
      </c>
      <c r="F25" s="7">
        <v>10</v>
      </c>
      <c r="G25" s="7">
        <v>9</v>
      </c>
      <c r="H25" s="7">
        <v>8</v>
      </c>
      <c r="I25" s="7">
        <v>7</v>
      </c>
      <c r="J25" s="7">
        <v>6</v>
      </c>
      <c r="K25" s="7">
        <v>89.409090909090907</v>
      </c>
      <c r="L25" s="7">
        <v>84.3</v>
      </c>
      <c r="M25" s="7">
        <v>87.909090909090907</v>
      </c>
      <c r="N25" s="7">
        <v>88.263636363636365</v>
      </c>
      <c r="O25" s="7">
        <v>87.081818181818178</v>
      </c>
      <c r="P25" s="7">
        <v>4023.4503000000004</v>
      </c>
      <c r="Q25">
        <v>4305.9235232563733</v>
      </c>
      <c r="R25" t="s">
        <v>67</v>
      </c>
    </row>
    <row r="26" spans="1:18" x14ac:dyDescent="0.25">
      <c r="A26" s="7">
        <v>25</v>
      </c>
      <c r="B26" s="7">
        <v>4023.4503000000004</v>
      </c>
      <c r="C26" s="7">
        <v>4939.0338000000002</v>
      </c>
      <c r="D26" s="7">
        <v>4228.4784</v>
      </c>
      <c r="E26" s="7">
        <v>6515.0895</v>
      </c>
      <c r="F26" s="7">
        <v>11</v>
      </c>
      <c r="G26" s="7">
        <v>10</v>
      </c>
      <c r="H26" s="7">
        <v>9</v>
      </c>
      <c r="I26" s="7">
        <v>8</v>
      </c>
      <c r="J26" s="7">
        <v>7</v>
      </c>
      <c r="K26" s="7">
        <v>93.545454545454547</v>
      </c>
      <c r="L26" s="7">
        <v>89.409090909090907</v>
      </c>
      <c r="M26" s="7">
        <v>84.3</v>
      </c>
      <c r="N26" s="7">
        <v>87.909090909090907</v>
      </c>
      <c r="O26" s="7">
        <v>88.263636363636365</v>
      </c>
      <c r="P26" s="7">
        <v>3275.3325000000004</v>
      </c>
      <c r="Q26">
        <v>2991.6749381777654</v>
      </c>
      <c r="R26" t="s">
        <v>67</v>
      </c>
    </row>
    <row r="28" spans="1:18" x14ac:dyDescent="0.25">
      <c r="A28" t="s">
        <v>43</v>
      </c>
    </row>
    <row r="29" spans="1:18" x14ac:dyDescent="0.25">
      <c r="A29">
        <f t="array" ref="A29:A53">AVERAGE('Coeficiente de Acerto'!$P$2:$P$26)</f>
        <v>3956.0883960000001</v>
      </c>
    </row>
    <row r="30" spans="1:18" x14ac:dyDescent="0.25">
      <c r="A30">
        <v>3956.0883960000001</v>
      </c>
    </row>
    <row r="31" spans="1:18" x14ac:dyDescent="0.25">
      <c r="A31">
        <v>3956.0883960000001</v>
      </c>
    </row>
    <row r="32" spans="1:18" x14ac:dyDescent="0.25">
      <c r="A32">
        <v>3956.0883960000001</v>
      </c>
    </row>
    <row r="33" spans="1:1" x14ac:dyDescent="0.25">
      <c r="A33">
        <v>3956.0883960000001</v>
      </c>
    </row>
    <row r="34" spans="1:1" x14ac:dyDescent="0.25">
      <c r="A34">
        <v>3956.0883960000001</v>
      </c>
    </row>
    <row r="35" spans="1:1" x14ac:dyDescent="0.25">
      <c r="A35">
        <v>3956.0883960000001</v>
      </c>
    </row>
    <row r="36" spans="1:1" x14ac:dyDescent="0.25">
      <c r="A36">
        <v>3956.0883960000001</v>
      </c>
    </row>
    <row r="37" spans="1:1" x14ac:dyDescent="0.25">
      <c r="A37">
        <v>3956.0883960000001</v>
      </c>
    </row>
    <row r="38" spans="1:1" x14ac:dyDescent="0.25">
      <c r="A38">
        <v>3956.0883960000001</v>
      </c>
    </row>
    <row r="39" spans="1:1" x14ac:dyDescent="0.25">
      <c r="A39">
        <v>3956.0883960000001</v>
      </c>
    </row>
    <row r="40" spans="1:1" x14ac:dyDescent="0.25">
      <c r="A40">
        <v>3956.0883960000001</v>
      </c>
    </row>
    <row r="41" spans="1:1" x14ac:dyDescent="0.25">
      <c r="A41">
        <v>3956.0883960000001</v>
      </c>
    </row>
    <row r="42" spans="1:1" x14ac:dyDescent="0.25">
      <c r="A42">
        <v>3956.0883960000001</v>
      </c>
    </row>
    <row r="43" spans="1:1" x14ac:dyDescent="0.25">
      <c r="A43">
        <v>3956.0883960000001</v>
      </c>
    </row>
    <row r="44" spans="1:1" x14ac:dyDescent="0.25">
      <c r="A44">
        <v>3956.0883960000001</v>
      </c>
    </row>
    <row r="45" spans="1:1" x14ac:dyDescent="0.25">
      <c r="A45">
        <v>3956.0883960000001</v>
      </c>
    </row>
    <row r="46" spans="1:1" x14ac:dyDescent="0.25">
      <c r="A46">
        <v>3956.0883960000001</v>
      </c>
    </row>
    <row r="47" spans="1:1" x14ac:dyDescent="0.25">
      <c r="A47">
        <v>3956.0883960000001</v>
      </c>
    </row>
    <row r="48" spans="1:1" x14ac:dyDescent="0.25">
      <c r="A48">
        <v>3956.0883960000001</v>
      </c>
    </row>
    <row r="49" spans="1:2" x14ac:dyDescent="0.25">
      <c r="A49">
        <v>3956.0883960000001</v>
      </c>
    </row>
    <row r="50" spans="1:2" x14ac:dyDescent="0.25">
      <c r="A50">
        <v>3956.0883960000001</v>
      </c>
    </row>
    <row r="51" spans="1:2" x14ac:dyDescent="0.25">
      <c r="A51">
        <v>3956.0883960000001</v>
      </c>
    </row>
    <row r="52" spans="1:2" x14ac:dyDescent="0.25">
      <c r="A52">
        <v>3956.0883960000001</v>
      </c>
    </row>
    <row r="53" spans="1:2" x14ac:dyDescent="0.25">
      <c r="A53">
        <v>3956.0883960000001</v>
      </c>
    </row>
    <row r="55" spans="1:2" x14ac:dyDescent="0.25">
      <c r="A55" t="s">
        <v>44</v>
      </c>
      <c r="B55">
        <f>1-SUMXMY2('Coeficiente de Acerto'!$Q$2:$Q$26,'Coeficiente de Acerto'!$P$2:$P$26)/SUMXMY2('Coeficiente de Acerto'!$P$2:$P$26,'Coeficiente de Acerto'!$A$29:$A$53)</f>
        <v>0.8528586039993572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Q26"/>
  <sheetViews>
    <sheetView tabSelected="1" zoomScale="55" zoomScaleNormal="55" workbookViewId="0">
      <selection activeCell="L18" sqref="L18"/>
    </sheetView>
  </sheetViews>
  <sheetFormatPr defaultRowHeight="15" x14ac:dyDescent="0.25"/>
  <cols>
    <col min="1" max="1" width="9.5703125" bestFit="1" customWidth="1"/>
    <col min="2" max="3" width="10" bestFit="1" customWidth="1"/>
    <col min="4" max="4" width="20.7109375" bestFit="1" customWidth="1"/>
    <col min="5" max="5" width="20.5703125" bestFit="1" customWidth="1"/>
    <col min="6" max="6" width="41.28515625" bestFit="1" customWidth="1"/>
    <col min="7" max="7" width="20.5703125" bestFit="1" customWidth="1"/>
    <col min="8" max="10" width="4.140625" bestFit="1" customWidth="1"/>
    <col min="11" max="15" width="12" bestFit="1" customWidth="1"/>
    <col min="16" max="16" width="16.7109375" bestFit="1" customWidth="1"/>
    <col min="17" max="17" width="12" bestFit="1" customWidth="1"/>
  </cols>
  <sheetData>
    <row r="1" spans="1:17" x14ac:dyDescent="0.25">
      <c r="A1" s="19" t="s">
        <v>46</v>
      </c>
      <c r="B1" s="19" t="s">
        <v>47</v>
      </c>
      <c r="C1" s="19" t="s">
        <v>48</v>
      </c>
      <c r="D1" s="19" t="s">
        <v>49</v>
      </c>
      <c r="E1" s="19" t="s">
        <v>50</v>
      </c>
      <c r="F1" s="19" t="s">
        <v>51</v>
      </c>
      <c r="G1" s="19" t="s">
        <v>52</v>
      </c>
      <c r="H1" s="19" t="s">
        <v>53</v>
      </c>
      <c r="I1" s="19" t="s">
        <v>54</v>
      </c>
      <c r="J1" s="19" t="s">
        <v>55</v>
      </c>
      <c r="K1" s="19" t="s">
        <v>56</v>
      </c>
      <c r="L1" s="19" t="s">
        <v>57</v>
      </c>
      <c r="M1" s="19" t="s">
        <v>58</v>
      </c>
      <c r="N1" s="19" t="s">
        <v>59</v>
      </c>
      <c r="O1" s="19" t="s">
        <v>63</v>
      </c>
      <c r="P1" s="19" t="s">
        <v>61</v>
      </c>
      <c r="Q1" s="19" t="s">
        <v>79</v>
      </c>
    </row>
    <row r="2" spans="1:17" x14ac:dyDescent="0.25">
      <c r="A2" s="7">
        <v>1</v>
      </c>
      <c r="B2" s="7">
        <v>2791.7166000000002</v>
      </c>
      <c r="C2" s="7">
        <v>3015.5259000000005</v>
      </c>
      <c r="D2" s="7">
        <v>3827.8128000000002</v>
      </c>
      <c r="E2" s="7">
        <v>4381.8582000000006</v>
      </c>
      <c r="F2" s="7">
        <v>11</v>
      </c>
      <c r="G2" s="7">
        <v>10</v>
      </c>
      <c r="H2" s="7">
        <v>9</v>
      </c>
      <c r="I2" s="7">
        <v>8</v>
      </c>
      <c r="J2" s="7">
        <v>7</v>
      </c>
      <c r="K2" s="7">
        <v>102.30909090909091</v>
      </c>
      <c r="L2" s="7">
        <v>99.981818181818156</v>
      </c>
      <c r="M2" s="7">
        <v>93.981818181818184</v>
      </c>
      <c r="N2" s="7">
        <v>100.40909090909091</v>
      </c>
      <c r="O2" s="7">
        <v>97.772727272727266</v>
      </c>
      <c r="P2" s="7">
        <v>2785.4562000000005</v>
      </c>
      <c r="Q2" s="7">
        <v>2470.1318670294058</v>
      </c>
    </row>
    <row r="3" spans="1:17" x14ac:dyDescent="0.25">
      <c r="A3" s="7">
        <v>2</v>
      </c>
      <c r="B3" s="7">
        <v>2785.4562000000005</v>
      </c>
      <c r="C3" s="7">
        <v>2791.7166000000002</v>
      </c>
      <c r="D3" s="7">
        <v>3015.5259000000005</v>
      </c>
      <c r="E3" s="7">
        <v>3827.8128000000002</v>
      </c>
      <c r="F3" s="7">
        <v>12</v>
      </c>
      <c r="G3" s="7">
        <v>11</v>
      </c>
      <c r="H3" s="7">
        <v>10</v>
      </c>
      <c r="I3" s="7">
        <v>9</v>
      </c>
      <c r="J3" s="7">
        <v>8</v>
      </c>
      <c r="K3" s="7">
        <v>134.89090909090908</v>
      </c>
      <c r="L3" s="7">
        <v>102.30909090909091</v>
      </c>
      <c r="M3" s="7">
        <v>99.981818181818156</v>
      </c>
      <c r="N3" s="7">
        <v>93.981818181818184</v>
      </c>
      <c r="O3" s="7">
        <v>100.40909090909091</v>
      </c>
      <c r="P3" s="7">
        <v>1264.1789999999999</v>
      </c>
      <c r="Q3" s="7">
        <v>2638.0838618233174</v>
      </c>
    </row>
    <row r="4" spans="1:17" x14ac:dyDescent="0.25">
      <c r="A4" s="7">
        <v>3</v>
      </c>
      <c r="B4" s="7">
        <v>1264.1789999999999</v>
      </c>
      <c r="C4" s="7">
        <v>2785.4562000000005</v>
      </c>
      <c r="D4" s="7">
        <v>2791.7166000000002</v>
      </c>
      <c r="E4" s="7">
        <v>3015.5259000000005</v>
      </c>
      <c r="F4" s="7">
        <v>1</v>
      </c>
      <c r="G4" s="7">
        <v>12</v>
      </c>
      <c r="H4" s="7">
        <v>11</v>
      </c>
      <c r="I4" s="7">
        <v>10</v>
      </c>
      <c r="J4" s="7">
        <v>9</v>
      </c>
      <c r="K4" s="7">
        <v>105.41818181818184</v>
      </c>
      <c r="L4" s="7">
        <v>134.89090909090908</v>
      </c>
      <c r="M4" s="7">
        <v>102.30909090909091</v>
      </c>
      <c r="N4" s="7">
        <v>99.981818181818156</v>
      </c>
      <c r="O4" s="7">
        <v>93.981818181818184</v>
      </c>
      <c r="P4" s="7">
        <v>1293.9159</v>
      </c>
      <c r="Q4" s="7">
        <v>1366.4906175096021</v>
      </c>
    </row>
    <row r="5" spans="1:17" x14ac:dyDescent="0.25">
      <c r="A5" s="7">
        <v>4</v>
      </c>
      <c r="B5" s="7">
        <v>1293.9159</v>
      </c>
      <c r="C5" s="7">
        <v>1264.1789999999999</v>
      </c>
      <c r="D5" s="7">
        <v>2785.4562000000005</v>
      </c>
      <c r="E5" s="7">
        <v>2791.7166000000002</v>
      </c>
      <c r="F5" s="7">
        <v>2</v>
      </c>
      <c r="G5" s="7">
        <v>1</v>
      </c>
      <c r="H5" s="7">
        <v>12</v>
      </c>
      <c r="I5" s="7">
        <v>11</v>
      </c>
      <c r="J5" s="7">
        <v>10</v>
      </c>
      <c r="K5" s="7">
        <v>92.818181818181813</v>
      </c>
      <c r="L5" s="7">
        <v>105.41818181818184</v>
      </c>
      <c r="M5" s="7">
        <v>134.89090909090908</v>
      </c>
      <c r="N5" s="7">
        <v>102.30909090909091</v>
      </c>
      <c r="O5" s="7">
        <v>99.981818181818156</v>
      </c>
      <c r="P5" s="7">
        <v>1846.3961999999999</v>
      </c>
      <c r="Q5" s="7">
        <v>2290.6199688181232</v>
      </c>
    </row>
    <row r="6" spans="1:17" x14ac:dyDescent="0.25">
      <c r="A6" s="7">
        <v>6</v>
      </c>
      <c r="B6" s="7">
        <v>3015.5259000000005</v>
      </c>
      <c r="C6" s="7">
        <v>1846.3961999999999</v>
      </c>
      <c r="D6" s="7">
        <v>1293.9159</v>
      </c>
      <c r="E6" s="7">
        <v>1264.1789999999999</v>
      </c>
      <c r="F6" s="7">
        <v>4</v>
      </c>
      <c r="G6" s="7">
        <v>3</v>
      </c>
      <c r="H6" s="7">
        <v>2</v>
      </c>
      <c r="I6" s="7">
        <v>1</v>
      </c>
      <c r="J6" s="7">
        <v>12</v>
      </c>
      <c r="K6" s="7">
        <v>92.38181818181819</v>
      </c>
      <c r="L6" s="7">
        <v>93.890909090909105</v>
      </c>
      <c r="M6" s="7">
        <v>92.818181818181813</v>
      </c>
      <c r="N6" s="7">
        <v>105.41818181818184</v>
      </c>
      <c r="O6" s="7">
        <v>134.89090909090908</v>
      </c>
      <c r="P6" s="7">
        <v>3910.7630999999997</v>
      </c>
      <c r="Q6" s="7">
        <v>4338.7058060279451</v>
      </c>
    </row>
    <row r="7" spans="1:17" x14ac:dyDescent="0.25">
      <c r="A7" s="7">
        <v>7</v>
      </c>
      <c r="B7" s="7">
        <v>3910.7630999999997</v>
      </c>
      <c r="C7" s="7">
        <v>3015.5259000000005</v>
      </c>
      <c r="D7" s="7">
        <v>1846.3961999999999</v>
      </c>
      <c r="E7" s="7">
        <v>1293.9159</v>
      </c>
      <c r="F7" s="7">
        <v>5</v>
      </c>
      <c r="G7" s="7">
        <v>4</v>
      </c>
      <c r="H7" s="7">
        <v>3</v>
      </c>
      <c r="I7" s="7">
        <v>2</v>
      </c>
      <c r="J7" s="7">
        <v>1</v>
      </c>
      <c r="K7" s="7">
        <v>100.92727272727274</v>
      </c>
      <c r="L7" s="7">
        <v>92.38181818181819</v>
      </c>
      <c r="M7" s="7">
        <v>93.890909090909105</v>
      </c>
      <c r="N7" s="7">
        <v>92.818181818181813</v>
      </c>
      <c r="O7" s="7">
        <v>105.41818181818184</v>
      </c>
      <c r="P7" s="7">
        <v>5616.7221</v>
      </c>
      <c r="Q7" s="7">
        <v>5264.8266875410918</v>
      </c>
    </row>
    <row r="8" spans="1:17" x14ac:dyDescent="0.25">
      <c r="A8" s="7">
        <v>8</v>
      </c>
      <c r="B8" s="7">
        <v>5616.7221</v>
      </c>
      <c r="C8" s="7">
        <v>3910.7630999999997</v>
      </c>
      <c r="D8" s="7">
        <v>3015.5259000000005</v>
      </c>
      <c r="E8" s="7">
        <v>1846.3961999999999</v>
      </c>
      <c r="F8" s="7">
        <v>6</v>
      </c>
      <c r="G8" s="7">
        <v>5</v>
      </c>
      <c r="H8" s="7">
        <v>4</v>
      </c>
      <c r="I8" s="7">
        <v>3</v>
      </c>
      <c r="J8" s="7">
        <v>2</v>
      </c>
      <c r="K8" s="7">
        <v>90.345454545454544</v>
      </c>
      <c r="L8" s="7">
        <v>100.92727272727274</v>
      </c>
      <c r="M8" s="7">
        <v>92.38181818181819</v>
      </c>
      <c r="N8" s="7">
        <v>93.890909090909105</v>
      </c>
      <c r="O8" s="7">
        <v>92.818181818181813</v>
      </c>
      <c r="P8" s="7">
        <v>5200.4055000000008</v>
      </c>
      <c r="Q8" s="7">
        <v>6224.4662665017358</v>
      </c>
    </row>
    <row r="9" spans="1:17" x14ac:dyDescent="0.25">
      <c r="A9" s="7">
        <v>9</v>
      </c>
      <c r="B9" s="7">
        <v>5200.4055000000008</v>
      </c>
      <c r="C9" s="7">
        <v>5616.7221</v>
      </c>
      <c r="D9" s="7">
        <v>3910.7630999999997</v>
      </c>
      <c r="E9" s="7">
        <v>3015.5259000000005</v>
      </c>
      <c r="F9" s="7">
        <v>7</v>
      </c>
      <c r="G9" s="7">
        <v>6</v>
      </c>
      <c r="H9" s="7">
        <v>5</v>
      </c>
      <c r="I9" s="7">
        <v>4</v>
      </c>
      <c r="J9" s="7">
        <v>3</v>
      </c>
      <c r="K9" s="7">
        <v>94.045454545454518</v>
      </c>
      <c r="L9" s="7">
        <v>90.345454545454544</v>
      </c>
      <c r="M9" s="7">
        <v>100.92727272727274</v>
      </c>
      <c r="N9" s="7">
        <v>92.38181818181819</v>
      </c>
      <c r="O9" s="7">
        <v>93.890909090909105</v>
      </c>
      <c r="P9" s="7">
        <v>4815.3909000000003</v>
      </c>
      <c r="Q9" s="7">
        <v>5396.272590900795</v>
      </c>
    </row>
    <row r="10" spans="1:17" x14ac:dyDescent="0.25">
      <c r="A10" s="7">
        <v>10</v>
      </c>
      <c r="B10" s="7">
        <v>4815.3909000000003</v>
      </c>
      <c r="C10" s="7">
        <v>5200.4055000000008</v>
      </c>
      <c r="D10" s="7">
        <v>5616.7221</v>
      </c>
      <c r="E10" s="7">
        <v>3910.7630999999997</v>
      </c>
      <c r="F10" s="7">
        <v>8</v>
      </c>
      <c r="G10" s="7">
        <v>7</v>
      </c>
      <c r="H10" s="7">
        <v>6</v>
      </c>
      <c r="I10" s="7">
        <v>5</v>
      </c>
      <c r="J10" s="7">
        <v>4</v>
      </c>
      <c r="K10" s="7">
        <v>97.536363636363646</v>
      </c>
      <c r="L10" s="7">
        <v>94.045454545454518</v>
      </c>
      <c r="M10" s="7">
        <v>90.345454545454544</v>
      </c>
      <c r="N10" s="7">
        <v>100.92727272727274</v>
      </c>
      <c r="O10" s="7">
        <v>92.38181818181819</v>
      </c>
      <c r="P10" s="7">
        <v>4699.5734999999995</v>
      </c>
      <c r="Q10" s="7">
        <v>4290.7856570651311</v>
      </c>
    </row>
    <row r="11" spans="1:17" x14ac:dyDescent="0.25">
      <c r="A11" s="7">
        <v>11</v>
      </c>
      <c r="B11" s="7">
        <v>4699.5734999999995</v>
      </c>
      <c r="C11" s="7">
        <v>4815.3909000000003</v>
      </c>
      <c r="D11" s="7">
        <v>5200.4055000000008</v>
      </c>
      <c r="E11" s="7">
        <v>5616.7221</v>
      </c>
      <c r="F11" s="7">
        <v>9</v>
      </c>
      <c r="G11" s="7">
        <v>8</v>
      </c>
      <c r="H11" s="7">
        <v>7</v>
      </c>
      <c r="I11" s="7">
        <v>6</v>
      </c>
      <c r="J11" s="7">
        <v>5</v>
      </c>
      <c r="K11" s="7">
        <v>94.018181818181816</v>
      </c>
      <c r="L11" s="7">
        <v>97.536363636363646</v>
      </c>
      <c r="M11" s="7">
        <v>94.045454545454518</v>
      </c>
      <c r="N11" s="7">
        <v>90.345454545454544</v>
      </c>
      <c r="O11" s="7">
        <v>100.92727272727274</v>
      </c>
      <c r="P11" s="7">
        <v>4356.8166000000001</v>
      </c>
      <c r="Q11" s="7">
        <v>3918.971503171826</v>
      </c>
    </row>
    <row r="12" spans="1:17" x14ac:dyDescent="0.25">
      <c r="A12" s="7">
        <v>12</v>
      </c>
      <c r="B12" s="7">
        <v>4356.8166000000001</v>
      </c>
      <c r="C12" s="7">
        <v>4699.5734999999995</v>
      </c>
      <c r="D12" s="7">
        <v>4815.3909000000003</v>
      </c>
      <c r="E12" s="7">
        <v>5200.4055000000008</v>
      </c>
      <c r="F12" s="7">
        <v>10</v>
      </c>
      <c r="G12" s="7">
        <v>9</v>
      </c>
      <c r="H12" s="7">
        <v>8</v>
      </c>
      <c r="I12" s="7">
        <v>7</v>
      </c>
      <c r="J12" s="7">
        <v>6</v>
      </c>
      <c r="K12" s="7">
        <v>100.14545454545456</v>
      </c>
      <c r="L12" s="7">
        <v>94.018181818181816</v>
      </c>
      <c r="M12" s="7">
        <v>97.536363636363646</v>
      </c>
      <c r="N12" s="7">
        <v>94.045454545454518</v>
      </c>
      <c r="O12" s="7">
        <v>90.345454545454544</v>
      </c>
      <c r="P12" s="7">
        <v>3370.8036000000002</v>
      </c>
      <c r="Q12" s="7">
        <v>3684.5666173268173</v>
      </c>
    </row>
    <row r="13" spans="1:17" x14ac:dyDescent="0.25">
      <c r="A13" s="7">
        <v>13</v>
      </c>
      <c r="B13" s="7">
        <v>3370.8036000000002</v>
      </c>
      <c r="C13" s="7">
        <v>4356.8166000000001</v>
      </c>
      <c r="D13" s="7">
        <v>4699.5734999999995</v>
      </c>
      <c r="E13" s="7">
        <v>4815.3909000000003</v>
      </c>
      <c r="F13" s="7">
        <v>11</v>
      </c>
      <c r="G13" s="7">
        <v>10</v>
      </c>
      <c r="H13" s="7">
        <v>9</v>
      </c>
      <c r="I13" s="7">
        <v>8</v>
      </c>
      <c r="J13" s="7">
        <v>7</v>
      </c>
      <c r="K13" s="7">
        <v>104.2090909090909</v>
      </c>
      <c r="L13" s="7">
        <v>100.14545454545456</v>
      </c>
      <c r="M13" s="7">
        <v>94.018181818181816</v>
      </c>
      <c r="N13" s="7">
        <v>97.536363636363646</v>
      </c>
      <c r="O13" s="7">
        <v>94.045454545454518</v>
      </c>
      <c r="P13" s="7">
        <v>2134.3746000000001</v>
      </c>
      <c r="Q13" s="7">
        <v>2875.8475720830902</v>
      </c>
    </row>
    <row r="14" spans="1:17" x14ac:dyDescent="0.25">
      <c r="A14" s="7">
        <v>14</v>
      </c>
      <c r="B14" s="7">
        <v>2134.3746000000001</v>
      </c>
      <c r="C14" s="7">
        <v>3370.8036000000002</v>
      </c>
      <c r="D14" s="7">
        <v>4356.8166000000001</v>
      </c>
      <c r="E14" s="7">
        <v>4699.5734999999995</v>
      </c>
      <c r="F14" s="7">
        <v>12</v>
      </c>
      <c r="G14" s="7">
        <v>11</v>
      </c>
      <c r="H14" s="7">
        <v>10</v>
      </c>
      <c r="I14" s="7">
        <v>9</v>
      </c>
      <c r="J14" s="7">
        <v>8</v>
      </c>
      <c r="K14" s="7">
        <v>134.29090909090908</v>
      </c>
      <c r="L14" s="7">
        <v>104.2090909090909</v>
      </c>
      <c r="M14" s="7">
        <v>100.14545454545456</v>
      </c>
      <c r="N14" s="7">
        <v>94.018181818181816</v>
      </c>
      <c r="O14" s="7">
        <v>97.536363636363646</v>
      </c>
      <c r="P14" s="7">
        <v>2423.9181000000003</v>
      </c>
      <c r="Q14" s="7">
        <v>1918.4672820067699</v>
      </c>
    </row>
    <row r="15" spans="1:17" x14ac:dyDescent="0.25">
      <c r="A15" s="7">
        <v>15</v>
      </c>
      <c r="B15" s="7">
        <v>2423.9181000000003</v>
      </c>
      <c r="C15" s="7">
        <v>2134.3746000000001</v>
      </c>
      <c r="D15" s="7">
        <v>3370.8036000000002</v>
      </c>
      <c r="E15" s="7">
        <v>4356.8166000000001</v>
      </c>
      <c r="F15" s="7">
        <v>1</v>
      </c>
      <c r="G15" s="7">
        <v>12</v>
      </c>
      <c r="H15" s="7">
        <v>11</v>
      </c>
      <c r="I15" s="7">
        <v>10</v>
      </c>
      <c r="J15" s="7">
        <v>9</v>
      </c>
      <c r="K15" s="7">
        <v>104.98181818181818</v>
      </c>
      <c r="L15" s="7">
        <v>134.29090909090908</v>
      </c>
      <c r="M15" s="7">
        <v>104.2090909090909</v>
      </c>
      <c r="N15" s="7">
        <v>100.14545454545456</v>
      </c>
      <c r="O15" s="7">
        <v>94.018181818181816</v>
      </c>
      <c r="P15" s="7">
        <v>2492.7825000000003</v>
      </c>
      <c r="Q15" s="7">
        <v>1988.5994855110803</v>
      </c>
    </row>
    <row r="16" spans="1:17" x14ac:dyDescent="0.25">
      <c r="A16" s="7">
        <v>17</v>
      </c>
      <c r="B16" s="7">
        <v>2617.9904999999999</v>
      </c>
      <c r="C16" s="7">
        <v>2492.7825000000003</v>
      </c>
      <c r="D16" s="7">
        <v>2423.9181000000003</v>
      </c>
      <c r="E16" s="7">
        <v>2134.3746000000001</v>
      </c>
      <c r="F16" s="7">
        <v>3</v>
      </c>
      <c r="G16" s="7">
        <v>2</v>
      </c>
      <c r="H16" s="7">
        <v>1</v>
      </c>
      <c r="I16" s="7">
        <v>12</v>
      </c>
      <c r="J16" s="7">
        <v>11</v>
      </c>
      <c r="K16" s="7">
        <v>94.881818181818161</v>
      </c>
      <c r="L16" s="7">
        <v>88.881818181818176</v>
      </c>
      <c r="M16" s="7">
        <v>104.98181818181818</v>
      </c>
      <c r="N16" s="7">
        <v>134.29090909090908</v>
      </c>
      <c r="O16" s="7">
        <v>104.2090909090909</v>
      </c>
      <c r="P16" s="7">
        <v>4544.6286</v>
      </c>
      <c r="Q16" s="7">
        <v>3580.7623112981232</v>
      </c>
    </row>
    <row r="17" spans="1:17" x14ac:dyDescent="0.25">
      <c r="A17" s="7">
        <v>18</v>
      </c>
      <c r="B17" s="7">
        <v>4544.6286</v>
      </c>
      <c r="C17" s="7">
        <v>2617.9904999999999</v>
      </c>
      <c r="D17" s="7">
        <v>2492.7825000000003</v>
      </c>
      <c r="E17" s="7">
        <v>2423.9181000000003</v>
      </c>
      <c r="F17" s="7">
        <v>4</v>
      </c>
      <c r="G17" s="7">
        <v>3</v>
      </c>
      <c r="H17" s="7">
        <v>2</v>
      </c>
      <c r="I17" s="7">
        <v>1</v>
      </c>
      <c r="J17" s="7">
        <v>12</v>
      </c>
      <c r="K17" s="7">
        <v>87.318181818181813</v>
      </c>
      <c r="L17" s="7">
        <v>94.881818181818161</v>
      </c>
      <c r="M17" s="7">
        <v>88.881818181818176</v>
      </c>
      <c r="N17" s="7">
        <v>104.98181818181818</v>
      </c>
      <c r="O17" s="7">
        <v>134.29090909090908</v>
      </c>
      <c r="P17" s="7">
        <v>5616.7221</v>
      </c>
      <c r="Q17" s="7">
        <v>5282.7014249942931</v>
      </c>
    </row>
    <row r="18" spans="1:17" x14ac:dyDescent="0.25">
      <c r="A18" s="7">
        <v>20</v>
      </c>
      <c r="B18" s="7">
        <v>7087.9160999999995</v>
      </c>
      <c r="C18" s="7">
        <v>5616.7221</v>
      </c>
      <c r="D18" s="7">
        <v>4544.6286</v>
      </c>
      <c r="E18" s="7">
        <v>2617.9904999999999</v>
      </c>
      <c r="F18" s="7">
        <v>6</v>
      </c>
      <c r="G18" s="7">
        <v>5</v>
      </c>
      <c r="H18" s="7">
        <v>4</v>
      </c>
      <c r="I18" s="7">
        <v>3</v>
      </c>
      <c r="J18" s="7">
        <v>2</v>
      </c>
      <c r="K18" s="7">
        <v>87.081818181818178</v>
      </c>
      <c r="L18" s="7">
        <v>93.090909090909093</v>
      </c>
      <c r="M18" s="7">
        <v>87.318181818181813</v>
      </c>
      <c r="N18" s="7">
        <v>94.881818181818161</v>
      </c>
      <c r="O18" s="7">
        <v>88.881818181818176</v>
      </c>
      <c r="P18" s="7">
        <v>6826.5444000000007</v>
      </c>
      <c r="Q18" s="7">
        <v>6085.9454754752987</v>
      </c>
    </row>
    <row r="19" spans="1:17" x14ac:dyDescent="0.25">
      <c r="A19" s="7">
        <v>21</v>
      </c>
      <c r="B19" s="7">
        <v>6826.5444000000007</v>
      </c>
      <c r="C19" s="7">
        <v>7087.9160999999995</v>
      </c>
      <c r="D19" s="7">
        <v>5616.7221</v>
      </c>
      <c r="E19" s="7">
        <v>4544.6286</v>
      </c>
      <c r="F19" s="7">
        <v>7</v>
      </c>
      <c r="G19" s="7">
        <v>6</v>
      </c>
      <c r="H19" s="7">
        <v>5</v>
      </c>
      <c r="I19" s="7">
        <v>4</v>
      </c>
      <c r="J19" s="7">
        <v>3</v>
      </c>
      <c r="K19" s="7">
        <v>88.263636363636365</v>
      </c>
      <c r="L19" s="7">
        <v>87.081818181818178</v>
      </c>
      <c r="M19" s="7">
        <v>93.090909090909093</v>
      </c>
      <c r="N19" s="7">
        <v>87.318181818181813</v>
      </c>
      <c r="O19" s="7">
        <v>94.881818181818161</v>
      </c>
      <c r="P19" s="7">
        <v>6515.0895</v>
      </c>
      <c r="Q19" s="7">
        <v>5709.7286273377313</v>
      </c>
    </row>
    <row r="20" spans="1:17" x14ac:dyDescent="0.25">
      <c r="A20" s="7">
        <v>22</v>
      </c>
      <c r="B20" s="7">
        <v>6515.0895</v>
      </c>
      <c r="C20" s="7">
        <v>6826.5444000000007</v>
      </c>
      <c r="D20" s="7">
        <v>7087.9160999999995</v>
      </c>
      <c r="E20" s="7">
        <v>5616.7221</v>
      </c>
      <c r="F20" s="7">
        <v>8</v>
      </c>
      <c r="G20" s="7">
        <v>7</v>
      </c>
      <c r="H20" s="7">
        <v>6</v>
      </c>
      <c r="I20" s="7">
        <v>5</v>
      </c>
      <c r="J20" s="7">
        <v>4</v>
      </c>
      <c r="K20" s="7">
        <v>87.909090909090907</v>
      </c>
      <c r="L20" s="7">
        <v>88.263636363636365</v>
      </c>
      <c r="M20" s="7">
        <v>87.081818181818178</v>
      </c>
      <c r="N20" s="7">
        <v>93.090909090909093</v>
      </c>
      <c r="O20" s="7">
        <v>87.318181818181813</v>
      </c>
      <c r="P20" s="7">
        <v>4228.4784</v>
      </c>
      <c r="Q20" s="7">
        <v>5513.9408171253772</v>
      </c>
    </row>
    <row r="21" spans="1:17" x14ac:dyDescent="0.25">
      <c r="A21" s="7">
        <v>23</v>
      </c>
      <c r="B21" s="7">
        <v>4228.4784</v>
      </c>
      <c r="C21" s="7">
        <v>6515.0895</v>
      </c>
      <c r="D21" s="7">
        <v>6826.5444000000007</v>
      </c>
      <c r="E21" s="7">
        <v>7087.9160999999995</v>
      </c>
      <c r="F21" s="7">
        <v>9</v>
      </c>
      <c r="G21" s="7">
        <v>8</v>
      </c>
      <c r="H21" s="7">
        <v>7</v>
      </c>
      <c r="I21" s="7">
        <v>6</v>
      </c>
      <c r="J21" s="7">
        <v>5</v>
      </c>
      <c r="K21" s="7">
        <v>84.3</v>
      </c>
      <c r="L21" s="7">
        <v>87.909090909090907</v>
      </c>
      <c r="M21" s="7">
        <v>88.263636363636365</v>
      </c>
      <c r="N21" s="7">
        <v>87.081818181818178</v>
      </c>
      <c r="O21" s="7">
        <v>93.090909090909093</v>
      </c>
      <c r="P21" s="7">
        <v>4939.0338000000002</v>
      </c>
      <c r="Q21" s="7">
        <v>4614.1956242786746</v>
      </c>
    </row>
    <row r="22" spans="1:17" x14ac:dyDescent="0.25">
      <c r="A22" s="7">
        <v>24</v>
      </c>
      <c r="B22" s="7">
        <v>4939.0338000000002</v>
      </c>
      <c r="C22" s="7">
        <v>4228.4784</v>
      </c>
      <c r="D22" s="7">
        <v>6515.0895</v>
      </c>
      <c r="E22" s="7">
        <v>6826.5444000000007</v>
      </c>
      <c r="F22" s="7">
        <v>10</v>
      </c>
      <c r="G22" s="7">
        <v>9</v>
      </c>
      <c r="H22" s="7">
        <v>8</v>
      </c>
      <c r="I22" s="7">
        <v>7</v>
      </c>
      <c r="J22" s="7">
        <v>6</v>
      </c>
      <c r="K22" s="7">
        <v>89.409090909090907</v>
      </c>
      <c r="L22" s="7">
        <v>84.3</v>
      </c>
      <c r="M22" s="7">
        <v>87.909090909090907</v>
      </c>
      <c r="N22" s="7">
        <v>88.263636363636365</v>
      </c>
      <c r="O22" s="7">
        <v>87.081818181818178</v>
      </c>
      <c r="P22" s="7">
        <v>4023.4503000000004</v>
      </c>
      <c r="Q22" s="7">
        <v>4305.9235232563733</v>
      </c>
    </row>
    <row r="23" spans="1:17" x14ac:dyDescent="0.25">
      <c r="A23" s="7">
        <v>25</v>
      </c>
      <c r="B23" s="7">
        <v>4023.4503000000004</v>
      </c>
      <c r="C23" s="7">
        <v>4939.0338000000002</v>
      </c>
      <c r="D23" s="7">
        <v>4228.4784</v>
      </c>
      <c r="E23" s="7">
        <v>6515.0895</v>
      </c>
      <c r="F23" s="7">
        <v>11</v>
      </c>
      <c r="G23" s="7">
        <v>10</v>
      </c>
      <c r="H23" s="7">
        <v>9</v>
      </c>
      <c r="I23" s="7">
        <v>8</v>
      </c>
      <c r="J23" s="7">
        <v>7</v>
      </c>
      <c r="K23" s="7">
        <v>93.545454545454547</v>
      </c>
      <c r="L23" s="7">
        <v>89.409090909090907</v>
      </c>
      <c r="M23" s="7">
        <v>84.3</v>
      </c>
      <c r="N23" s="7">
        <v>87.909090909090907</v>
      </c>
      <c r="O23" s="7">
        <v>88.263636363636365</v>
      </c>
      <c r="P23" s="7">
        <v>3275.3325000000004</v>
      </c>
      <c r="Q23" s="7">
        <v>2991.6749381777654</v>
      </c>
    </row>
    <row r="25" spans="1:17" ht="45" x14ac:dyDescent="0.25">
      <c r="A25" s="9" t="s">
        <v>71</v>
      </c>
      <c r="B25" s="10" t="s">
        <v>72</v>
      </c>
      <c r="C25" s="10" t="s">
        <v>73</v>
      </c>
      <c r="D25" s="11" t="s">
        <v>14</v>
      </c>
      <c r="E25" s="11" t="s">
        <v>74</v>
      </c>
      <c r="F25" s="11" t="s">
        <v>75</v>
      </c>
      <c r="G25" s="12" t="s">
        <v>76</v>
      </c>
      <c r="H25" s="17" t="s">
        <v>19</v>
      </c>
      <c r="I25" s="17"/>
      <c r="J25" s="17"/>
      <c r="K25" s="17"/>
      <c r="L25" s="17"/>
      <c r="M25" s="17"/>
      <c r="N25" s="17"/>
      <c r="O25" s="17"/>
      <c r="P25" s="17"/>
      <c r="Q25" s="17"/>
    </row>
    <row r="26" spans="1:17" ht="409.5" customHeight="1" x14ac:dyDescent="0.25">
      <c r="A26" s="13" t="s">
        <v>77</v>
      </c>
      <c r="B26" s="14">
        <v>25</v>
      </c>
      <c r="C26" s="14">
        <v>14</v>
      </c>
      <c r="D26" s="14" t="s">
        <v>78</v>
      </c>
      <c r="E26" s="15" t="s">
        <v>45</v>
      </c>
      <c r="F26" s="15" t="s">
        <v>45</v>
      </c>
      <c r="G26" s="16">
        <v>0.8528586039993572</v>
      </c>
      <c r="H26" s="18" t="s">
        <v>69</v>
      </c>
      <c r="I26" s="18"/>
      <c r="J26" s="18"/>
      <c r="K26" s="18"/>
      <c r="L26" s="18"/>
      <c r="M26" s="18"/>
      <c r="N26" s="18"/>
      <c r="O26" s="18"/>
      <c r="P26" s="18"/>
      <c r="Q26" s="18"/>
    </row>
  </sheetData>
  <mergeCells count="2">
    <mergeCell ref="H25:Q25"/>
    <mergeCell ref="H26:Q2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Executar</vt:lpstr>
      <vt:lpstr>Tabela Entrada-Saída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Solução</vt:lpstr>
      <vt:lpstr>Formulário</vt:lpstr>
      <vt:lpstr>Sem Outlayers</vt:lpstr>
      <vt:lpstr>Coeficiente de Acerto</vt:lpstr>
      <vt:lpstr>Outlayers</vt:lpstr>
      <vt:lpstr>'Sem Outlayers'!Titulos_de_impressao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2017-07-08T16:25:51Z</cp:lastPrinted>
  <dcterms:created xsi:type="dcterms:W3CDTF">2013-01-06T09:57:14Z</dcterms:created>
  <dcterms:modified xsi:type="dcterms:W3CDTF">2017-11-27T18:09:22Z</dcterms:modified>
</cp:coreProperties>
</file>