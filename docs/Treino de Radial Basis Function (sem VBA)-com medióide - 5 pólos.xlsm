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CEP\RBF\"/>
    </mc:Choice>
  </mc:AlternateContent>
  <xr:revisionPtr revIDLastSave="0" documentId="13_ncr:1_{609A9F0F-9C77-44BC-A924-4A7D93ECEB87}" xr6:coauthVersionLast="41" xr6:coauthVersionMax="41" xr10:uidLastSave="{00000000-0000-0000-0000-000000000000}"/>
  <bookViews>
    <workbookView xWindow="-108" yWindow="-108" windowWidth="23256" windowHeight="12576" tabRatio="859" activeTab="1" xr2:uid="{AACD12AF-A711-4960-8867-69EAC2F21065}"/>
  </bookViews>
  <sheets>
    <sheet name="Solução Tradicional" sheetId="1" r:id="rId1"/>
    <sheet name="Solução RBF (Gaussiana)" sheetId="2" r:id="rId2"/>
  </sheets>
  <definedNames>
    <definedName name="solver_adj" localSheetId="1" hidden="1">'Solução RBF (Gaussiana)'!$Z$8</definedName>
    <definedName name="solver_cvg" localSheetId="1" hidden="1">"0.0001"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'Solução RBF (Gaussiana)'!$Z$8</definedName>
    <definedName name="solver_mip" localSheetId="1" hidden="1">2147483647</definedName>
    <definedName name="solver_mni" localSheetId="1" hidden="1">30</definedName>
    <definedName name="solver_mrt" localSheetId="1" hidden="1">"0.075"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</definedName>
    <definedName name="solver_nwt" localSheetId="1" hidden="1">1</definedName>
    <definedName name="solver_opt" localSheetId="1" hidden="1">'Solução RBF (Gaussiana)'!$Z$17</definedName>
    <definedName name="solver_pre" localSheetId="1" hidden="1">"0.000001"</definedName>
    <definedName name="solver_rbv" localSheetId="1" hidden="1">1</definedName>
    <definedName name="solver_rel1" localSheetId="1" hidden="1">3</definedName>
    <definedName name="solver_rhs1" localSheetId="1" hidden="1">0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6" i="2" l="1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5" i="2"/>
  <c r="Z4" i="2" a="1"/>
  <c r="Z4" i="2" s="1"/>
  <c r="Z7" i="2"/>
  <c r="J40" i="2" a="1"/>
  <c r="J40" i="2" s="1"/>
  <c r="V32" i="2" a="1"/>
  <c r="V32" i="2" s="1"/>
  <c r="J32" i="2" a="1"/>
  <c r="J32" i="2" s="1"/>
  <c r="J24" i="2" a="1"/>
  <c r="J24" i="2" s="1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24" i="2"/>
  <c r="J18" i="2"/>
  <c r="N15" i="2"/>
  <c r="M15" i="2"/>
  <c r="L15" i="2"/>
  <c r="K15" i="2"/>
  <c r="O12" i="2"/>
  <c r="O13" i="2"/>
  <c r="O14" i="2"/>
  <c r="O15" i="2"/>
  <c r="O11" i="2"/>
  <c r="J3" i="2"/>
  <c r="D22" i="2"/>
  <c r="E22" i="2"/>
  <c r="F22" i="2"/>
  <c r="C22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5" i="2"/>
  <c r="H22" i="2" l="1"/>
  <c r="Z6" i="2"/>
  <c r="Z9" i="2"/>
  <c r="Z5" i="2"/>
  <c r="Z8" i="2"/>
  <c r="W45" i="2"/>
  <c r="S45" i="2"/>
  <c r="O45" i="2"/>
  <c r="K45" i="2"/>
  <c r="X44" i="2"/>
  <c r="T44" i="2"/>
  <c r="P44" i="2"/>
  <c r="L44" i="2"/>
  <c r="Y43" i="2"/>
  <c r="U43" i="2"/>
  <c r="Q43" i="2"/>
  <c r="M43" i="2"/>
  <c r="Z42" i="2"/>
  <c r="V42" i="2"/>
  <c r="R42" i="2"/>
  <c r="N42" i="2"/>
  <c r="J42" i="2"/>
  <c r="W41" i="2"/>
  <c r="S41" i="2"/>
  <c r="O41" i="2"/>
  <c r="K41" i="2"/>
  <c r="X40" i="2"/>
  <c r="T40" i="2"/>
  <c r="P40" i="2"/>
  <c r="L40" i="2"/>
  <c r="Z45" i="2"/>
  <c r="V45" i="2"/>
  <c r="R45" i="2"/>
  <c r="N45" i="2"/>
  <c r="J45" i="2"/>
  <c r="W44" i="2"/>
  <c r="S44" i="2"/>
  <c r="O44" i="2"/>
  <c r="K44" i="2"/>
  <c r="X43" i="2"/>
  <c r="T43" i="2"/>
  <c r="P43" i="2"/>
  <c r="L43" i="2"/>
  <c r="Y42" i="2"/>
  <c r="U42" i="2"/>
  <c r="Q42" i="2"/>
  <c r="M42" i="2"/>
  <c r="Z41" i="2"/>
  <c r="V41" i="2"/>
  <c r="R41" i="2"/>
  <c r="N41" i="2"/>
  <c r="J41" i="2"/>
  <c r="W40" i="2"/>
  <c r="S40" i="2"/>
  <c r="O40" i="2"/>
  <c r="K40" i="2"/>
  <c r="X45" i="2"/>
  <c r="T45" i="2"/>
  <c r="P45" i="2"/>
  <c r="L45" i="2"/>
  <c r="Y44" i="2"/>
  <c r="U44" i="2"/>
  <c r="Q44" i="2"/>
  <c r="M44" i="2"/>
  <c r="Z43" i="2"/>
  <c r="V43" i="2"/>
  <c r="R43" i="2"/>
  <c r="N43" i="2"/>
  <c r="J43" i="2"/>
  <c r="W42" i="2"/>
  <c r="S42" i="2"/>
  <c r="O42" i="2"/>
  <c r="K42" i="2"/>
  <c r="X41" i="2"/>
  <c r="T41" i="2"/>
  <c r="P41" i="2"/>
  <c r="L41" i="2"/>
  <c r="Y40" i="2"/>
  <c r="U40" i="2"/>
  <c r="Q40" i="2"/>
  <c r="M40" i="2"/>
  <c r="Y45" i="2"/>
  <c r="U45" i="2"/>
  <c r="Q45" i="2"/>
  <c r="M45" i="2"/>
  <c r="Z44" i="2"/>
  <c r="V44" i="2"/>
  <c r="R44" i="2"/>
  <c r="N44" i="2"/>
  <c r="J44" i="2"/>
  <c r="W43" i="2"/>
  <c r="S43" i="2"/>
  <c r="O43" i="2"/>
  <c r="K43" i="2"/>
  <c r="X42" i="2"/>
  <c r="T42" i="2"/>
  <c r="P42" i="2"/>
  <c r="L42" i="2"/>
  <c r="Y41" i="2"/>
  <c r="U41" i="2"/>
  <c r="Q41" i="2"/>
  <c r="M41" i="2"/>
  <c r="Z40" i="2"/>
  <c r="V40" i="2"/>
  <c r="R40" i="2"/>
  <c r="N40" i="2"/>
  <c r="W37" i="2"/>
  <c r="W35" i="2"/>
  <c r="Y32" i="2"/>
  <c r="Z37" i="2"/>
  <c r="V37" i="2"/>
  <c r="X36" i="2"/>
  <c r="Z35" i="2"/>
  <c r="V35" i="2"/>
  <c r="X34" i="2"/>
  <c r="Z33" i="2"/>
  <c r="V33" i="2"/>
  <c r="X32" i="2"/>
  <c r="Y36" i="2"/>
  <c r="AA33" i="2"/>
  <c r="Y37" i="2"/>
  <c r="AA36" i="2"/>
  <c r="W36" i="2"/>
  <c r="Y35" i="2"/>
  <c r="AA34" i="2"/>
  <c r="W34" i="2"/>
  <c r="Y33" i="2"/>
  <c r="AA32" i="2"/>
  <c r="W32" i="2"/>
  <c r="AA37" i="2"/>
  <c r="AA35" i="2"/>
  <c r="Y34" i="2"/>
  <c r="W33" i="2"/>
  <c r="X37" i="2"/>
  <c r="Z36" i="2"/>
  <c r="V36" i="2"/>
  <c r="X35" i="2"/>
  <c r="Z34" i="2"/>
  <c r="V34" i="2"/>
  <c r="X33" i="2"/>
  <c r="Z32" i="2"/>
  <c r="N37" i="2"/>
  <c r="J37" i="2"/>
  <c r="L36" i="2"/>
  <c r="J35" i="2"/>
  <c r="L34" i="2"/>
  <c r="N33" i="2"/>
  <c r="J33" i="2"/>
  <c r="L32" i="2"/>
  <c r="M37" i="2"/>
  <c r="O36" i="2"/>
  <c r="K36" i="2"/>
  <c r="M35" i="2"/>
  <c r="O34" i="2"/>
  <c r="K34" i="2"/>
  <c r="M33" i="2"/>
  <c r="O32" i="2"/>
  <c r="K32" i="2"/>
  <c r="O37" i="2"/>
  <c r="K37" i="2"/>
  <c r="M36" i="2"/>
  <c r="O35" i="2"/>
  <c r="K35" i="2"/>
  <c r="M34" i="2"/>
  <c r="O33" i="2"/>
  <c r="K33" i="2"/>
  <c r="M32" i="2"/>
  <c r="N35" i="2"/>
  <c r="L37" i="2"/>
  <c r="N36" i="2"/>
  <c r="J36" i="2"/>
  <c r="L35" i="2"/>
  <c r="N34" i="2"/>
  <c r="J34" i="2"/>
  <c r="L33" i="2"/>
  <c r="N32" i="2"/>
  <c r="X29" i="2"/>
  <c r="W29" i="2"/>
  <c r="O29" i="2"/>
  <c r="X28" i="2"/>
  <c r="P28" i="2"/>
  <c r="Y27" i="2"/>
  <c r="Q27" i="2"/>
  <c r="Z26" i="2"/>
  <c r="R26" i="2"/>
  <c r="J26" i="2"/>
  <c r="O25" i="2"/>
  <c r="X24" i="2"/>
  <c r="L24" i="2"/>
  <c r="Z29" i="2"/>
  <c r="V29" i="2"/>
  <c r="R29" i="2"/>
  <c r="N29" i="2"/>
  <c r="J29" i="2"/>
  <c r="W28" i="2"/>
  <c r="S28" i="2"/>
  <c r="O28" i="2"/>
  <c r="K28" i="2"/>
  <c r="X27" i="2"/>
  <c r="T27" i="2"/>
  <c r="P27" i="2"/>
  <c r="L27" i="2"/>
  <c r="Y26" i="2"/>
  <c r="U26" i="2"/>
  <c r="Q26" i="2"/>
  <c r="M26" i="2"/>
  <c r="Z25" i="2"/>
  <c r="V25" i="2"/>
  <c r="R25" i="2"/>
  <c r="N25" i="2"/>
  <c r="J25" i="2"/>
  <c r="W24" i="2"/>
  <c r="S24" i="2"/>
  <c r="O24" i="2"/>
  <c r="K24" i="2"/>
  <c r="T29" i="2"/>
  <c r="P29" i="2"/>
  <c r="L29" i="2"/>
  <c r="Y28" i="2"/>
  <c r="U28" i="2"/>
  <c r="Q28" i="2"/>
  <c r="M28" i="2"/>
  <c r="Z27" i="2"/>
  <c r="V27" i="2"/>
  <c r="R27" i="2"/>
  <c r="N27" i="2"/>
  <c r="J27" i="2"/>
  <c r="W26" i="2"/>
  <c r="S26" i="2"/>
  <c r="O26" i="2"/>
  <c r="K26" i="2"/>
  <c r="X25" i="2"/>
  <c r="T25" i="2"/>
  <c r="P25" i="2"/>
  <c r="L25" i="2"/>
  <c r="Y24" i="2"/>
  <c r="U24" i="2"/>
  <c r="Q24" i="2"/>
  <c r="M24" i="2"/>
  <c r="S29" i="2"/>
  <c r="K29" i="2"/>
  <c r="T28" i="2"/>
  <c r="L28" i="2"/>
  <c r="U27" i="2"/>
  <c r="M27" i="2"/>
  <c r="V26" i="2"/>
  <c r="N26" i="2"/>
  <c r="W25" i="2"/>
  <c r="S25" i="2"/>
  <c r="K25" i="2"/>
  <c r="T24" i="2"/>
  <c r="P24" i="2"/>
  <c r="Y29" i="2"/>
  <c r="U29" i="2"/>
  <c r="Q29" i="2"/>
  <c r="M29" i="2"/>
  <c r="Z28" i="2"/>
  <c r="V28" i="2"/>
  <c r="R28" i="2"/>
  <c r="N28" i="2"/>
  <c r="J28" i="2"/>
  <c r="W27" i="2"/>
  <c r="S27" i="2"/>
  <c r="O27" i="2"/>
  <c r="K27" i="2"/>
  <c r="X26" i="2"/>
  <c r="T26" i="2"/>
  <c r="P26" i="2"/>
  <c r="L26" i="2"/>
  <c r="Y25" i="2"/>
  <c r="U25" i="2"/>
  <c r="Q25" i="2"/>
  <c r="M25" i="2"/>
  <c r="Z24" i="2"/>
  <c r="V24" i="2"/>
  <c r="R24" i="2"/>
  <c r="N24" i="2"/>
  <c r="G22" i="2"/>
  <c r="K13" i="2" l="1"/>
  <c r="M11" i="2"/>
  <c r="M12" i="2"/>
  <c r="M13" i="2"/>
  <c r="N13" i="2"/>
  <c r="L13" i="2"/>
  <c r="L14" i="2"/>
  <c r="M14" i="2"/>
  <c r="N12" i="2"/>
  <c r="N14" i="2"/>
  <c r="K14" i="2"/>
  <c r="L12" i="2"/>
  <c r="K11" i="2"/>
  <c r="K12" i="2"/>
  <c r="L11" i="2"/>
  <c r="N11" i="2"/>
  <c r="D5" i="1"/>
  <c r="C7" i="1"/>
  <c r="F6" i="1" l="1"/>
  <c r="F7" i="1"/>
  <c r="F8" i="1"/>
  <c r="F5" i="1"/>
  <c r="B6" i="1" l="1"/>
  <c r="C6" i="1"/>
  <c r="D6" i="1"/>
  <c r="E6" i="1"/>
  <c r="B7" i="1"/>
  <c r="D7" i="1"/>
  <c r="E7" i="1"/>
  <c r="B8" i="1"/>
  <c r="C8" i="1"/>
  <c r="D8" i="1"/>
  <c r="E8" i="1"/>
  <c r="C5" i="1"/>
  <c r="E5" i="1"/>
  <c r="B5" i="1"/>
  <c r="H25" i="2" l="1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24" i="2"/>
  <c r="B11" i="1" l="1" a="1"/>
  <c r="B11" i="1" s="1"/>
  <c r="D11" i="1" l="1"/>
  <c r="E13" i="1"/>
  <c r="E11" i="1"/>
  <c r="D14" i="1"/>
  <c r="D12" i="1"/>
  <c r="C14" i="1"/>
  <c r="C12" i="1"/>
  <c r="C11" i="1"/>
  <c r="E14" i="1"/>
  <c r="E12" i="1"/>
  <c r="D13" i="1"/>
  <c r="C13" i="1"/>
  <c r="B14" i="1"/>
  <c r="B13" i="1"/>
  <c r="B12" i="1"/>
  <c r="F11" i="1" l="1" a="1"/>
  <c r="F11" i="1" s="1"/>
  <c r="J21" i="2"/>
  <c r="C25" i="2" l="1"/>
  <c r="F14" i="1"/>
  <c r="F13" i="1"/>
  <c r="F12" i="1"/>
  <c r="A18" i="1" s="1"/>
  <c r="F33" i="2"/>
  <c r="E37" i="2"/>
  <c r="E26" i="2"/>
  <c r="D34" i="2"/>
  <c r="D24" i="2"/>
  <c r="F39" i="2"/>
  <c r="E40" i="2"/>
  <c r="E35" i="2"/>
  <c r="E30" i="2"/>
  <c r="F40" i="2"/>
  <c r="D40" i="2"/>
  <c r="D30" i="2"/>
  <c r="C38" i="2"/>
  <c r="C24" i="2"/>
  <c r="F37" i="2"/>
  <c r="F29" i="2"/>
  <c r="E39" i="2"/>
  <c r="E34" i="2"/>
  <c r="E29" i="2"/>
  <c r="F36" i="2"/>
  <c r="D38" i="2"/>
  <c r="D28" i="2"/>
  <c r="C32" i="2"/>
  <c r="E24" i="2"/>
  <c r="F26" i="2"/>
  <c r="E31" i="2"/>
  <c r="F30" i="2"/>
  <c r="C39" i="2"/>
  <c r="F31" i="2"/>
  <c r="F24" i="2"/>
  <c r="F35" i="2"/>
  <c r="F28" i="2"/>
  <c r="E38" i="2"/>
  <c r="E33" i="2"/>
  <c r="E27" i="2"/>
  <c r="F32" i="2"/>
  <c r="D35" i="2"/>
  <c r="D27" i="2"/>
  <c r="C30" i="2"/>
  <c r="C35" i="2"/>
  <c r="C28" i="2"/>
  <c r="D39" i="2"/>
  <c r="D32" i="2"/>
  <c r="C40" i="2"/>
  <c r="C34" i="2"/>
  <c r="C27" i="2"/>
  <c r="E36" i="2"/>
  <c r="E32" i="2"/>
  <c r="E28" i="2"/>
  <c r="F38" i="2"/>
  <c r="F27" i="2"/>
  <c r="D36" i="2"/>
  <c r="D31" i="2"/>
  <c r="D26" i="2"/>
  <c r="C36" i="2"/>
  <c r="C31" i="2"/>
  <c r="C26" i="2"/>
  <c r="E25" i="2"/>
  <c r="F34" i="2"/>
  <c r="F25" i="2"/>
  <c r="D37" i="2"/>
  <c r="D33" i="2"/>
  <c r="D29" i="2"/>
  <c r="D25" i="2"/>
  <c r="C37" i="2"/>
  <c r="C33" i="2"/>
  <c r="C29" i="2"/>
  <c r="G5" i="1" l="1"/>
  <c r="G7" i="1"/>
  <c r="G6" i="1"/>
  <c r="G8" i="1"/>
  <c r="G11" i="1" l="1"/>
  <c r="Z17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tc={61B18AF8-4CD5-45E6-B221-0C2AD8884C72}</author>
    <author>tc={1FCE62BE-06DA-43EA-82D5-091E03A8E3DD}</author>
  </authors>
  <commentList>
    <comment ref="B10" authorId="0" shapeId="0" xr:uid="{61B18AF8-4CD5-45E6-B221-0C2AD8884C72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1</t>
      </text>
    </comment>
    <comment ref="F10" authorId="1" shapeId="0" xr:uid="{1FCE62BE-06DA-43EA-82D5-091E03A8E3D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2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tc={68A1C275-CBE4-47D9-ABA5-92E1C47C9CF1}</author>
    <author>tc={FD54B2E5-5016-4F93-B6B8-4E511A92E920}</author>
    <author>tc={9DCBDEA6-99CC-4112-ABA9-8AD28388FC5C}</author>
    <author>tc={841F8DFD-B110-4238-9038-FD711B435161}</author>
    <author>tc={57F6FDAC-37E5-43A0-8053-1BD0B39A4EE4}</author>
    <author>tc={C45C465C-1A8E-432A-9122-B6B2BB30E096}</author>
    <author>tc={4E339C10-F32D-4B90-ADA5-F6D14FAE97A9}</author>
    <author>tc={7255840B-7701-4683-92C5-2CF791066553}</author>
    <author>tc={1B4039EB-8815-4159-BEDA-A8DE9C783A3D}</author>
    <author>tc={B530C25A-DE7A-49FF-AA73-C8814553EEDF}</author>
    <author>tc={F67ADF9D-EA1A-4E02-A45E-EC262A159193}</author>
    <author>tc={B928C51F-3E8C-4E79-AAAB-B67B15CF23B1}</author>
  </authors>
  <commentList>
    <comment ref="J2" authorId="0" shapeId="0" xr:uid="{68A1C275-CBE4-47D9-ABA5-92E1C47C9CF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Número Arbitrado. Porém, após experiências empíricas, o prof. Éden recomenda que seja utilizado o mesmo número de variáveis como número de pólos.
Passo 1</t>
      </text>
    </comment>
    <comment ref="Z2" authorId="1" shapeId="0" xr:uid="{FD54B2E5-5016-4F93-B6B8-4E511A92E92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8</t>
      </text>
    </comment>
    <comment ref="H4" authorId="2" shapeId="0" xr:uid="{9DCBDEA6-99CC-4112-ABA9-8AD28388FC5C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9</t>
      </text>
    </comment>
    <comment ref="J10" authorId="3" shapeId="0" xr:uid="{841F8DFD-B110-4238-9038-FD711B43516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Matriz de Distâncias entre os Pólos</t>
      </text>
    </comment>
    <comment ref="J17" authorId="4" shapeId="0" xr:uid="{57F6FDAC-37E5-43A0-8053-1BD0B39A4EE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2.1</t>
      </text>
    </comment>
    <comment ref="Z17" authorId="5" shapeId="0" xr:uid="{C45C465C-1A8E-432A-9122-B6B2BB30E09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valor serve como medidor da precisão do modelo. Quando este for igual a 1, significa que os cálculos batem 100% com as saídas medidas no banco de dados, o que deve ser entendido como 100%.</t>
      </text>
    </comment>
    <comment ref="J20" authorId="6" shapeId="0" xr:uid="{4E339C10-F32D-4B90-ADA5-F6D14FAE97A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Este fator é importante para o funcionamento do modelo, porém não há provas matemáticas para determinar este valor. Novamente uma solução empírica foi adotada. Recomenda-se utilizar esta expressão matemática para determinar o Sigma.
Passo 2.2</t>
      </text>
    </comment>
    <comment ref="C23" authorId="7" shapeId="0" xr:uid="{7255840B-7701-4683-92C5-2CF79106655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3</t>
      </text>
    </comment>
    <comment ref="J23" authorId="8" shapeId="0" xr:uid="{1B4039EB-8815-4159-BEDA-A8DE9C783A3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4</t>
      </text>
    </comment>
    <comment ref="J31" authorId="9" shapeId="0" xr:uid="{B530C25A-DE7A-49FF-AA73-C8814553EED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5</t>
      </text>
    </comment>
    <comment ref="V31" authorId="10" shapeId="0" xr:uid="{F67ADF9D-EA1A-4E02-A45E-EC262A15919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6</t>
      </text>
    </comment>
    <comment ref="J39" authorId="11" shapeId="0" xr:uid="{B928C51F-3E8C-4E79-AAAB-B67B15CF23B1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Passo 7</t>
      </text>
    </comment>
  </commentList>
</comments>
</file>

<file path=xl/sharedStrings.xml><?xml version="1.0" encoding="utf-8"?>
<sst xmlns="http://schemas.openxmlformats.org/spreadsheetml/2006/main" count="49" uniqueCount="33">
  <si>
    <t>Banco de Dados</t>
  </si>
  <si>
    <t>Funciona apenas para bancos de dados quadrados. O que não seria um problema para o caso de ser conhecido o número de variáveis necessárias para a solução de um problema. O que nunca acontece em Big Data.</t>
  </si>
  <si>
    <t>Saídas</t>
  </si>
  <si>
    <t>Registrada</t>
  </si>
  <si>
    <t>Calculada</t>
  </si>
  <si>
    <t>Saídas - Nro Sessões</t>
  </si>
  <si>
    <t>Qtd de Pólos</t>
  </si>
  <si>
    <t>Pólo 1</t>
  </si>
  <si>
    <t>Pólo 2</t>
  </si>
  <si>
    <t>Pólo 3</t>
  </si>
  <si>
    <t>Pólo 4</t>
  </si>
  <si>
    <t>Entradas</t>
  </si>
  <si>
    <t>Lições</t>
  </si>
  <si>
    <t>Idade (x1)</t>
  </si>
  <si>
    <t>Altura (x2)</t>
  </si>
  <si>
    <t>Gravidade da Lesão (x3)</t>
  </si>
  <si>
    <t>Tempo da Lesão (x4)</t>
  </si>
  <si>
    <t>Distância Máxima entre Pólos</t>
  </si>
  <si>
    <t>-1/(2*Sigma²)</t>
  </si>
  <si>
    <t>[R]</t>
  </si>
  <si>
    <t>[Rt]</t>
  </si>
  <si>
    <t>[Rt * R]</t>
  </si>
  <si>
    <t>[Rt * R]^-1</t>
  </si>
  <si>
    <t>1/[R] = [[Rt * R]^-1 * Rt]</t>
  </si>
  <si>
    <t>VS</t>
  </si>
  <si>
    <t>Correlação</t>
  </si>
  <si>
    <t>Matriz Inversa do Banco de Dados - [R]</t>
  </si>
  <si>
    <t>[VS]</t>
  </si>
  <si>
    <t>Calculado - Quantidade de Sessões para Fisioterapia</t>
  </si>
  <si>
    <t>Registrado - Quantidade de Sessões para Fisioterapia</t>
  </si>
  <si>
    <t>Erro</t>
  </si>
  <si>
    <t>Pólo 5</t>
  </si>
  <si>
    <t>Medióides k-means (k = 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</si>
</sst>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rgb="FF000000"/>
      <name val="Calibri"/>
      <family val="2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 diagonalDown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thin">
        <color indexed="64"/>
      </diagonal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2" fillId="0" borderId="4" xfId="0" applyFont="1" applyBorder="1" applyAlignment="1">
      <alignment horizontal="center"/>
    </xf>
    <xf numFmtId="0" fontId="0" fillId="0" borderId="5" xfId="0" applyBorder="1"/>
    <xf numFmtId="0" fontId="0" fillId="0" borderId="7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2" fontId="0" fillId="0" borderId="0" xfId="0" applyNumberFormat="1"/>
    <xf numFmtId="0" fontId="0" fillId="0" borderId="0" xfId="0" applyBorder="1"/>
    <xf numFmtId="2" fontId="0" fillId="0" borderId="5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2" fontId="0" fillId="0" borderId="17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4" xfId="0" applyNumberFormat="1" applyBorder="1" applyAlignment="1">
      <alignment horizontal="center"/>
    </xf>
    <xf numFmtId="0" fontId="0" fillId="0" borderId="5" xfId="0" applyFill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2" fontId="0" fillId="0" borderId="4" xfId="0" applyNumberForma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0" xfId="0" applyAlignment="1">
      <alignment vertical="center"/>
    </xf>
    <xf numFmtId="2" fontId="0" fillId="0" borderId="21" xfId="0" applyNumberFormat="1" applyBorder="1" applyAlignment="1">
      <alignment horizontal="center"/>
    </xf>
    <xf numFmtId="2" fontId="0" fillId="0" borderId="20" xfId="0" applyNumberFormat="1" applyBorder="1" applyAlignment="1">
      <alignment horizontal="center"/>
    </xf>
    <xf numFmtId="0" fontId="2" fillId="0" borderId="22" xfId="0" applyFont="1" applyBorder="1" applyAlignment="1">
      <alignment horizontal="left" vertical="top"/>
    </xf>
    <xf numFmtId="0" fontId="2" fillId="0" borderId="21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2" fontId="0" fillId="0" borderId="13" xfId="0" applyNumberForma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2" fontId="0" fillId="0" borderId="18" xfId="0" applyNumberFormat="1" applyBorder="1" applyAlignment="1">
      <alignment horizontal="center"/>
    </xf>
    <xf numFmtId="0" fontId="2" fillId="0" borderId="0" xfId="0" applyFont="1" applyAlignment="1"/>
    <xf numFmtId="0" fontId="0" fillId="0" borderId="0" xfId="0" applyAlignment="1"/>
    <xf numFmtId="0" fontId="1" fillId="0" borderId="0" xfId="0" applyFont="1" applyAlignment="1"/>
    <xf numFmtId="0" fontId="0" fillId="0" borderId="4" xfId="0" applyBorder="1" applyAlignment="1">
      <alignment horizontal="center"/>
    </xf>
    <xf numFmtId="1" fontId="0" fillId="0" borderId="13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2" fillId="0" borderId="21" xfId="0" applyFont="1" applyBorder="1" applyAlignment="1">
      <alignment vertical="center"/>
    </xf>
    <xf numFmtId="1" fontId="0" fillId="0" borderId="0" xfId="0" applyNumberFormat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3" fontId="0" fillId="0" borderId="0" xfId="0" applyNumberFormat="1"/>
    <xf numFmtId="0" fontId="2" fillId="0" borderId="10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10" fontId="0" fillId="0" borderId="19" xfId="0" applyNumberForma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0" xfId="0" applyNumberFormat="1" applyBorder="1" applyAlignment="1">
      <alignment horizontal="center" vertical="center"/>
    </xf>
    <xf numFmtId="0" fontId="2" fillId="0" borderId="6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wrapText="1"/>
    </xf>
    <xf numFmtId="0" fontId="2" fillId="0" borderId="11" xfId="0" applyFont="1" applyBorder="1" applyAlignment="1">
      <alignment horizontal="center" wrapText="1"/>
    </xf>
    <xf numFmtId="0" fontId="2" fillId="0" borderId="12" xfId="0" applyFont="1" applyBorder="1" applyAlignment="1">
      <alignment horizontal="center" wrapText="1"/>
    </xf>
    <xf numFmtId="4" fontId="0" fillId="0" borderId="19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20" xfId="0" applyNumberFormat="1" applyBorder="1" applyAlignment="1">
      <alignment horizontal="center" vertical="center"/>
    </xf>
    <xf numFmtId="0" fontId="2" fillId="0" borderId="2" xfId="0" quotePrefix="1" applyFon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0" borderId="9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4" fontId="0" fillId="0" borderId="0" xfId="0" applyNumberFormat="1" applyAlignment="1">
      <alignment horizontal="center"/>
    </xf>
    <xf numFmtId="1" fontId="0" fillId="0" borderId="15" xfId="0" quotePrefix="1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Border="1" applyAlignment="1"/>
    <xf numFmtId="0" fontId="0" fillId="0" borderId="0" xfId="0" applyBorder="1" applyAlignment="1"/>
    <xf numFmtId="165" fontId="0" fillId="0" borderId="0" xfId="0" applyNumberFormat="1" applyFill="1" applyBorder="1" applyAlignment="1">
      <alignment horizontal="center"/>
    </xf>
    <xf numFmtId="165" fontId="0" fillId="0" borderId="9" xfId="0" applyNumberFormat="1" applyFill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0" xfId="0" quotePrefix="1" applyNumberFormat="1" applyBorder="1" applyAlignment="1">
      <alignment horizontal="center"/>
    </xf>
    <xf numFmtId="1" fontId="0" fillId="0" borderId="16" xfId="0" applyNumberFormat="1" applyBorder="1" applyAlignment="1">
      <alignment horizontal="center"/>
    </xf>
    <xf numFmtId="1" fontId="0" fillId="0" borderId="18" xfId="0" quotePrefix="1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/>
              <a:t>Gráfico Comparativo Entre Registros e Cálculos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'Solução RBF (Gaussiana)'!$G$4</c:f>
              <c:strCache>
                <c:ptCount val="1"/>
                <c:pt idx="0">
                  <c:v>Registrada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(Gaussiana)'!$G$5:$G$21</c:f>
              <c:numCache>
                <c:formatCode>0</c:formatCode>
                <c:ptCount val="17"/>
                <c:pt idx="0">
                  <c:v>67.064916700361238</c:v>
                </c:pt>
                <c:pt idx="1">
                  <c:v>42.249487738628439</c:v>
                </c:pt>
                <c:pt idx="2">
                  <c:v>50.168385318000674</c:v>
                </c:pt>
                <c:pt idx="3">
                  <c:v>35.900738150475405</c:v>
                </c:pt>
                <c:pt idx="4">
                  <c:v>63.32774744816966</c:v>
                </c:pt>
                <c:pt idx="5">
                  <c:v>30.799795906858957</c:v>
                </c:pt>
                <c:pt idx="6">
                  <c:v>30.043100410664561</c:v>
                </c:pt>
                <c:pt idx="7">
                  <c:v>77.568801638943711</c:v>
                </c:pt>
                <c:pt idx="8">
                  <c:v>55.583816564739038</c:v>
                </c:pt>
                <c:pt idx="9">
                  <c:v>49.477078782525354</c:v>
                </c:pt>
                <c:pt idx="10">
                  <c:v>26.566792766432734</c:v>
                </c:pt>
                <c:pt idx="11">
                  <c:v>57.148968360994338</c:v>
                </c:pt>
                <c:pt idx="12">
                  <c:v>35.293980744622417</c:v>
                </c:pt>
                <c:pt idx="13">
                  <c:v>60.969033732754575</c:v>
                </c:pt>
                <c:pt idx="14">
                  <c:v>39.234820782685382</c:v>
                </c:pt>
                <c:pt idx="15">
                  <c:v>49.440909091347727</c:v>
                </c:pt>
                <c:pt idx="16">
                  <c:v>26.382766618255097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32-4A98-A173-0E34450A878C}"/>
            </c:ext>
          </c:extLst>
        </c:ser>
        <c:ser>
          <c:idx val="1"/>
          <c:order val="1"/>
          <c:tx>
            <c:strRef>
              <c:f>'Solução RBF (Gaussiana)'!$H$4</c:f>
              <c:strCache>
                <c:ptCount val="1"/>
                <c:pt idx="0">
                  <c:v>Calculada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'Solução RBF (Gaussiana)'!$H$5:$H$21</c:f>
              <c:numCache>
                <c:formatCode>0</c:formatCode>
                <c:ptCount val="17"/>
                <c:pt idx="0">
                  <c:v>64.099921915934019</c:v>
                </c:pt>
                <c:pt idx="1">
                  <c:v>36.012367414354827</c:v>
                </c:pt>
                <c:pt idx="2">
                  <c:v>53.850801085203798</c:v>
                </c:pt>
                <c:pt idx="3">
                  <c:v>36.585166719003539</c:v>
                </c:pt>
                <c:pt idx="4">
                  <c:v>63.501020783671834</c:v>
                </c:pt>
                <c:pt idx="5">
                  <c:v>30.994850852147437</c:v>
                </c:pt>
                <c:pt idx="6">
                  <c:v>33.534135902237473</c:v>
                </c:pt>
                <c:pt idx="7">
                  <c:v>74.893264051005161</c:v>
                </c:pt>
                <c:pt idx="8">
                  <c:v>55.702075581198187</c:v>
                </c:pt>
                <c:pt idx="9">
                  <c:v>52.147650450428728</c:v>
                </c:pt>
                <c:pt idx="10">
                  <c:v>29.305333013837448</c:v>
                </c:pt>
                <c:pt idx="11">
                  <c:v>54.123852394044278</c:v>
                </c:pt>
                <c:pt idx="12">
                  <c:v>31.369313344744519</c:v>
                </c:pt>
                <c:pt idx="13">
                  <c:v>62.761959315820015</c:v>
                </c:pt>
                <c:pt idx="14">
                  <c:v>36.203336397813452</c:v>
                </c:pt>
                <c:pt idx="15">
                  <c:v>54.667566253102976</c:v>
                </c:pt>
                <c:pt idx="16">
                  <c:v>27.468525281907574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32-4A98-A173-0E34450A8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1557792"/>
        <c:axId val="591557464"/>
      </c:lineChart>
      <c:catAx>
        <c:axId val="591557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464"/>
        <c:crosses val="autoZero"/>
        <c:auto val="1"/>
        <c:lblAlgn val="ctr"/>
        <c:lblOffset val="100"/>
        <c:noMultiLvlLbl val="0"/>
      </c:catAx>
      <c:valAx>
        <c:axId val="59155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9155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21771</xdr:rowOff>
    </xdr:from>
    <xdr:to>
      <xdr:col>24</xdr:col>
      <xdr:colOff>544284</xdr:colOff>
      <xdr:row>21</xdr:row>
      <xdr:rowOff>38099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198120</xdr:colOff>
          <xdr:row>31</xdr:row>
          <xdr:rowOff>53340</xdr:rowOff>
        </xdr:from>
        <xdr:to>
          <xdr:col>20</xdr:col>
          <xdr:colOff>220980</xdr:colOff>
          <xdr:row>34</xdr:row>
          <xdr:rowOff>76200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Igor Jasenovski" id="{A7B9A7E0-6187-461B-BBFE-8A093D6D6D56}" userId="Igor Jasenovski" providerId="None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0" dT="2019-04-12T12:54:36.76" personId="{A7B9A7E0-6187-461B-BBFE-8A093D6D6D56}" id="{61B18AF8-4CD5-45E6-B221-0C2AD8884C72}">
    <text>Passo 1</text>
  </threadedComment>
  <threadedComment ref="F10" dT="2019-04-12T12:54:50.49" personId="{A7B9A7E0-6187-461B-BBFE-8A093D6D6D56}" id="{1FCE62BE-06DA-43EA-82D5-091E03A8E3DD}">
    <text>Passo 2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2" dT="2019-04-12T01:00:31.95" personId="{A7B9A7E0-6187-461B-BBFE-8A093D6D6D56}" id="{68A1C275-CBE4-47D9-ABA5-92E1C47C9CF1}">
    <text>Número Arbitrado. Porém, após experiências empíricas, o prof. Éden recomenda que seja utilizado o mesmo número de variáveis como número de pólos.
Passo 1</text>
  </threadedComment>
  <threadedComment ref="Z2" dT="2019-04-12T03:06:29.35" personId="{A7B9A7E0-6187-461B-BBFE-8A093D6D6D56}" id="{FD54B2E5-5016-4F93-B6B8-4E511A92E920}">
    <text>Passo 8</text>
  </threadedComment>
  <threadedComment ref="H4" dT="2019-04-12T03:07:08.29" personId="{A7B9A7E0-6187-461B-BBFE-8A093D6D6D56}" id="{9DCBDEA6-99CC-4112-ABA9-8AD28388FC5C}">
    <text>Passo 9</text>
  </threadedComment>
  <threadedComment ref="J10" dT="2019-04-12T03:15:04.18" personId="{A7B9A7E0-6187-461B-BBFE-8A093D6D6D56}" id="{841F8DFD-B110-4238-9038-FD711B435161}">
    <text>Matriz de Distâncias entre os Pólos</text>
  </threadedComment>
  <threadedComment ref="J17" dT="2019-04-12T01:06:40.13" personId="{A7B9A7E0-6187-461B-BBFE-8A093D6D6D56}" id="{57F6FDAC-37E5-43A0-8053-1BD0B39A4EE4}">
    <text>Este fator é importante para o funcionamento do modelo, porém não há provas matemáticas para determinar este valor. Novamente uma solução empírica foi adotada. Recomenda-se utilizar esta expressão matemática para determinar o Sigma.
Passo 2.1</text>
  </threadedComment>
  <threadedComment ref="Z17" dT="2019-04-12T02:59:46.39" personId="{A7B9A7E0-6187-461B-BBFE-8A093D6D6D56}" id="{C45C465C-1A8E-432A-9122-B6B2BB30E096}">
    <text>Este valor serve como medidor da precisão do modelo. Quando este for igual a 1, significa que os cálculos batem 100% com as saídas medidas no banco de dados, o que deve ser entendido como 100%.</text>
  </threadedComment>
  <threadedComment ref="J20" dT="2019-04-12T01:06:45.62" personId="{A7B9A7E0-6187-461B-BBFE-8A093D6D6D56}" id="{4E339C10-F32D-4B90-ADA5-F6D14FAE97A9}">
    <text>Este fator é importante para o funcionamento do modelo, porém não há provas matemáticas para determinar este valor. Novamente uma solução empírica foi adotada. Recomenda-se utilizar esta expressão matemática para determinar o Sigma.
Passo 2.2</text>
  </threadedComment>
  <threadedComment ref="C23" dT="2019-04-12T03:05:16.05" personId="{A7B9A7E0-6187-461B-BBFE-8A093D6D6D56}" id="{7255840B-7701-4683-92C5-2CF791066553}">
    <text>Passo 3</text>
  </threadedComment>
  <threadedComment ref="J23" dT="2019-04-12T03:05:24.58" personId="{A7B9A7E0-6187-461B-BBFE-8A093D6D6D56}" id="{1B4039EB-8815-4159-BEDA-A8DE9C783A3D}">
    <text>Passo 4</text>
  </threadedComment>
  <threadedComment ref="J31" dT="2019-04-12T03:05:38.11" personId="{A7B9A7E0-6187-461B-BBFE-8A093D6D6D56}" id="{B530C25A-DE7A-49FF-AA73-C8814553EEDF}">
    <text>Passo 5</text>
  </threadedComment>
  <threadedComment ref="V31" dT="2019-04-12T03:05:58.42" personId="{A7B9A7E0-6187-461B-BBFE-8A093D6D6D56}" id="{F67ADF9D-EA1A-4E02-A45E-EC262A159193}">
    <text>Passo 6</text>
  </threadedComment>
  <threadedComment ref="J39" dT="2019-04-12T03:06:06.06" personId="{A7B9A7E0-6187-461B-BBFE-8A093D6D6D56}" id="{B928C51F-3E8C-4E79-AAAB-B67B15CF23B1}">
    <text>Passo 7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4EC4B-EB72-43E2-8960-271EBDF23A21}">
  <sheetPr codeName="Planilha1"/>
  <dimension ref="A1:L21"/>
  <sheetViews>
    <sheetView showGridLines="0" workbookViewId="0">
      <selection activeCell="B11" sqref="B11"/>
    </sheetView>
  </sheetViews>
  <sheetFormatPr defaultRowHeight="14.4" x14ac:dyDescent="0.3"/>
  <cols>
    <col min="1" max="1" width="0.5546875" style="2" customWidth="1"/>
    <col min="2" max="2" width="12.6640625" style="1" bestFit="1" customWidth="1"/>
    <col min="3" max="3" width="9.77734375" style="1" bestFit="1" customWidth="1"/>
    <col min="4" max="4" width="21.33203125" style="1" bestFit="1" customWidth="1"/>
    <col min="5" max="5" width="18.5546875" style="1" bestFit="1" customWidth="1"/>
    <col min="6" max="6" width="46" style="1" bestFit="1" customWidth="1"/>
    <col min="7" max="7" width="45.21875" style="1" bestFit="1" customWidth="1"/>
    <col min="8" max="8" width="43.77734375" style="1" bestFit="1" customWidth="1"/>
    <col min="9" max="9" width="41.33203125" style="1" bestFit="1" customWidth="1"/>
    <col min="10" max="10" width="8.88671875" style="1"/>
    <col min="11" max="11" width="10" style="1" bestFit="1" customWidth="1"/>
    <col min="12" max="16384" width="8.88671875" style="1"/>
  </cols>
  <sheetData>
    <row r="1" spans="1:11" ht="4.2" customHeight="1" thickBot="1" x14ac:dyDescent="0.35">
      <c r="A1" s="1"/>
    </row>
    <row r="2" spans="1:11" ht="15" thickBot="1" x14ac:dyDescent="0.35">
      <c r="A2" s="1"/>
      <c r="B2" s="64" t="s">
        <v>0</v>
      </c>
      <c r="C2" s="66"/>
      <c r="D2" s="66"/>
      <c r="E2" s="66"/>
      <c r="F2" s="66"/>
      <c r="G2" s="65"/>
      <c r="H2" s="47"/>
      <c r="I2" s="47"/>
    </row>
    <row r="3" spans="1:11" ht="15" thickBot="1" x14ac:dyDescent="0.35">
      <c r="A3" s="1"/>
      <c r="B3" s="70" t="s">
        <v>11</v>
      </c>
      <c r="C3" s="71"/>
      <c r="D3" s="71"/>
      <c r="E3" s="72"/>
      <c r="F3" s="64" t="s">
        <v>2</v>
      </c>
      <c r="G3" s="65"/>
      <c r="H3" s="37"/>
      <c r="I3" s="37"/>
      <c r="K3" s="37"/>
    </row>
    <row r="4" spans="1:11" ht="15" thickBot="1" x14ac:dyDescent="0.35">
      <c r="A4" s="1"/>
      <c r="B4" s="10" t="s">
        <v>13</v>
      </c>
      <c r="C4" s="10" t="s">
        <v>14</v>
      </c>
      <c r="D4" s="10" t="s">
        <v>15</v>
      </c>
      <c r="E4" s="10" t="s">
        <v>16</v>
      </c>
      <c r="F4" s="10" t="s">
        <v>29</v>
      </c>
      <c r="G4" s="10" t="s">
        <v>28</v>
      </c>
      <c r="K4" s="42"/>
    </row>
    <row r="5" spans="1:11" x14ac:dyDescent="0.3">
      <c r="A5" s="1"/>
      <c r="B5" s="29">
        <f>'Solução RBF (Gaussiana)'!C5</f>
        <v>59</v>
      </c>
      <c r="C5" s="6">
        <f>'Solução RBF (Gaussiana)'!D5</f>
        <v>1.0649167003612281</v>
      </c>
      <c r="D5" s="6">
        <f>'Solução RBF (Gaussiana)'!E5</f>
        <v>1</v>
      </c>
      <c r="E5" s="16">
        <f>'Solução RBF (Gaussiana)'!F5</f>
        <v>7</v>
      </c>
      <c r="F5" s="50">
        <f>'Solução RBF (Gaussiana)'!G5</f>
        <v>67.064916700361238</v>
      </c>
      <c r="G5" s="8">
        <f>$F$11*B5+$F$12*C5+$F$13*D5+$F$14*E5</f>
        <v>67.064916700361238</v>
      </c>
    </row>
    <row r="6" spans="1:11" x14ac:dyDescent="0.3">
      <c r="A6" s="1"/>
      <c r="B6" s="29">
        <f>'Solução RBF (Gaussiana)'!C6</f>
        <v>29</v>
      </c>
      <c r="C6" s="6">
        <f>'Solução RBF (Gaussiana)'!D6</f>
        <v>0.62474386931421955</v>
      </c>
      <c r="D6" s="6">
        <f>'Solução RBF (Gaussiana)'!E6</f>
        <v>2</v>
      </c>
      <c r="E6" s="16">
        <f>'Solução RBF (Gaussiana)'!F6</f>
        <v>12</v>
      </c>
      <c r="F6" s="50">
        <f>'Solução RBF (Gaussiana)'!G6</f>
        <v>42.249487738628439</v>
      </c>
      <c r="G6" s="8">
        <f>$F$11*B6+$F$12*C6+$F$13*D6+$F$14*E6</f>
        <v>42.249487738628446</v>
      </c>
    </row>
    <row r="7" spans="1:11" x14ac:dyDescent="0.3">
      <c r="A7" s="1"/>
      <c r="B7" s="29">
        <f>'Solução RBF (Gaussiana)'!C7</f>
        <v>36</v>
      </c>
      <c r="C7" s="6">
        <f>'Solução RBF (Gaussiana)'!D7</f>
        <v>0.38946177266689141</v>
      </c>
      <c r="D7" s="6">
        <f>'Solução RBF (Gaussiana)'!E7</f>
        <v>3</v>
      </c>
      <c r="E7" s="16">
        <f>'Solução RBF (Gaussiana)'!F7</f>
        <v>13</v>
      </c>
      <c r="F7" s="50">
        <f>'Solução RBF (Gaussiana)'!G7</f>
        <v>50.168385318000674</v>
      </c>
      <c r="G7" s="8">
        <f>$F$11*B7+$F$12*C7+$F$13*D7+$F$14*E7</f>
        <v>50.168385318000674</v>
      </c>
    </row>
    <row r="8" spans="1:11" ht="15" thickBot="1" x14ac:dyDescent="0.35">
      <c r="A8" s="1"/>
      <c r="B8" s="41">
        <f>'Solução RBF (Gaussiana)'!C8</f>
        <v>30</v>
      </c>
      <c r="C8" s="9">
        <f>'Solução RBF (Gaussiana)'!D8</f>
        <v>0.63357938349180132</v>
      </c>
      <c r="D8" s="9">
        <f>'Solução RBF (Gaussiana)'!E8</f>
        <v>3</v>
      </c>
      <c r="E8" s="17">
        <f>'Solução RBF (Gaussiana)'!F8</f>
        <v>4</v>
      </c>
      <c r="F8" s="38">
        <f>'Solução RBF (Gaussiana)'!G8</f>
        <v>35.900738150475405</v>
      </c>
      <c r="G8" s="40">
        <f>$F$11*B8+$F$12*C8+$F$13*D8+$F$14*E8</f>
        <v>35.900738150475412</v>
      </c>
    </row>
    <row r="9" spans="1:11" ht="15" thickBot="1" x14ac:dyDescent="0.35">
      <c r="A9" s="1"/>
    </row>
    <row r="10" spans="1:11" ht="15" thickBot="1" x14ac:dyDescent="0.35">
      <c r="A10" s="1"/>
      <c r="B10" s="64" t="s">
        <v>26</v>
      </c>
      <c r="C10" s="66"/>
      <c r="D10" s="66"/>
      <c r="E10" s="65"/>
      <c r="F10" s="10" t="s">
        <v>27</v>
      </c>
      <c r="G10" s="10" t="s">
        <v>25</v>
      </c>
    </row>
    <row r="11" spans="1:11" x14ac:dyDescent="0.3">
      <c r="A11" s="1"/>
      <c r="B11" s="50">
        <f t="array" ref="B11:E14">MINVERSE(B5:E8)</f>
        <v>2.5589290644758751E-2</v>
      </c>
      <c r="C11" s="6">
        <v>-5.6593651696672492E-2</v>
      </c>
      <c r="D11" s="7">
        <v>4.2577937279478908E-2</v>
      </c>
      <c r="E11" s="8">
        <v>-1.3378599696616826E-2</v>
      </c>
      <c r="F11" s="12">
        <f t="array" ref="F11:F14">MMULT($B$11:$E$14,$F$5:$F$8)</f>
        <v>0.98085561102359842</v>
      </c>
      <c r="G11" s="67">
        <f>CORREL($F$5:$F$8,$G$5:$G$8)</f>
        <v>1</v>
      </c>
    </row>
    <row r="12" spans="1:11" x14ac:dyDescent="0.3">
      <c r="A12" s="1"/>
      <c r="B12" s="50">
        <v>-0.15604559784597469</v>
      </c>
      <c r="C12" s="6">
        <v>2.54042233293247</v>
      </c>
      <c r="D12" s="7">
        <v>-2.5362611169899099</v>
      </c>
      <c r="E12" s="8">
        <v>0.89466142765025458</v>
      </c>
      <c r="F12" s="12">
        <v>1.7452378483595936</v>
      </c>
      <c r="G12" s="68"/>
    </row>
    <row r="13" spans="1:11" x14ac:dyDescent="0.3">
      <c r="A13" s="1"/>
      <c r="B13" s="50">
        <v>-0.19454763412549167</v>
      </c>
      <c r="C13" s="6">
        <v>-0.11276451643699496</v>
      </c>
      <c r="D13" s="7">
        <v>9.1285786680341374E-2</v>
      </c>
      <c r="E13" s="8">
        <v>0.38207310231948577</v>
      </c>
      <c r="F13" s="12">
        <v>0.48480298951220036</v>
      </c>
      <c r="G13" s="68"/>
    </row>
    <row r="14" spans="1:11" ht="15" thickBot="1" x14ac:dyDescent="0.35">
      <c r="A14" s="1"/>
      <c r="B14" s="38">
        <v>-2.1292135821606304E-2</v>
      </c>
      <c r="C14" s="9">
        <v>0.10663597117575038</v>
      </c>
      <c r="D14" s="39">
        <v>1.3931819112825813E-2</v>
      </c>
      <c r="E14" s="40">
        <v>-7.7925087956123948E-2</v>
      </c>
      <c r="F14" s="13">
        <v>0.97872853280515804</v>
      </c>
      <c r="G14" s="69"/>
    </row>
    <row r="15" spans="1:11" x14ac:dyDescent="0.3">
      <c r="A15" s="1"/>
    </row>
    <row r="16" spans="1:11" x14ac:dyDescent="0.3">
      <c r="A16" s="1"/>
    </row>
    <row r="17" spans="1:12" x14ac:dyDescent="0.3">
      <c r="A17" s="1"/>
      <c r="H17" s="48"/>
      <c r="I17" s="48"/>
      <c r="J17" s="48"/>
      <c r="K17" s="48"/>
      <c r="L17" s="48"/>
    </row>
    <row r="18" spans="1:12" x14ac:dyDescent="0.3">
      <c r="A18" s="48" t="str">
        <f>"Função = "&amp;F11&amp;"x1 + "&amp;F12&amp;"x2 + "&amp;F13&amp;"x3 + "&amp;F14&amp;"x4"</f>
        <v>Função = 0,980855611023598x1 + 1,74523784835959x2 + 0,4848029895122x3 + 0,978728532805158x4</v>
      </c>
      <c r="C18" s="48"/>
      <c r="D18" s="48"/>
      <c r="E18" s="48"/>
      <c r="F18" s="48"/>
      <c r="G18" s="48"/>
    </row>
    <row r="19" spans="1:12" x14ac:dyDescent="0.3">
      <c r="A19" s="1"/>
    </row>
    <row r="20" spans="1:12" x14ac:dyDescent="0.3">
      <c r="A20" s="1"/>
      <c r="H20" s="49"/>
      <c r="I20" s="49"/>
      <c r="J20" s="49"/>
      <c r="K20" s="49"/>
      <c r="L20" s="49"/>
    </row>
    <row r="21" spans="1:12" x14ac:dyDescent="0.3">
      <c r="A21" s="49" t="s">
        <v>1</v>
      </c>
      <c r="C21" s="49"/>
      <c r="D21" s="49"/>
      <c r="E21" s="49"/>
      <c r="F21" s="49"/>
      <c r="G21" s="49"/>
    </row>
  </sheetData>
  <mergeCells count="5">
    <mergeCell ref="F3:G3"/>
    <mergeCell ref="B2:G2"/>
    <mergeCell ref="G11:G14"/>
    <mergeCell ref="B10:E10"/>
    <mergeCell ref="B3:E3"/>
  </mergeCells>
  <pageMargins left="0.511811024" right="0.511811024" top="0.78740157499999996" bottom="0.78740157499999996" header="0.31496062000000002" footer="0.31496062000000002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266F5-3BAB-41C5-9B4D-366BFFCA58CD}">
  <sheetPr codeName="Planilha2"/>
  <dimension ref="A1:AF55"/>
  <sheetViews>
    <sheetView showGridLines="0" tabSelected="1" topLeftCell="D1" zoomScale="70" zoomScaleNormal="70" workbookViewId="0">
      <selection activeCell="Z17" sqref="Z17:Z21"/>
    </sheetView>
  </sheetViews>
  <sheetFormatPr defaultRowHeight="14.4" x14ac:dyDescent="0.3"/>
  <cols>
    <col min="1" max="1" width="0.33203125" style="1" customWidth="1"/>
    <col min="2" max="2" width="6.33203125" style="1" bestFit="1" customWidth="1"/>
    <col min="3" max="3" width="17.77734375" style="1" customWidth="1"/>
    <col min="4" max="4" width="21.88671875" style="1" customWidth="1"/>
    <col min="5" max="5" width="21.33203125" customWidth="1"/>
    <col min="6" max="6" width="22" customWidth="1"/>
    <col min="7" max="7" width="15" customWidth="1"/>
    <col min="8" max="8" width="9.109375" bestFit="1" customWidth="1"/>
    <col min="9" max="9" width="1.77734375" customWidth="1"/>
    <col min="10" max="10" width="13.77734375" bestFit="1" customWidth="1"/>
    <col min="11" max="11" width="14.5546875" customWidth="1"/>
    <col min="12" max="14" width="13.77734375" bestFit="1" customWidth="1"/>
    <col min="15" max="15" width="15" bestFit="1" customWidth="1"/>
    <col min="26" max="26" width="20.44140625" customWidth="1"/>
    <col min="28" max="28" width="9.77734375" bestFit="1" customWidth="1"/>
    <col min="29" max="29" width="5.33203125" bestFit="1" customWidth="1"/>
    <col min="30" max="30" width="8.21875" bestFit="1" customWidth="1"/>
    <col min="31" max="31" width="10" bestFit="1" customWidth="1"/>
    <col min="32" max="32" width="13" bestFit="1" customWidth="1"/>
  </cols>
  <sheetData>
    <row r="1" spans="2:32" ht="4.2" customHeight="1" thickBot="1" x14ac:dyDescent="0.35"/>
    <row r="2" spans="2:32" ht="15" thickBot="1" x14ac:dyDescent="0.35">
      <c r="B2" s="64" t="s">
        <v>0</v>
      </c>
      <c r="C2" s="66"/>
      <c r="D2" s="66"/>
      <c r="E2" s="66"/>
      <c r="F2" s="66"/>
      <c r="G2" s="66"/>
      <c r="H2" s="65"/>
      <c r="I2" s="53"/>
      <c r="J2" s="64" t="s">
        <v>6</v>
      </c>
      <c r="K2" s="66"/>
      <c r="L2" s="66"/>
      <c r="M2" s="66"/>
      <c r="N2" s="65"/>
      <c r="O2" s="101"/>
      <c r="P2" s="31"/>
      <c r="Q2" s="31"/>
      <c r="R2" s="31"/>
      <c r="S2" s="31"/>
      <c r="T2" s="31"/>
      <c r="U2" s="31"/>
      <c r="V2" s="31"/>
      <c r="Z2" s="83" t="s">
        <v>24</v>
      </c>
    </row>
    <row r="3" spans="2:32" ht="15" thickBot="1" x14ac:dyDescent="0.35">
      <c r="B3" s="83" t="s">
        <v>12</v>
      </c>
      <c r="C3" s="80" t="s">
        <v>11</v>
      </c>
      <c r="D3" s="81"/>
      <c r="E3" s="81"/>
      <c r="F3" s="82"/>
      <c r="G3" s="80" t="s">
        <v>5</v>
      </c>
      <c r="H3" s="82"/>
      <c r="I3" s="53"/>
      <c r="J3" s="98">
        <f>COUNTA(J4:J8)</f>
        <v>5</v>
      </c>
      <c r="K3" s="99"/>
      <c r="L3" s="99"/>
      <c r="M3" s="99"/>
      <c r="N3" s="100"/>
      <c r="O3" s="102"/>
      <c r="P3" s="31"/>
      <c r="Q3" s="31"/>
      <c r="R3" s="31"/>
      <c r="S3" s="31"/>
      <c r="T3" s="31"/>
      <c r="U3" s="31"/>
      <c r="V3" s="31"/>
      <c r="Z3" s="84"/>
    </row>
    <row r="4" spans="2:32" ht="15" thickBot="1" x14ac:dyDescent="0.35">
      <c r="B4" s="84"/>
      <c r="C4" s="10" t="s">
        <v>13</v>
      </c>
      <c r="D4" s="10" t="s">
        <v>14</v>
      </c>
      <c r="E4" s="10" t="s">
        <v>15</v>
      </c>
      <c r="F4" s="10" t="s">
        <v>16</v>
      </c>
      <c r="G4" s="10" t="s">
        <v>3</v>
      </c>
      <c r="H4" s="10" t="s">
        <v>4</v>
      </c>
      <c r="I4" s="21"/>
      <c r="J4" s="3" t="s">
        <v>7</v>
      </c>
      <c r="K4" s="6">
        <v>32.6</v>
      </c>
      <c r="L4" s="7">
        <v>0.83</v>
      </c>
      <c r="M4" s="6">
        <v>2</v>
      </c>
      <c r="N4" s="16">
        <v>13.333</v>
      </c>
      <c r="Z4" s="32">
        <f t="array" ref="Z4:Z9">MMULT(J40:Z45,G5:G21)</f>
        <v>-1.5354182874742652</v>
      </c>
      <c r="AB4" s="37"/>
      <c r="AC4" s="37"/>
      <c r="AD4" s="37"/>
      <c r="AE4" s="37"/>
      <c r="AF4" s="37"/>
    </row>
    <row r="5" spans="2:32" x14ac:dyDescent="0.3">
      <c r="B5" s="12">
        <v>1</v>
      </c>
      <c r="C5" s="43">
        <v>59</v>
      </c>
      <c r="D5" s="11">
        <v>1.0649167003612281</v>
      </c>
      <c r="E5" s="11">
        <v>1</v>
      </c>
      <c r="F5" s="44">
        <v>7</v>
      </c>
      <c r="G5" s="51">
        <f>C5+D5*E5+F5</f>
        <v>67.064916700361238</v>
      </c>
      <c r="H5" s="96">
        <f>$Z$4*EXP($J$21*SUMXMY2($C5:$F5,$K$4:$N$4))+$Z$5*EXP($J$21*SUMXMY2($C5:$F5,$K$5:$N$5))+$Z$6*EXP($J$21*SUMXMY2($C5:$F5,$K$6:$N$6))+$Z$7*EXP($J$21*SUMXMY2($C5:$F5,$K$7:$N$7))+$Z$8*EXP($J$21*SUMXMY2($C5:$F5,$K$8:$N$8))+$Z$9*$H$24</f>
        <v>64.099921915934019</v>
      </c>
      <c r="I5" s="21"/>
      <c r="J5" s="3" t="s">
        <v>8</v>
      </c>
      <c r="K5" s="6">
        <v>18.332999999999998</v>
      </c>
      <c r="L5" s="6">
        <v>0.49</v>
      </c>
      <c r="M5" s="6">
        <v>2.3333300000000001</v>
      </c>
      <c r="N5" s="16">
        <v>11</v>
      </c>
      <c r="Z5" s="32">
        <v>-44.169278555959465</v>
      </c>
      <c r="AB5" s="54"/>
      <c r="AC5" s="1"/>
      <c r="AD5" s="1"/>
      <c r="AE5" s="1"/>
      <c r="AF5" s="1"/>
    </row>
    <row r="6" spans="2:32" x14ac:dyDescent="0.3">
      <c r="B6" s="12">
        <v>2</v>
      </c>
      <c r="C6" s="43">
        <v>29</v>
      </c>
      <c r="D6" s="11">
        <v>0.62474386931421955</v>
      </c>
      <c r="E6" s="11">
        <v>2</v>
      </c>
      <c r="F6" s="44">
        <v>12</v>
      </c>
      <c r="G6" s="51">
        <f t="shared" ref="G6:G22" si="0">C6+D6*E6+F6</f>
        <v>42.249487738628439</v>
      </c>
      <c r="H6" s="96">
        <f t="shared" ref="H6:H22" si="1">$Z$4*EXP($J$21*SUMXMY2($C6:$F6,$K$4:$N$4))+$Z$5*EXP($J$21*SUMXMY2($C6:$F6,$K$5:$N$5))+$Z$6*EXP($J$21*SUMXMY2($C6:$F6,$K$6:$N$6))+$Z$7*EXP($J$21*SUMXMY2($C6:$F6,$K$7:$N$7))+$Z$8*EXP($J$21*SUMXMY2($C6:$F6,$K$8:$N$8))+$Z$9*$H$24</f>
        <v>36.012367414354827</v>
      </c>
      <c r="I6" s="21"/>
      <c r="J6" s="3" t="s">
        <v>9</v>
      </c>
      <c r="K6" s="6">
        <v>50.75</v>
      </c>
      <c r="L6" s="6">
        <v>1.05</v>
      </c>
      <c r="M6" s="6">
        <v>1.75</v>
      </c>
      <c r="N6" s="16">
        <v>11.75</v>
      </c>
      <c r="Z6" s="32">
        <v>0.57855835108622333</v>
      </c>
      <c r="AB6" s="54"/>
      <c r="AC6" s="1"/>
      <c r="AD6" s="1"/>
      <c r="AE6" s="1"/>
      <c r="AF6" s="1"/>
    </row>
    <row r="7" spans="2:32" x14ac:dyDescent="0.3">
      <c r="B7" s="12">
        <v>3</v>
      </c>
      <c r="C7" s="43">
        <v>36</v>
      </c>
      <c r="D7" s="11">
        <v>0.38946177266689141</v>
      </c>
      <c r="E7" s="11">
        <v>3</v>
      </c>
      <c r="F7" s="44">
        <v>13</v>
      </c>
      <c r="G7" s="51">
        <f t="shared" si="0"/>
        <v>50.168385318000674</v>
      </c>
      <c r="H7" s="96">
        <f t="shared" si="1"/>
        <v>53.850801085203798</v>
      </c>
      <c r="I7" s="21"/>
      <c r="J7" s="3" t="s">
        <v>10</v>
      </c>
      <c r="K7" s="6">
        <v>52.33</v>
      </c>
      <c r="L7" s="6">
        <v>0.97</v>
      </c>
      <c r="M7" s="6">
        <v>2.3332999999999999</v>
      </c>
      <c r="N7" s="16">
        <v>3.3332999999999999</v>
      </c>
      <c r="Z7" s="32">
        <v>-34.511774902811588</v>
      </c>
      <c r="AB7" s="54"/>
      <c r="AC7" s="1"/>
      <c r="AD7" s="1"/>
      <c r="AE7" s="1"/>
      <c r="AF7" s="1"/>
    </row>
    <row r="8" spans="2:32" ht="15" thickBot="1" x14ac:dyDescent="0.35">
      <c r="B8" s="12">
        <v>4</v>
      </c>
      <c r="C8" s="43">
        <v>30</v>
      </c>
      <c r="D8" s="11">
        <v>0.63357938349180132</v>
      </c>
      <c r="E8" s="11">
        <v>3</v>
      </c>
      <c r="F8" s="44">
        <v>4</v>
      </c>
      <c r="G8" s="51">
        <f t="shared" si="0"/>
        <v>35.900738150475405</v>
      </c>
      <c r="H8" s="96">
        <f t="shared" si="1"/>
        <v>36.585166719003539</v>
      </c>
      <c r="J8" s="58" t="s">
        <v>31</v>
      </c>
      <c r="K8" s="60">
        <v>27.25</v>
      </c>
      <c r="L8" s="60">
        <v>0.55000000000000004</v>
      </c>
      <c r="M8" s="60">
        <v>2.25</v>
      </c>
      <c r="N8" s="61">
        <v>4.75</v>
      </c>
      <c r="Z8" s="32">
        <v>-29.77611215797058</v>
      </c>
      <c r="AB8" s="54"/>
      <c r="AC8" s="1"/>
      <c r="AD8" s="1"/>
      <c r="AE8" s="1"/>
      <c r="AF8" s="1"/>
    </row>
    <row r="9" spans="2:32" ht="15" thickBot="1" x14ac:dyDescent="0.35">
      <c r="B9" s="12">
        <v>5</v>
      </c>
      <c r="C9" s="43">
        <v>51</v>
      </c>
      <c r="D9" s="11">
        <v>0.16387372408482959</v>
      </c>
      <c r="E9" s="11">
        <v>2</v>
      </c>
      <c r="F9" s="44">
        <v>12</v>
      </c>
      <c r="G9" s="51">
        <f t="shared" si="0"/>
        <v>63.32774744816966</v>
      </c>
      <c r="H9" s="96">
        <f t="shared" si="1"/>
        <v>63.501020783671834</v>
      </c>
      <c r="Z9" s="33">
        <v>91.268920588541718</v>
      </c>
      <c r="AB9" s="54"/>
      <c r="AC9" s="1"/>
      <c r="AD9" s="1"/>
      <c r="AE9" s="1"/>
      <c r="AF9" s="1"/>
    </row>
    <row r="10" spans="2:32" ht="15" thickBot="1" x14ac:dyDescent="0.35">
      <c r="B10" s="12">
        <v>6</v>
      </c>
      <c r="C10" s="43">
        <v>26</v>
      </c>
      <c r="D10" s="11">
        <v>0.79979590685895618</v>
      </c>
      <c r="E10" s="11">
        <v>1</v>
      </c>
      <c r="F10" s="44">
        <v>4</v>
      </c>
      <c r="G10" s="51">
        <f t="shared" si="0"/>
        <v>30.799795906858957</v>
      </c>
      <c r="H10" s="96">
        <f t="shared" si="1"/>
        <v>30.994850852147437</v>
      </c>
      <c r="J10" s="34"/>
      <c r="K10" s="55" t="s">
        <v>7</v>
      </c>
      <c r="L10" s="57" t="s">
        <v>8</v>
      </c>
      <c r="M10" s="57" t="s">
        <v>9</v>
      </c>
      <c r="N10" s="57" t="s">
        <v>10</v>
      </c>
      <c r="O10" s="56" t="s">
        <v>31</v>
      </c>
      <c r="P10" s="14"/>
      <c r="AB10" s="54"/>
      <c r="AC10" s="1"/>
      <c r="AD10" s="1"/>
      <c r="AE10" s="1"/>
      <c r="AF10" s="1"/>
    </row>
    <row r="11" spans="2:32" x14ac:dyDescent="0.3">
      <c r="B11" s="12">
        <v>7</v>
      </c>
      <c r="C11" s="43">
        <v>16</v>
      </c>
      <c r="D11" s="11">
        <v>0.68103347022151994</v>
      </c>
      <c r="E11" s="11">
        <v>3</v>
      </c>
      <c r="F11" s="44">
        <v>12</v>
      </c>
      <c r="G11" s="51">
        <f t="shared" si="0"/>
        <v>30.043100410664561</v>
      </c>
      <c r="H11" s="96">
        <f t="shared" si="1"/>
        <v>33.534135902237473</v>
      </c>
      <c r="J11" s="30" t="s">
        <v>7</v>
      </c>
      <c r="K11" s="29">
        <f>SQRT(SUMXMY2($K4:$N4,$K4:$N4))</f>
        <v>0</v>
      </c>
      <c r="L11" s="6">
        <f>SQRT(SUMXMY2($K4:$N4,$K5:$N5))</f>
        <v>14.464331539649528</v>
      </c>
      <c r="M11" s="6">
        <f>SQRT(SUMXMY2($K6:$N6,$K4:$N4))</f>
        <v>18.221945258396534</v>
      </c>
      <c r="N11" s="6">
        <f>SQRT(SUMXMY2($K4:$N4,$K7:$N7))</f>
        <v>22.122332358501442</v>
      </c>
      <c r="O11" s="52">
        <f>SQRT(SUMXMY2($K4:$N4,$K$8:$N$8))</f>
        <v>10.120834402360313</v>
      </c>
      <c r="AB11" s="54"/>
      <c r="AC11" s="1"/>
      <c r="AD11" s="1"/>
      <c r="AE11" s="1"/>
      <c r="AF11" s="1"/>
    </row>
    <row r="12" spans="2:32" x14ac:dyDescent="0.3">
      <c r="B12" s="12">
        <v>8</v>
      </c>
      <c r="C12" s="43">
        <v>59</v>
      </c>
      <c r="D12" s="11">
        <v>1.7844008194718528</v>
      </c>
      <c r="E12" s="11">
        <v>2</v>
      </c>
      <c r="F12" s="44">
        <v>15</v>
      </c>
      <c r="G12" s="51">
        <f t="shared" si="0"/>
        <v>77.568801638943711</v>
      </c>
      <c r="H12" s="96">
        <f t="shared" si="1"/>
        <v>74.893264051005161</v>
      </c>
      <c r="J12" s="35" t="s">
        <v>8</v>
      </c>
      <c r="K12" s="29">
        <f>SQRT(SUMXMY2($K4:$N4,$K5:$N5))</f>
        <v>14.464331539649528</v>
      </c>
      <c r="L12" s="6">
        <f>SQRT(SUMXMY2($K5:$N5,$K5:$N5))</f>
        <v>0</v>
      </c>
      <c r="M12" s="6">
        <f>SQRT(SUMXMY2($K6:$N6,$K5:$N5))</f>
        <v>32.435755932132984</v>
      </c>
      <c r="N12" s="6">
        <f>SQRT(SUMXMY2($K7:$N7,$K5:$N5))</f>
        <v>34.854048515070666</v>
      </c>
      <c r="O12" s="16">
        <f t="shared" ref="O12:O15" si="2">SQRT(SUMXMY2($K5:$N5,$K$8:$N$8))</f>
        <v>10.889716841539087</v>
      </c>
      <c r="AB12" s="54"/>
      <c r="AC12" s="1"/>
      <c r="AD12" s="1"/>
      <c r="AE12" s="1"/>
      <c r="AF12" s="1"/>
    </row>
    <row r="13" spans="2:32" x14ac:dyDescent="0.3">
      <c r="B13" s="12">
        <v>9</v>
      </c>
      <c r="C13" s="43">
        <v>45</v>
      </c>
      <c r="D13" s="11">
        <v>1.2919082823695203</v>
      </c>
      <c r="E13" s="11">
        <v>2</v>
      </c>
      <c r="F13" s="44">
        <v>8</v>
      </c>
      <c r="G13" s="51">
        <f t="shared" si="0"/>
        <v>55.583816564739038</v>
      </c>
      <c r="H13" s="96">
        <f t="shared" si="1"/>
        <v>55.702075581198187</v>
      </c>
      <c r="J13" s="35" t="s">
        <v>9</v>
      </c>
      <c r="K13" s="29">
        <f>SQRT(SUMXMY2($K6:$N6,$K4:$N4))</f>
        <v>18.221945258396534</v>
      </c>
      <c r="L13" s="6">
        <f>SQRT(SUMXMY2($K6:$N6,$K5:$N5))</f>
        <v>32.435755932132984</v>
      </c>
      <c r="M13" s="6">
        <f>SQRT(SUMXMY2($K6:$N6,$K6:$N6))</f>
        <v>0</v>
      </c>
      <c r="N13" s="6">
        <f>SQRT(SUMXMY2($K6:$N6,$K7:$N7))</f>
        <v>8.5839313708812934</v>
      </c>
      <c r="O13" s="16">
        <f t="shared" si="2"/>
        <v>24.53059314407216</v>
      </c>
      <c r="AB13" s="54"/>
      <c r="AC13" s="1"/>
      <c r="AD13" s="1"/>
      <c r="AE13" s="1"/>
      <c r="AF13" s="1"/>
    </row>
    <row r="14" spans="2:32" ht="15" thickBot="1" x14ac:dyDescent="0.35">
      <c r="B14" s="12">
        <v>10</v>
      </c>
      <c r="C14" s="43">
        <v>33</v>
      </c>
      <c r="D14" s="11">
        <v>1.47707878252535</v>
      </c>
      <c r="E14" s="11">
        <v>1</v>
      </c>
      <c r="F14" s="44">
        <v>15</v>
      </c>
      <c r="G14" s="51">
        <f t="shared" si="0"/>
        <v>49.477078782525354</v>
      </c>
      <c r="H14" s="96">
        <f t="shared" si="1"/>
        <v>52.147650450428728</v>
      </c>
      <c r="J14" s="35" t="s">
        <v>10</v>
      </c>
      <c r="K14" s="29">
        <f>SQRT(SUMXMY2($K7:$N7,$K4:$N4))</f>
        <v>22.122332358501442</v>
      </c>
      <c r="L14" s="6">
        <f>SQRT(SUMXMY2($K7:$N7,$K5:$N5))</f>
        <v>34.854048515070666</v>
      </c>
      <c r="M14" s="6">
        <f>SQRT(SUMXMY2($K7:$N7,$K6:$N6))</f>
        <v>8.5839313708812934</v>
      </c>
      <c r="N14" s="6">
        <f>SQRT(SUMXMY2($K7:$N7,$K7:$N7))</f>
        <v>0</v>
      </c>
      <c r="O14" s="16">
        <f t="shared" si="2"/>
        <v>25.123629868711244</v>
      </c>
      <c r="AB14" s="54"/>
      <c r="AC14" s="1"/>
      <c r="AD14" s="1"/>
      <c r="AE14" s="1"/>
      <c r="AF14" s="1"/>
    </row>
    <row r="15" spans="2:32" ht="15" thickBot="1" x14ac:dyDescent="0.35">
      <c r="B15" s="12">
        <v>11</v>
      </c>
      <c r="C15" s="43">
        <v>22</v>
      </c>
      <c r="D15" s="11">
        <v>0.18893092214424489</v>
      </c>
      <c r="E15" s="11">
        <v>3</v>
      </c>
      <c r="F15" s="44">
        <v>4</v>
      </c>
      <c r="G15" s="51">
        <f t="shared" si="0"/>
        <v>26.566792766432734</v>
      </c>
      <c r="H15" s="96">
        <f t="shared" si="1"/>
        <v>29.305333013837448</v>
      </c>
      <c r="J15" s="36" t="s">
        <v>31</v>
      </c>
      <c r="K15" s="62">
        <f>SQRT(SUMXMY2($K$4:$N$4,$K$8:$N$8))</f>
        <v>10.120834402360313</v>
      </c>
      <c r="L15" s="9">
        <f>SQRT(SUMXMY2($K$5:$N$5,$K$8:$N$8))</f>
        <v>10.889716841539087</v>
      </c>
      <c r="M15" s="9">
        <f>SQRT(SUMXMY2($K$6:$N$6,$K$8:$N$8))</f>
        <v>24.53059314407216</v>
      </c>
      <c r="N15" s="9">
        <f>SQRT(SUMXMY2($K$7:$N$7,$K$8:$N$8))</f>
        <v>25.123629868711244</v>
      </c>
      <c r="O15" s="17">
        <f t="shared" si="2"/>
        <v>0</v>
      </c>
      <c r="Z15" s="83" t="s">
        <v>30</v>
      </c>
      <c r="AB15" s="54"/>
      <c r="AC15" s="1"/>
      <c r="AD15" s="1"/>
      <c r="AE15" s="1"/>
      <c r="AF15" s="1"/>
    </row>
    <row r="16" spans="2:32" ht="15" thickBot="1" x14ac:dyDescent="0.35">
      <c r="B16" s="12">
        <v>12</v>
      </c>
      <c r="C16" s="43">
        <v>50</v>
      </c>
      <c r="D16" s="11">
        <v>1.7163227869981124</v>
      </c>
      <c r="E16" s="11">
        <v>3</v>
      </c>
      <c r="F16" s="44">
        <v>2</v>
      </c>
      <c r="G16" s="51">
        <f t="shared" si="0"/>
        <v>57.148968360994338</v>
      </c>
      <c r="H16" s="96">
        <f t="shared" si="1"/>
        <v>54.123852394044278</v>
      </c>
      <c r="Z16" s="84"/>
      <c r="AB16" s="54"/>
      <c r="AC16" s="1"/>
      <c r="AD16" s="1"/>
      <c r="AE16" s="1"/>
      <c r="AF16" s="1"/>
    </row>
    <row r="17" spans="2:32" x14ac:dyDescent="0.3">
      <c r="B17" s="12">
        <v>13</v>
      </c>
      <c r="C17" s="43">
        <v>20</v>
      </c>
      <c r="D17" s="11">
        <v>0.43132691487413788</v>
      </c>
      <c r="E17" s="11">
        <v>3</v>
      </c>
      <c r="F17" s="44">
        <v>14</v>
      </c>
      <c r="G17" s="51">
        <f t="shared" si="0"/>
        <v>35.293980744622417</v>
      </c>
      <c r="H17" s="96">
        <f t="shared" si="1"/>
        <v>31.369313344744519</v>
      </c>
      <c r="J17" s="74" t="s">
        <v>17</v>
      </c>
      <c r="K17" s="75"/>
      <c r="L17" s="75"/>
      <c r="M17" s="75"/>
      <c r="N17" s="76"/>
      <c r="Z17" s="88">
        <f>SUMXMY2(G5:G21,H5:H21)</f>
        <v>161.23657104003738</v>
      </c>
      <c r="AB17" s="54"/>
      <c r="AC17" s="1"/>
      <c r="AD17" s="1"/>
      <c r="AE17" s="1"/>
      <c r="AF17" s="1"/>
    </row>
    <row r="18" spans="2:32" ht="15" thickBot="1" x14ac:dyDescent="0.35">
      <c r="B18" s="12">
        <v>14</v>
      </c>
      <c r="C18" s="43">
        <v>48</v>
      </c>
      <c r="D18" s="11">
        <v>0.96903373275457616</v>
      </c>
      <c r="E18" s="11">
        <v>1</v>
      </c>
      <c r="F18" s="44">
        <v>12</v>
      </c>
      <c r="G18" s="51">
        <f t="shared" si="0"/>
        <v>60.969033732754575</v>
      </c>
      <c r="H18" s="96">
        <f t="shared" si="1"/>
        <v>62.761959315820015</v>
      </c>
      <c r="J18" s="79">
        <f>MAX(K11:O15)</f>
        <v>34.854048515070666</v>
      </c>
      <c r="K18" s="77"/>
      <c r="L18" s="77"/>
      <c r="M18" s="77"/>
      <c r="N18" s="78"/>
      <c r="Z18" s="89"/>
      <c r="AB18" s="54"/>
      <c r="AC18" s="1"/>
      <c r="AD18" s="1"/>
      <c r="AE18" s="1"/>
      <c r="AF18" s="1"/>
    </row>
    <row r="19" spans="2:32" ht="15" thickBot="1" x14ac:dyDescent="0.35">
      <c r="B19" s="12">
        <v>15</v>
      </c>
      <c r="C19" s="43">
        <v>31</v>
      </c>
      <c r="D19" s="11">
        <v>0.61741039134269193</v>
      </c>
      <c r="E19" s="11">
        <v>2</v>
      </c>
      <c r="F19" s="44">
        <v>7</v>
      </c>
      <c r="G19" s="51">
        <f t="shared" si="0"/>
        <v>39.234820782685382</v>
      </c>
      <c r="H19" s="96">
        <f t="shared" si="1"/>
        <v>36.203336397813452</v>
      </c>
      <c r="Z19" s="89"/>
      <c r="AB19" s="54"/>
      <c r="AC19" s="1"/>
      <c r="AD19" s="1"/>
      <c r="AE19" s="1"/>
      <c r="AF19" s="1"/>
    </row>
    <row r="20" spans="2:32" x14ac:dyDescent="0.3">
      <c r="B20" s="12">
        <v>16</v>
      </c>
      <c r="C20" s="43">
        <v>48</v>
      </c>
      <c r="D20" s="11">
        <v>0.14696969711591001</v>
      </c>
      <c r="E20" s="11">
        <v>3</v>
      </c>
      <c r="F20" s="44">
        <v>1</v>
      </c>
      <c r="G20" s="51">
        <f t="shared" si="0"/>
        <v>49.440909091347727</v>
      </c>
      <c r="H20" s="96">
        <f t="shared" si="1"/>
        <v>54.667566253102976</v>
      </c>
      <c r="J20" s="91" t="s">
        <v>18</v>
      </c>
      <c r="K20" s="75"/>
      <c r="L20" s="75"/>
      <c r="M20" s="75"/>
      <c r="N20" s="76"/>
      <c r="Z20" s="89"/>
      <c r="AB20" s="54"/>
      <c r="AC20" s="1"/>
      <c r="AD20" s="1"/>
      <c r="AE20" s="1"/>
      <c r="AF20" s="1"/>
    </row>
    <row r="21" spans="2:32" ht="15" thickBot="1" x14ac:dyDescent="0.35">
      <c r="B21" s="13">
        <v>17</v>
      </c>
      <c r="C21" s="45">
        <v>19</v>
      </c>
      <c r="D21" s="20">
        <v>0.38276661825509672</v>
      </c>
      <c r="E21" s="20">
        <v>1</v>
      </c>
      <c r="F21" s="46">
        <v>7</v>
      </c>
      <c r="G21" s="107">
        <f t="shared" si="0"/>
        <v>26.382766618255097</v>
      </c>
      <c r="H21" s="108">
        <f t="shared" si="1"/>
        <v>27.468525281907574</v>
      </c>
      <c r="J21" s="92">
        <f>-1/(2*POWER($J$18/SQRT(2*$J$3),2))</f>
        <v>-4.1158879354688217E-3</v>
      </c>
      <c r="K21" s="93"/>
      <c r="L21" s="93"/>
      <c r="M21" s="93"/>
      <c r="N21" s="94"/>
      <c r="Z21" s="90"/>
      <c r="AB21" s="54"/>
      <c r="AC21" s="1"/>
      <c r="AD21" s="1"/>
      <c r="AE21" s="1"/>
      <c r="AF21" s="1"/>
    </row>
    <row r="22" spans="2:32" ht="18" customHeight="1" thickBot="1" x14ac:dyDescent="0.35">
      <c r="B22" s="1">
        <v>18</v>
      </c>
      <c r="C22" s="97">
        <f ca="1">RANDBETWEEN(MIN(C5:C21),MAX(C5:C21))</f>
        <v>24</v>
      </c>
      <c r="D22" s="97">
        <f ca="1">MAX(D5:D21)*RAND()</f>
        <v>1.6841147396589671</v>
      </c>
      <c r="E22" s="97">
        <f t="shared" ref="D22:F22" ca="1" si="3">RANDBETWEEN(MIN(E5:E21),MAX(E5:E21))</f>
        <v>3</v>
      </c>
      <c r="F22" s="97">
        <f t="shared" ca="1" si="3"/>
        <v>2</v>
      </c>
      <c r="G22" s="105">
        <f t="shared" ca="1" si="0"/>
        <v>31.052344218976902</v>
      </c>
      <c r="H22" s="106">
        <f t="shared" ca="1" si="1"/>
        <v>34.430117553839779</v>
      </c>
    </row>
    <row r="23" spans="2:32" ht="15" thickBot="1" x14ac:dyDescent="0.35">
      <c r="C23" s="64" t="s">
        <v>19</v>
      </c>
      <c r="D23" s="66"/>
      <c r="E23" s="66"/>
      <c r="F23" s="66"/>
      <c r="G23" s="66"/>
      <c r="H23" s="65"/>
      <c r="J23" s="64" t="s">
        <v>20</v>
      </c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5"/>
    </row>
    <row r="24" spans="2:32" x14ac:dyDescent="0.3">
      <c r="B24" s="7"/>
      <c r="C24" s="22">
        <f t="shared" ref="C24:C40" si="4">EXP($J$21*SUMXMY2($C5:$F5,$K$4:$N$4))</f>
        <v>4.7929325294480449E-2</v>
      </c>
      <c r="D24" s="18">
        <f t="shared" ref="D24:D40" si="5">EXP($J$21*SUMXMY2($C5:$F5,$K$5:$N$5))</f>
        <v>1.0266981393318331E-3</v>
      </c>
      <c r="E24" s="18">
        <f t="shared" ref="E24:E40" si="6">EXP($J$21*SUMXMY2($C5:$F5,$K$6:$N$6))</f>
        <v>0.68707044847258891</v>
      </c>
      <c r="F24" s="18">
        <f t="shared" ref="F24:F40" si="7">EXP($J$21*SUMXMY2($C5:$F5,$K$7:$N$7))</f>
        <v>0.7820770541272819</v>
      </c>
      <c r="G24" s="103">
        <f>EXP($J$21*SUMXMY2($C5:$F5,$K$8:$N$8))</f>
        <v>1.533785500826667E-2</v>
      </c>
      <c r="H24" s="23">
        <f>1</f>
        <v>1</v>
      </c>
      <c r="J24" s="50">
        <f t="array" ref="J24:Z29">TRANSPOSE(C24:H40)</f>
        <v>4.7929325294480449E-2</v>
      </c>
      <c r="K24" s="7">
        <v>0.94098433536989423</v>
      </c>
      <c r="L24" s="7">
        <v>0.94842672541422535</v>
      </c>
      <c r="M24" s="7">
        <v>0.67664261035337947</v>
      </c>
      <c r="N24" s="7">
        <v>0.24595300089498426</v>
      </c>
      <c r="O24" s="7">
        <v>0.58162947026207001</v>
      </c>
      <c r="P24" s="7">
        <v>0.31800289921624414</v>
      </c>
      <c r="Q24" s="7">
        <v>5.5922082837151062E-2</v>
      </c>
      <c r="R24" s="7">
        <v>0.47199041364528266</v>
      </c>
      <c r="S24" s="7">
        <v>0.98222448882204638</v>
      </c>
      <c r="T24" s="7">
        <v>0.43745452441353433</v>
      </c>
      <c r="U24" s="7">
        <v>0.16828315509165395</v>
      </c>
      <c r="V24" s="7">
        <v>0.51683089342129518</v>
      </c>
      <c r="W24" s="7">
        <v>0.37245728890953811</v>
      </c>
      <c r="X24" s="7">
        <v>0.83878727669955611</v>
      </c>
      <c r="Y24" s="7">
        <v>0.20024803549995648</v>
      </c>
      <c r="Z24" s="8">
        <v>0.39404536706686349</v>
      </c>
    </row>
    <row r="25" spans="2:32" x14ac:dyDescent="0.3">
      <c r="B25" s="7"/>
      <c r="C25" s="22">
        <f t="shared" si="4"/>
        <v>0.94098433536989423</v>
      </c>
      <c r="D25" s="18">
        <f t="shared" si="5"/>
        <v>0.62314641033790297</v>
      </c>
      <c r="E25" s="18">
        <f t="shared" si="6"/>
        <v>0.14251171800112361</v>
      </c>
      <c r="F25" s="18">
        <f t="shared" si="7"/>
        <v>7.8055804820171409E-2</v>
      </c>
      <c r="G25" s="103">
        <f t="shared" ref="G25:G40" si="8">EXP($J$21*SUMXMY2($C6:$F6,$K$8:$N$8))</f>
        <v>0.79514840927612296</v>
      </c>
      <c r="H25" s="23">
        <f>1</f>
        <v>1</v>
      </c>
      <c r="J25" s="50">
        <v>1.0266981393318331E-3</v>
      </c>
      <c r="K25" s="7">
        <v>0.62314641033790297</v>
      </c>
      <c r="L25" s="7">
        <v>0.27171615919708925</v>
      </c>
      <c r="M25" s="7">
        <v>0.46587274904123466</v>
      </c>
      <c r="N25" s="7">
        <v>1.2311637298217114E-2</v>
      </c>
      <c r="O25" s="7">
        <v>0.63677786410753934</v>
      </c>
      <c r="P25" s="7">
        <v>0.97190451469174532</v>
      </c>
      <c r="Q25" s="7">
        <v>1.0280585379432753E-3</v>
      </c>
      <c r="R25" s="7">
        <v>5.1453650437022012E-2</v>
      </c>
      <c r="S25" s="7">
        <v>0.38190057209036293</v>
      </c>
      <c r="T25" s="7">
        <v>0.77164801379994619</v>
      </c>
      <c r="U25" s="7">
        <v>1.1460902438856058E-2</v>
      </c>
      <c r="V25" s="7">
        <v>0.95092122091788533</v>
      </c>
      <c r="W25" s="7">
        <v>2.6386636779365279E-2</v>
      </c>
      <c r="X25" s="7">
        <v>0.48346108970445706</v>
      </c>
      <c r="Y25" s="7">
        <v>1.766053978804721E-2</v>
      </c>
      <c r="Z25" s="8">
        <v>0.92769733562902912</v>
      </c>
    </row>
    <row r="26" spans="2:32" x14ac:dyDescent="0.3">
      <c r="B26" s="7"/>
      <c r="C26" s="22">
        <f t="shared" si="4"/>
        <v>0.94842672541422535</v>
      </c>
      <c r="D26" s="18">
        <f t="shared" si="5"/>
        <v>0.27171615919708925</v>
      </c>
      <c r="E26" s="18">
        <f t="shared" si="6"/>
        <v>0.40247559201858824</v>
      </c>
      <c r="F26" s="18">
        <f t="shared" si="7"/>
        <v>0.22641052519686714</v>
      </c>
      <c r="G26" s="103">
        <f t="shared" si="8"/>
        <v>0.55008550101597176</v>
      </c>
      <c r="H26" s="23">
        <f>1</f>
        <v>1</v>
      </c>
      <c r="J26" s="50">
        <v>0.68707044847258891</v>
      </c>
      <c r="K26" s="7">
        <v>0.14251171800112361</v>
      </c>
      <c r="L26" s="7">
        <v>0.40247559201858824</v>
      </c>
      <c r="M26" s="7">
        <v>0.13179569594059568</v>
      </c>
      <c r="N26" s="7">
        <v>0.9960043981498361</v>
      </c>
      <c r="O26" s="7">
        <v>6.259799859343386E-2</v>
      </c>
      <c r="P26" s="7">
        <v>6.8916788099018071E-3</v>
      </c>
      <c r="Q26" s="7">
        <v>0.7217410840855798</v>
      </c>
      <c r="R26" s="7">
        <v>0.82327966682971809</v>
      </c>
      <c r="S26" s="7">
        <v>0.26098250132841772</v>
      </c>
      <c r="T26" s="7">
        <v>2.5765164838414491E-2</v>
      </c>
      <c r="U26" s="7">
        <v>0.66908762016647449</v>
      </c>
      <c r="V26" s="7">
        <v>1.9827757562090549E-2</v>
      </c>
      <c r="W26" s="7">
        <v>0.96683656103365245</v>
      </c>
      <c r="X26" s="7">
        <v>0.18280308860922914</v>
      </c>
      <c r="Y26" s="7">
        <v>0.59657152652943168</v>
      </c>
      <c r="Z26" s="8">
        <v>1.4320193780939485E-2</v>
      </c>
    </row>
    <row r="27" spans="2:32" x14ac:dyDescent="0.3">
      <c r="B27" s="7"/>
      <c r="C27" s="22">
        <f t="shared" si="4"/>
        <v>0.67664261035337947</v>
      </c>
      <c r="D27" s="18">
        <f t="shared" si="5"/>
        <v>0.46587274904123466</v>
      </c>
      <c r="E27" s="18">
        <f t="shared" si="6"/>
        <v>0.13179569594059568</v>
      </c>
      <c r="F27" s="18">
        <f t="shared" si="7"/>
        <v>0.12791037724285995</v>
      </c>
      <c r="G27" s="103">
        <f t="shared" si="8"/>
        <v>0.96484720397516222</v>
      </c>
      <c r="H27" s="23">
        <f>1</f>
        <v>1</v>
      </c>
      <c r="J27" s="50">
        <v>0.7820770541272819</v>
      </c>
      <c r="K27" s="7">
        <v>7.8055804820171409E-2</v>
      </c>
      <c r="L27" s="7">
        <v>0.22641052519686714</v>
      </c>
      <c r="M27" s="7">
        <v>0.12791037724285995</v>
      </c>
      <c r="N27" s="7">
        <v>0.72646586359010534</v>
      </c>
      <c r="O27" s="7">
        <v>5.711533861266202E-2</v>
      </c>
      <c r="P27" s="7">
        <v>3.20271328800511E-3</v>
      </c>
      <c r="Q27" s="7">
        <v>0.4740133965837261</v>
      </c>
      <c r="R27" s="7">
        <v>0.73222894854464449</v>
      </c>
      <c r="S27" s="7">
        <v>0.12166385025485214</v>
      </c>
      <c r="T27" s="7">
        <v>2.2541170283899455E-2</v>
      </c>
      <c r="U27" s="7">
        <v>0.96678077179741762</v>
      </c>
      <c r="V27" s="7">
        <v>8.4518637708800842E-3</v>
      </c>
      <c r="W27" s="7">
        <v>0.67459927064174852</v>
      </c>
      <c r="X27" s="7">
        <v>0.14530696800109991</v>
      </c>
      <c r="Y27" s="7">
        <v>0.90105053407723013</v>
      </c>
      <c r="Z27" s="8">
        <v>9.6928463277616631E-3</v>
      </c>
    </row>
    <row r="28" spans="2:32" x14ac:dyDescent="0.3">
      <c r="B28" s="7"/>
      <c r="C28" s="22">
        <f t="shared" si="4"/>
        <v>0.24595300089498426</v>
      </c>
      <c r="D28" s="18">
        <f t="shared" si="5"/>
        <v>1.2311637298217114E-2</v>
      </c>
      <c r="E28" s="18">
        <f t="shared" si="6"/>
        <v>0.9960043981498361</v>
      </c>
      <c r="F28" s="18">
        <f t="shared" si="7"/>
        <v>0.72646586359010534</v>
      </c>
      <c r="G28" s="103">
        <f t="shared" si="8"/>
        <v>7.8958704317352219E-2</v>
      </c>
      <c r="H28" s="23">
        <f>1</f>
        <v>1</v>
      </c>
      <c r="J28" s="50">
        <v>1.533785500826667E-2</v>
      </c>
      <c r="K28" s="7">
        <v>0.79514840927612296</v>
      </c>
      <c r="L28" s="7">
        <v>0.55008550101597176</v>
      </c>
      <c r="M28" s="7">
        <v>0.96484720397516222</v>
      </c>
      <c r="N28" s="7">
        <v>7.8958704317352219E-2</v>
      </c>
      <c r="O28" s="7">
        <v>0.9846843363157497</v>
      </c>
      <c r="P28" s="7">
        <v>0.47728366359655366</v>
      </c>
      <c r="Q28" s="7">
        <v>1.0172914148042377E-2</v>
      </c>
      <c r="R28" s="7">
        <v>0.26112429694061179</v>
      </c>
      <c r="S28" s="7">
        <v>0.56075252704163414</v>
      </c>
      <c r="T28" s="7">
        <v>0.88815311231355953</v>
      </c>
      <c r="U28" s="7">
        <v>0.11426102924177092</v>
      </c>
      <c r="V28" s="7">
        <v>0.56502789727901925</v>
      </c>
      <c r="W28" s="7">
        <v>0.1359263424662174</v>
      </c>
      <c r="X28" s="7">
        <v>0.92404703679050282</v>
      </c>
      <c r="Y28" s="7">
        <v>0.15993138203041196</v>
      </c>
      <c r="Z28" s="8">
        <v>0.7352678023189988</v>
      </c>
    </row>
    <row r="29" spans="2:32" ht="15" thickBot="1" x14ac:dyDescent="0.35">
      <c r="B29" s="7"/>
      <c r="C29" s="22">
        <f t="shared" si="4"/>
        <v>0.58162947026207001</v>
      </c>
      <c r="D29" s="18">
        <f t="shared" si="5"/>
        <v>0.63677786410753934</v>
      </c>
      <c r="E29" s="18">
        <f t="shared" si="6"/>
        <v>6.259799859343386E-2</v>
      </c>
      <c r="F29" s="18">
        <f t="shared" si="7"/>
        <v>5.711533861266202E-2</v>
      </c>
      <c r="G29" s="103">
        <f t="shared" si="8"/>
        <v>0.9846843363157497</v>
      </c>
      <c r="H29" s="23">
        <f>1</f>
        <v>1</v>
      </c>
      <c r="J29" s="59">
        <v>1</v>
      </c>
      <c r="K29" s="60">
        <v>1</v>
      </c>
      <c r="L29" s="60">
        <v>1</v>
      </c>
      <c r="M29" s="60">
        <v>1</v>
      </c>
      <c r="N29" s="60">
        <v>1</v>
      </c>
      <c r="O29" s="60">
        <v>1</v>
      </c>
      <c r="P29" s="60">
        <v>1</v>
      </c>
      <c r="Q29" s="60">
        <v>1</v>
      </c>
      <c r="R29" s="60">
        <v>1</v>
      </c>
      <c r="S29" s="60">
        <v>1</v>
      </c>
      <c r="T29" s="60">
        <v>1</v>
      </c>
      <c r="U29" s="60">
        <v>1</v>
      </c>
      <c r="V29" s="60">
        <v>1</v>
      </c>
      <c r="W29" s="60">
        <v>1</v>
      </c>
      <c r="X29" s="60">
        <v>1</v>
      </c>
      <c r="Y29" s="60">
        <v>1</v>
      </c>
      <c r="Z29" s="61">
        <v>1</v>
      </c>
    </row>
    <row r="30" spans="2:32" ht="15" thickBot="1" x14ac:dyDescent="0.35">
      <c r="B30" s="7"/>
      <c r="C30" s="22">
        <f t="shared" si="4"/>
        <v>0.31800289921624414</v>
      </c>
      <c r="D30" s="18">
        <f t="shared" si="5"/>
        <v>0.97190451469174532</v>
      </c>
      <c r="E30" s="18">
        <f t="shared" si="6"/>
        <v>6.8916788099018071E-3</v>
      </c>
      <c r="F30" s="18">
        <f t="shared" si="7"/>
        <v>3.20271328800511E-3</v>
      </c>
      <c r="G30" s="103">
        <f t="shared" si="8"/>
        <v>0.47728366359655366</v>
      </c>
      <c r="H30" s="23">
        <f>1</f>
        <v>1</v>
      </c>
    </row>
    <row r="31" spans="2:32" ht="15" thickBot="1" x14ac:dyDescent="0.35">
      <c r="B31" s="7"/>
      <c r="C31" s="22">
        <f t="shared" si="4"/>
        <v>5.5922082837151062E-2</v>
      </c>
      <c r="D31" s="18">
        <f t="shared" si="5"/>
        <v>1.0280585379432753E-3</v>
      </c>
      <c r="E31" s="18">
        <f t="shared" si="6"/>
        <v>0.7217410840855798</v>
      </c>
      <c r="F31" s="18">
        <f t="shared" si="7"/>
        <v>0.4740133965837261</v>
      </c>
      <c r="G31" s="103">
        <f t="shared" si="8"/>
        <v>1.0172914148042377E-2</v>
      </c>
      <c r="H31" s="23">
        <f>1</f>
        <v>1</v>
      </c>
      <c r="J31" s="85" t="s">
        <v>21</v>
      </c>
      <c r="K31" s="86"/>
      <c r="L31" s="86"/>
      <c r="M31" s="86"/>
      <c r="N31" s="86"/>
      <c r="O31" s="87"/>
      <c r="V31" s="64" t="s">
        <v>22</v>
      </c>
      <c r="W31" s="66"/>
      <c r="X31" s="66"/>
      <c r="Y31" s="66"/>
      <c r="Z31" s="66"/>
      <c r="AA31" s="65"/>
    </row>
    <row r="32" spans="2:32" x14ac:dyDescent="0.3">
      <c r="B32" s="7"/>
      <c r="C32" s="22">
        <f t="shared" si="4"/>
        <v>0.47199041364528266</v>
      </c>
      <c r="D32" s="18">
        <f t="shared" si="5"/>
        <v>5.1453650437022012E-2</v>
      </c>
      <c r="E32" s="18">
        <f t="shared" si="6"/>
        <v>0.82327966682971809</v>
      </c>
      <c r="F32" s="18">
        <f t="shared" si="7"/>
        <v>0.73222894854464449</v>
      </c>
      <c r="G32" s="103">
        <f t="shared" si="8"/>
        <v>0.26112429694061179</v>
      </c>
      <c r="H32" s="23">
        <f>1</f>
        <v>1</v>
      </c>
      <c r="J32" s="29">
        <f t="array" ref="J32:O37">MMULT(J24:Z29,C24:H40)</f>
        <v>5.4601453631161121</v>
      </c>
      <c r="K32" s="6">
        <v>3.8566682517702038</v>
      </c>
      <c r="L32" s="6">
        <v>2.3794429459645485</v>
      </c>
      <c r="M32" s="6">
        <v>1.8510620007576319</v>
      </c>
      <c r="N32" s="6">
        <v>5.1892900667154969</v>
      </c>
      <c r="O32" s="4">
        <v>8.1978118932121546</v>
      </c>
      <c r="V32" s="29">
        <f t="array" ref="V32:AA37">MINVERSE(J32:O37)</f>
        <v>1.8369212630520888</v>
      </c>
      <c r="W32" s="6">
        <v>1.1309114796554218</v>
      </c>
      <c r="X32" s="6">
        <v>-0.25651048588257519</v>
      </c>
      <c r="Y32" s="6">
        <v>1.3234052943004548</v>
      </c>
      <c r="Z32" s="6">
        <v>-1.0862168588165866</v>
      </c>
      <c r="AA32" s="16">
        <v>-1.1703203819402968</v>
      </c>
    </row>
    <row r="33" spans="2:27" x14ac:dyDescent="0.3">
      <c r="B33" s="7"/>
      <c r="C33" s="22">
        <f t="shared" si="4"/>
        <v>0.98222448882204638</v>
      </c>
      <c r="D33" s="18">
        <f t="shared" si="5"/>
        <v>0.38190057209036293</v>
      </c>
      <c r="E33" s="18">
        <f t="shared" si="6"/>
        <v>0.26098250132841772</v>
      </c>
      <c r="F33" s="18">
        <f t="shared" si="7"/>
        <v>0.12166385025485214</v>
      </c>
      <c r="G33" s="103">
        <f t="shared" si="8"/>
        <v>0.56075252704163414</v>
      </c>
      <c r="H33" s="23">
        <f>1</f>
        <v>1</v>
      </c>
      <c r="J33" s="29">
        <v>3.8566682517702038</v>
      </c>
      <c r="K33" s="6">
        <v>4.7731004835488848</v>
      </c>
      <c r="L33" s="6">
        <v>0.64597879400980374</v>
      </c>
      <c r="M33" s="6">
        <v>0.45307249150781786</v>
      </c>
      <c r="N33" s="6">
        <v>4.7731481971537804</v>
      </c>
      <c r="O33" s="4">
        <v>6.6063740529359753</v>
      </c>
      <c r="V33" s="29">
        <v>1.1309114796554123</v>
      </c>
      <c r="W33" s="6">
        <v>4.8686264883544821</v>
      </c>
      <c r="X33" s="6">
        <v>3.0745251150411184</v>
      </c>
      <c r="Y33" s="6">
        <v>2.7860009327678052</v>
      </c>
      <c r="Z33" s="6">
        <v>0.525718730228936</v>
      </c>
      <c r="AA33" s="16">
        <v>-4.8979463477207279</v>
      </c>
    </row>
    <row r="34" spans="2:27" x14ac:dyDescent="0.3">
      <c r="B34" s="7"/>
      <c r="C34" s="22">
        <f t="shared" si="4"/>
        <v>0.43745452441353433</v>
      </c>
      <c r="D34" s="18">
        <f t="shared" si="5"/>
        <v>0.77164801379994619</v>
      </c>
      <c r="E34" s="18">
        <f t="shared" si="6"/>
        <v>2.5765164838414491E-2</v>
      </c>
      <c r="F34" s="18">
        <f t="shared" si="7"/>
        <v>2.2541170283899455E-2</v>
      </c>
      <c r="G34" s="103">
        <f t="shared" si="8"/>
        <v>0.88815311231355953</v>
      </c>
      <c r="H34" s="23">
        <f>1</f>
        <v>1</v>
      </c>
      <c r="J34" s="29">
        <v>2.3794429459645485</v>
      </c>
      <c r="K34" s="6">
        <v>0.64597879400980374</v>
      </c>
      <c r="L34" s="6">
        <v>4.7075621189627519</v>
      </c>
      <c r="M34" s="6">
        <v>4.2243846049817195</v>
      </c>
      <c r="N34" s="6">
        <v>1.5014679353996914</v>
      </c>
      <c r="O34" s="4">
        <v>6.7105626947500161</v>
      </c>
      <c r="V34" s="29">
        <v>-0.25651048588258329</v>
      </c>
      <c r="W34" s="6">
        <v>3.0745251150411081</v>
      </c>
      <c r="X34" s="6">
        <v>5.4080920553966481</v>
      </c>
      <c r="Y34" s="6">
        <v>-0.36552671663379266</v>
      </c>
      <c r="Z34" s="6">
        <v>2.0940108423950856</v>
      </c>
      <c r="AA34" s="16">
        <v>-4.0882741441128481</v>
      </c>
    </row>
    <row r="35" spans="2:27" x14ac:dyDescent="0.3">
      <c r="B35" s="7"/>
      <c r="C35" s="22">
        <f t="shared" si="4"/>
        <v>0.16828315509165395</v>
      </c>
      <c r="D35" s="18">
        <f t="shared" si="5"/>
        <v>1.1460902438856058E-2</v>
      </c>
      <c r="E35" s="18">
        <f t="shared" si="6"/>
        <v>0.66908762016647449</v>
      </c>
      <c r="F35" s="18">
        <f t="shared" si="7"/>
        <v>0.96678077179741762</v>
      </c>
      <c r="G35" s="103">
        <f t="shared" si="8"/>
        <v>0.11426102924177092</v>
      </c>
      <c r="H35" s="23">
        <f>1</f>
        <v>1</v>
      </c>
      <c r="J35" s="29">
        <v>1.8510620007576319</v>
      </c>
      <c r="K35" s="6">
        <v>0.45307249150781786</v>
      </c>
      <c r="L35" s="6">
        <v>4.2243846049817195</v>
      </c>
      <c r="M35" s="6">
        <v>4.2154640199173237</v>
      </c>
      <c r="N35" s="6">
        <v>1.2138589094339478</v>
      </c>
      <c r="O35" s="4">
        <v>6.0575672971612136</v>
      </c>
      <c r="V35" s="29">
        <v>1.3234052943004446</v>
      </c>
      <c r="W35" s="6">
        <v>2.786000932767803</v>
      </c>
      <c r="X35" s="6">
        <v>-0.36552671663378811</v>
      </c>
      <c r="Y35" s="6">
        <v>4.5362093188433352</v>
      </c>
      <c r="Z35" s="6">
        <v>0.55298251509329022</v>
      </c>
      <c r="AA35" s="16">
        <v>-3.4603511766685751</v>
      </c>
    </row>
    <row r="36" spans="2:27" x14ac:dyDescent="0.3">
      <c r="B36" s="7"/>
      <c r="C36" s="22">
        <f t="shared" si="4"/>
        <v>0.51683089342129518</v>
      </c>
      <c r="D36" s="18">
        <f t="shared" si="5"/>
        <v>0.95092122091788533</v>
      </c>
      <c r="E36" s="18">
        <f t="shared" si="6"/>
        <v>1.9827757562090549E-2</v>
      </c>
      <c r="F36" s="18">
        <f t="shared" si="7"/>
        <v>8.4518637708800842E-3</v>
      </c>
      <c r="G36" s="103">
        <f t="shared" si="8"/>
        <v>0.56502789727901925</v>
      </c>
      <c r="H36" s="23">
        <f>1</f>
        <v>1</v>
      </c>
      <c r="J36" s="29">
        <v>5.1892900667154969</v>
      </c>
      <c r="K36" s="6">
        <v>4.7731481971537804</v>
      </c>
      <c r="L36" s="6">
        <v>1.5014679353996914</v>
      </c>
      <c r="M36" s="6">
        <v>1.2138589094339478</v>
      </c>
      <c r="N36" s="6">
        <v>6.0120543692269894</v>
      </c>
      <c r="O36" s="4">
        <v>8.221010014075949</v>
      </c>
      <c r="V36" s="29">
        <v>-1.0862168588165964</v>
      </c>
      <c r="W36" s="6">
        <v>0.52571873022891791</v>
      </c>
      <c r="X36" s="6">
        <v>2.0940108423950767</v>
      </c>
      <c r="Y36" s="6">
        <v>0.55298251509327589</v>
      </c>
      <c r="Z36" s="6">
        <v>2.9957238926857728</v>
      </c>
      <c r="AA36" s="16">
        <v>-2.1528287680351936</v>
      </c>
    </row>
    <row r="37" spans="2:27" ht="15" thickBot="1" x14ac:dyDescent="0.35">
      <c r="B37" s="7"/>
      <c r="C37" s="22">
        <f t="shared" si="4"/>
        <v>0.37245728890953811</v>
      </c>
      <c r="D37" s="18">
        <f t="shared" si="5"/>
        <v>2.6386636779365279E-2</v>
      </c>
      <c r="E37" s="18">
        <f t="shared" si="6"/>
        <v>0.96683656103365245</v>
      </c>
      <c r="F37" s="18">
        <f t="shared" si="7"/>
        <v>0.67459927064174852</v>
      </c>
      <c r="G37" s="103">
        <f t="shared" si="8"/>
        <v>0.1359263424662174</v>
      </c>
      <c r="H37" s="23">
        <f>1</f>
        <v>1</v>
      </c>
      <c r="J37" s="62">
        <v>8.1978118932121546</v>
      </c>
      <c r="K37" s="9">
        <v>6.6063740529359753</v>
      </c>
      <c r="L37" s="9">
        <v>6.7105626947500161</v>
      </c>
      <c r="M37" s="9">
        <v>6.0575672971612136</v>
      </c>
      <c r="N37" s="9">
        <v>8.221010014075949</v>
      </c>
      <c r="O37" s="17">
        <v>17</v>
      </c>
      <c r="V37" s="62">
        <v>-1.1703203819402832</v>
      </c>
      <c r="W37" s="9">
        <v>-4.8979463477207172</v>
      </c>
      <c r="X37" s="9">
        <v>-4.0882741441128534</v>
      </c>
      <c r="Y37" s="9">
        <v>-3.4603511766685715</v>
      </c>
      <c r="Z37" s="9">
        <v>-2.1528287680352141</v>
      </c>
      <c r="AA37" s="17">
        <v>6.4144758207457189</v>
      </c>
    </row>
    <row r="38" spans="2:27" ht="15" thickBot="1" x14ac:dyDescent="0.35">
      <c r="B38" s="7"/>
      <c r="C38" s="22">
        <f t="shared" si="4"/>
        <v>0.83878727669955611</v>
      </c>
      <c r="D38" s="18">
        <f t="shared" si="5"/>
        <v>0.48346108970445706</v>
      </c>
      <c r="E38" s="18">
        <f t="shared" si="6"/>
        <v>0.18280308860922914</v>
      </c>
      <c r="F38" s="18">
        <f t="shared" si="7"/>
        <v>0.14530696800109991</v>
      </c>
      <c r="G38" s="103">
        <f t="shared" si="8"/>
        <v>0.92404703679050282</v>
      </c>
      <c r="H38" s="23">
        <f>1</f>
        <v>1</v>
      </c>
    </row>
    <row r="39" spans="2:27" ht="15" thickBot="1" x14ac:dyDescent="0.35">
      <c r="B39" s="7"/>
      <c r="C39" s="22">
        <f t="shared" si="4"/>
        <v>0.20024803549995648</v>
      </c>
      <c r="D39" s="18">
        <f t="shared" si="5"/>
        <v>1.766053978804721E-2</v>
      </c>
      <c r="E39" s="18">
        <f t="shared" si="6"/>
        <v>0.59657152652943168</v>
      </c>
      <c r="F39" s="18">
        <f t="shared" si="7"/>
        <v>0.90105053407723013</v>
      </c>
      <c r="G39" s="103">
        <f t="shared" si="8"/>
        <v>0.15993138203041196</v>
      </c>
      <c r="H39" s="23">
        <f>1</f>
        <v>1</v>
      </c>
      <c r="J39" s="64" t="s">
        <v>23</v>
      </c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5"/>
    </row>
    <row r="40" spans="2:27" ht="15" thickBot="1" x14ac:dyDescent="0.35">
      <c r="B40" s="7"/>
      <c r="C40" s="24">
        <f t="shared" si="4"/>
        <v>0.39404536706686349</v>
      </c>
      <c r="D40" s="19">
        <f t="shared" si="5"/>
        <v>0.92769733562902912</v>
      </c>
      <c r="E40" s="19">
        <f t="shared" si="6"/>
        <v>1.4320193780939485E-2</v>
      </c>
      <c r="F40" s="19">
        <f t="shared" si="7"/>
        <v>9.6928463277616631E-3</v>
      </c>
      <c r="G40" s="104">
        <f t="shared" si="8"/>
        <v>0.7352678023189988</v>
      </c>
      <c r="H40" s="25">
        <f>1</f>
        <v>1</v>
      </c>
      <c r="J40" s="26">
        <f t="array" ref="J40:Z45">MMULT(V32:AA37,J24:Z29)</f>
        <v>-0.23901297774959218</v>
      </c>
      <c r="K40" s="15">
        <v>0.46595728876135545</v>
      </c>
      <c r="L40" s="15">
        <v>0.47803329313602538</v>
      </c>
      <c r="M40" s="15">
        <v>-0.31308335024939504</v>
      </c>
      <c r="N40" s="15">
        <v>-8.444379081764386E-2</v>
      </c>
      <c r="O40" s="15">
        <v>-0.39182447253600849</v>
      </c>
      <c r="P40" s="15">
        <v>-2.9989838588644346E-3</v>
      </c>
      <c r="Q40" s="15">
        <v>-0.63530558410311766</v>
      </c>
      <c r="R40" s="15">
        <v>0.22909655499566051</v>
      </c>
      <c r="S40" s="15">
        <v>0.55081139456437356</v>
      </c>
      <c r="T40" s="15">
        <v>-0.43559008203058736</v>
      </c>
      <c r="U40" s="15">
        <v>0.13546633500588556</v>
      </c>
      <c r="V40" s="15">
        <v>0.24682138638019269</v>
      </c>
      <c r="W40" s="15">
        <v>4.0814327594303812E-2</v>
      </c>
      <c r="X40" s="15">
        <v>5.891113009022253E-2</v>
      </c>
      <c r="Y40" s="15">
        <v>8.3200031218211734E-2</v>
      </c>
      <c r="Z40" s="4">
        <v>-0.186852500400991</v>
      </c>
    </row>
    <row r="41" spans="2:27" x14ac:dyDescent="0.3">
      <c r="B41" s="7"/>
      <c r="J41" s="26">
        <v>-0.53939776419054031</v>
      </c>
      <c r="K41" s="15">
        <v>0.27373457210638286</v>
      </c>
      <c r="L41" s="15">
        <v>-0.34508368500631903</v>
      </c>
      <c r="M41" s="15">
        <v>-0.5957571913916766</v>
      </c>
      <c r="N41" s="15">
        <v>0.56783066807554849</v>
      </c>
      <c r="O41" s="15">
        <v>-0.27069182206241482</v>
      </c>
      <c r="P41" s="15">
        <v>0.47455520932476958</v>
      </c>
      <c r="Q41" s="15">
        <v>-1.2847372431310911</v>
      </c>
      <c r="R41" s="15">
        <v>0.59480411463340932</v>
      </c>
      <c r="S41" s="15">
        <v>-0.49165519481272746</v>
      </c>
      <c r="T41" s="15">
        <v>-3.74239502818563E-2</v>
      </c>
      <c r="U41" s="15">
        <v>0.1588138449814549</v>
      </c>
      <c r="V41" s="15">
        <v>0.69777747483952357</v>
      </c>
      <c r="W41" s="15">
        <v>0.57519306520735292</v>
      </c>
      <c r="X41" s="15">
        <v>-0.14291384981025512</v>
      </c>
      <c r="Y41" s="15">
        <v>-0.15692028105662192</v>
      </c>
      <c r="Z41" s="4">
        <v>0.52187203257502457</v>
      </c>
    </row>
    <row r="42" spans="2:27" x14ac:dyDescent="0.3">
      <c r="J42" s="26">
        <v>-0.63542409859817806</v>
      </c>
      <c r="K42" s="15">
        <v>-6.5328060447988889E-3</v>
      </c>
      <c r="L42" s="15">
        <v>-0.25040642948689573</v>
      </c>
      <c r="M42" s="15">
        <v>-0.14309349920952563</v>
      </c>
      <c r="N42" s="15">
        <v>1.172769944055573</v>
      </c>
      <c r="O42" s="15">
        <v>9.9919567033618151E-2</v>
      </c>
      <c r="P42" s="15">
        <v>-0.14616305984434286</v>
      </c>
      <c r="Q42" s="15">
        <v>-0.34817809803067057</v>
      </c>
      <c r="R42" s="15">
        <v>0.68037099725234373</v>
      </c>
      <c r="S42" s="15">
        <v>-0.62489424880527</v>
      </c>
      <c r="T42" s="15">
        <v>0.16286861187501511</v>
      </c>
      <c r="U42" s="15">
        <v>-0.59183662973970641</v>
      </c>
      <c r="V42" s="15">
        <v>-9.9000122736514484E-3</v>
      </c>
      <c r="W42" s="15">
        <v>1.1641013362613322</v>
      </c>
      <c r="X42" s="15">
        <v>5.3448252644766825E-2</v>
      </c>
      <c r="Y42" s="15">
        <v>-0.85348835400423217</v>
      </c>
      <c r="Z42" s="4">
        <v>0.27643852691462634</v>
      </c>
    </row>
    <row r="43" spans="2:27" x14ac:dyDescent="0.3">
      <c r="J43" s="26">
        <v>-8.9056690349724299E-2</v>
      </c>
      <c r="K43" s="15">
        <v>0.26272775115226032</v>
      </c>
      <c r="L43" s="15">
        <v>-0.26407913755356738</v>
      </c>
      <c r="M43" s="15">
        <v>-0.20135981964054839</v>
      </c>
      <c r="N43" s="15">
        <v>-0.12555765440593714</v>
      </c>
      <c r="O43" s="15">
        <v>-0.13583682179429868</v>
      </c>
      <c r="P43" s="15">
        <v>-5.5838965906749305E-2</v>
      </c>
      <c r="Q43" s="15">
        <v>-1.4914456423623521</v>
      </c>
      <c r="R43" s="15">
        <v>0.4726435906221349</v>
      </c>
      <c r="S43" s="15">
        <v>-0.32991178067025118</v>
      </c>
      <c r="T43" s="15">
        <v>-0.14764270440131666</v>
      </c>
      <c r="U43" s="15">
        <v>0.99842062329980941</v>
      </c>
      <c r="V43" s="15">
        <v>0.21643536822352649</v>
      </c>
      <c r="W43" s="15">
        <v>-0.11204223892670173</v>
      </c>
      <c r="X43" s="15">
        <v>9.9932657019552451E-2</v>
      </c>
      <c r="Y43" s="15">
        <v>0.81159066998592166</v>
      </c>
      <c r="Z43" s="4">
        <v>9.1020795708233404E-2</v>
      </c>
    </row>
    <row r="44" spans="2:27" x14ac:dyDescent="0.3">
      <c r="J44" s="26">
        <v>-0.28719477106991698</v>
      </c>
      <c r="K44" s="15">
        <v>-0.12371241157739465</v>
      </c>
      <c r="L44" s="15">
        <v>-0.42428599876974715</v>
      </c>
      <c r="M44" s="15">
        <v>0.59423829141386486</v>
      </c>
      <c r="N44" s="15">
        <v>0.31039080047900702</v>
      </c>
      <c r="O44" s="15">
        <v>0.66266861035591829</v>
      </c>
      <c r="P44" s="15">
        <v>-0.54128810172477881</v>
      </c>
      <c r="Q44" s="15">
        <v>-0.40910178988438917</v>
      </c>
      <c r="R44" s="15">
        <v>0.27266008479779869</v>
      </c>
      <c r="S44" s="15">
        <v>-0.72532737059366847</v>
      </c>
      <c r="T44" s="15">
        <v>0.50474947306523665</v>
      </c>
      <c r="U44" s="15">
        <v>-5.1611467897451746E-2</v>
      </c>
      <c r="V44" s="15">
        <v>-0.47544125670455895</v>
      </c>
      <c r="W44" s="15">
        <v>0.26127942950423977</v>
      </c>
      <c r="X44" s="15">
        <v>0.42156454952306222</v>
      </c>
      <c r="Y44" s="15">
        <v>-0.13445438587188185</v>
      </c>
      <c r="Z44" s="4">
        <v>0.1448663149546574</v>
      </c>
    </row>
    <row r="45" spans="2:27" ht="15" thickBot="1" x14ac:dyDescent="0.35">
      <c r="J45" s="27">
        <v>0.80514106238810346</v>
      </c>
      <c r="K45" s="28">
        <v>-0.30346084897347048</v>
      </c>
      <c r="L45" s="28">
        <v>0.36053114843300182</v>
      </c>
      <c r="M45" s="28">
        <v>0.28218487499493783</v>
      </c>
      <c r="N45" s="28">
        <v>-0.68942033254373403</v>
      </c>
      <c r="O45" s="28">
        <v>4.1465508194861833E-2</v>
      </c>
      <c r="P45" s="28">
        <v>0.21520679172250112</v>
      </c>
      <c r="Q45" s="28">
        <v>1.7311649221708079</v>
      </c>
      <c r="R45" s="28">
        <v>-0.85163957710644222</v>
      </c>
      <c r="S45" s="28">
        <v>0.699258137976007</v>
      </c>
      <c r="T45" s="28">
        <v>2.7646310783459249E-2</v>
      </c>
      <c r="U45" s="28">
        <v>-0.16540330059658004</v>
      </c>
      <c r="V45" s="28">
        <v>-0.17465906613266924</v>
      </c>
      <c r="W45" s="28">
        <v>-0.73032830150634442</v>
      </c>
      <c r="X45" s="28">
        <v>-0.17461782601709785</v>
      </c>
      <c r="Y45" s="28">
        <v>0.19241698400007667</v>
      </c>
      <c r="Z45" s="5">
        <v>-0.26548648778742301</v>
      </c>
    </row>
    <row r="47" spans="2:27" ht="23.4" x14ac:dyDescent="0.45">
      <c r="K47" s="73" t="s">
        <v>32</v>
      </c>
      <c r="L47" s="73"/>
      <c r="M47" s="73"/>
      <c r="N47" s="73"/>
    </row>
    <row r="48" spans="2:27" x14ac:dyDescent="0.3">
      <c r="K48" s="95">
        <v>32.6</v>
      </c>
      <c r="L48" s="95">
        <v>0.83</v>
      </c>
      <c r="M48" s="95">
        <v>2</v>
      </c>
      <c r="N48" s="95">
        <v>13.333</v>
      </c>
    </row>
    <row r="49" spans="5:14" x14ac:dyDescent="0.3">
      <c r="K49" s="95">
        <v>18.332999999999998</v>
      </c>
      <c r="L49" s="95">
        <v>0.49</v>
      </c>
      <c r="M49" s="95">
        <v>2.3333300000000001</v>
      </c>
      <c r="N49" s="95">
        <v>11</v>
      </c>
    </row>
    <row r="50" spans="5:14" x14ac:dyDescent="0.3">
      <c r="K50" s="95">
        <v>50.75</v>
      </c>
      <c r="L50" s="95">
        <v>1.05</v>
      </c>
      <c r="M50" s="95">
        <v>1.75</v>
      </c>
      <c r="N50" s="95">
        <v>11.75</v>
      </c>
    </row>
    <row r="51" spans="5:14" x14ac:dyDescent="0.3">
      <c r="K51" s="95">
        <v>52.33</v>
      </c>
      <c r="L51" s="95">
        <v>0.97</v>
      </c>
      <c r="M51" s="95">
        <v>2.3332999999999999</v>
      </c>
      <c r="N51" s="95">
        <v>3.3332999999999999</v>
      </c>
    </row>
    <row r="52" spans="5:14" x14ac:dyDescent="0.3">
      <c r="E52" s="63"/>
      <c r="G52" s="63"/>
      <c r="H52" s="63"/>
      <c r="K52" s="95">
        <v>27.25</v>
      </c>
      <c r="L52" s="95">
        <v>0.55000000000000004</v>
      </c>
      <c r="M52" s="95">
        <v>2.25</v>
      </c>
      <c r="N52" s="95">
        <v>4.75</v>
      </c>
    </row>
    <row r="53" spans="5:14" x14ac:dyDescent="0.3">
      <c r="E53" s="63"/>
      <c r="F53" s="63"/>
      <c r="G53" s="63"/>
      <c r="H53" s="63"/>
    </row>
    <row r="54" spans="5:14" x14ac:dyDescent="0.3">
      <c r="E54" s="63"/>
      <c r="G54" s="63"/>
      <c r="H54" s="63"/>
    </row>
    <row r="55" spans="5:14" x14ac:dyDescent="0.3">
      <c r="E55" s="63"/>
      <c r="G55" s="63"/>
      <c r="H55" s="63"/>
    </row>
  </sheetData>
  <mergeCells count="19">
    <mergeCell ref="C23:H23"/>
    <mergeCell ref="J31:O31"/>
    <mergeCell ref="V31:AA31"/>
    <mergeCell ref="Z15:Z16"/>
    <mergeCell ref="J20:N20"/>
    <mergeCell ref="J21:N21"/>
    <mergeCell ref="K47:N47"/>
    <mergeCell ref="J23:Z23"/>
    <mergeCell ref="J2:N2"/>
    <mergeCell ref="J3:N3"/>
    <mergeCell ref="J17:N17"/>
    <mergeCell ref="J18:N18"/>
    <mergeCell ref="C3:F3"/>
    <mergeCell ref="G3:H3"/>
    <mergeCell ref="B2:H2"/>
    <mergeCell ref="B3:B4"/>
    <mergeCell ref="J39:Z39"/>
    <mergeCell ref="Z2:Z3"/>
    <mergeCell ref="Z17:Z21"/>
  </mergeCells>
  <dataValidations disablePrompts="1" count="1">
    <dataValidation type="whole" operator="lessThanOrEqual" allowBlank="1" showInputMessage="1" showErrorMessage="1" sqref="I4:I7" xr:uid="{F3125A21-9D55-45AC-B913-D2C740381735}">
      <formula1>17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Button 14">
              <controlPr defaultSize="0" print="0" autoFill="0" autoPict="0" macro="[0]!EstaPastaDeTrabalho.CalcularRBF">
                <anchor moveWithCells="1" sizeWithCells="1">
                  <from>
                    <xdr:col>15</xdr:col>
                    <xdr:colOff>198120</xdr:colOff>
                    <xdr:row>31</xdr:row>
                    <xdr:rowOff>53340</xdr:rowOff>
                  </from>
                  <to>
                    <xdr:col>20</xdr:col>
                    <xdr:colOff>220980</xdr:colOff>
                    <xdr:row>34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Solução Tradicional</vt:lpstr>
      <vt:lpstr>Solução RBF (Gaussiana)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igorm</dc:creator>
  <cp:lastModifiedBy>igorm</cp:lastModifiedBy>
  <dcterms:created xsi:type="dcterms:W3CDTF">2019-04-11T18:24:29Z</dcterms:created>
  <dcterms:modified xsi:type="dcterms:W3CDTF">2019-07-28T22:10:40Z</dcterms:modified>
</cp:coreProperties>
</file>