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2\"/>
    </mc:Choice>
  </mc:AlternateContent>
  <bookViews>
    <workbookView xWindow="360" yWindow="45" windowWidth="3585" windowHeight="4935" tabRatio="886" firstSheet="5" activeTab="9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Acerto'!$A$372:$X$782</definedName>
    <definedName name="_xlnm.Print_Titles" localSheetId="11">'Sem Outlayers'!$1:$1</definedName>
  </definedNames>
  <calcPr calcId="171027"/>
</workbook>
</file>

<file path=xl/calcChain.xml><?xml version="1.0" encoding="utf-8"?>
<calcChain xmlns="http://schemas.openxmlformats.org/spreadsheetml/2006/main">
  <c r="A75" i="12" l="1" a="1"/>
  <c r="A80" i="12" s="1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B3" i="4" s="1"/>
  <c r="B5" i="4" s="1"/>
  <c r="A127" i="12" l="1"/>
  <c r="A103" i="12"/>
  <c r="A87" i="12"/>
  <c r="A142" i="12"/>
  <c r="A126" i="12"/>
  <c r="A102" i="12"/>
  <c r="A86" i="12"/>
  <c r="A141" i="12"/>
  <c r="A133" i="12"/>
  <c r="A125" i="12"/>
  <c r="A117" i="12"/>
  <c r="A109" i="12"/>
  <c r="A101" i="12"/>
  <c r="A93" i="12"/>
  <c r="A85" i="12"/>
  <c r="A77" i="12"/>
  <c r="A135" i="12"/>
  <c r="A111" i="12"/>
  <c r="A79" i="12"/>
  <c r="A134" i="12"/>
  <c r="A110" i="12"/>
  <c r="A94" i="12"/>
  <c r="A140" i="12"/>
  <c r="A132" i="12"/>
  <c r="A124" i="12"/>
  <c r="A116" i="12"/>
  <c r="A108" i="12"/>
  <c r="A100" i="12"/>
  <c r="A92" i="12"/>
  <c r="A84" i="12"/>
  <c r="A76" i="12"/>
  <c r="A143" i="12"/>
  <c r="A119" i="12"/>
  <c r="A95" i="12"/>
  <c r="A118" i="12"/>
  <c r="A78" i="12"/>
  <c r="A139" i="12"/>
  <c r="A131" i="12"/>
  <c r="A123" i="12"/>
  <c r="A115" i="12"/>
  <c r="A107" i="12"/>
  <c r="A99" i="12"/>
  <c r="A91" i="12"/>
  <c r="A83" i="12"/>
  <c r="A75" i="12"/>
  <c r="A138" i="12"/>
  <c r="A130" i="12"/>
  <c r="A122" i="12"/>
  <c r="A114" i="12"/>
  <c r="A106" i="12"/>
  <c r="A98" i="12"/>
  <c r="A90" i="12"/>
  <c r="A82" i="12"/>
  <c r="A145" i="12"/>
  <c r="A137" i="12"/>
  <c r="A129" i="12"/>
  <c r="A121" i="12"/>
  <c r="A113" i="12"/>
  <c r="A105" i="12"/>
  <c r="A97" i="12"/>
  <c r="A89" i="12"/>
  <c r="A81" i="12"/>
  <c r="A144" i="12"/>
  <c r="A136" i="12"/>
  <c r="A128" i="12"/>
  <c r="A120" i="12"/>
  <c r="A112" i="12"/>
  <c r="A104" i="12"/>
  <c r="A96" i="12"/>
  <c r="A88" i="12"/>
  <c r="C16" i="10"/>
  <c r="C8" i="10"/>
  <c r="C15" i="10"/>
  <c r="C7" i="10"/>
  <c r="C14" i="10"/>
  <c r="C6" i="10"/>
  <c r="C13" i="10"/>
  <c r="C5" i="10"/>
  <c r="C12" i="10"/>
  <c r="C11" i="10"/>
  <c r="C10" i="10"/>
  <c r="C9" i="10"/>
  <c r="C4" i="10"/>
  <c r="C3" i="10"/>
  <c r="O72" i="5"/>
  <c r="G72" i="5"/>
  <c r="M71" i="5"/>
  <c r="E71" i="5"/>
  <c r="K70" i="5"/>
  <c r="C70" i="5"/>
  <c r="I69" i="5"/>
  <c r="O68" i="5"/>
  <c r="G68" i="5"/>
  <c r="M67" i="5"/>
  <c r="E67" i="5"/>
  <c r="K66" i="5"/>
  <c r="C66" i="5"/>
  <c r="I65" i="5"/>
  <c r="O64" i="5"/>
  <c r="G64" i="5"/>
  <c r="M63" i="5"/>
  <c r="E63" i="5"/>
  <c r="K62" i="5"/>
  <c r="M72" i="5"/>
  <c r="E72" i="5"/>
  <c r="K71" i="5"/>
  <c r="C71" i="5"/>
  <c r="I70" i="5"/>
  <c r="O69" i="5"/>
  <c r="G69" i="5"/>
  <c r="M68" i="5"/>
  <c r="E68" i="5"/>
  <c r="K67" i="5"/>
  <c r="C67" i="5"/>
  <c r="I66" i="5"/>
  <c r="O65" i="5"/>
  <c r="G65" i="5"/>
  <c r="M64" i="5"/>
  <c r="E64" i="5"/>
  <c r="K63" i="5"/>
  <c r="C63" i="5"/>
  <c r="I62" i="5"/>
  <c r="L72" i="5"/>
  <c r="D72" i="5"/>
  <c r="J71" i="5"/>
  <c r="B71" i="5"/>
  <c r="H70" i="5"/>
  <c r="N69" i="5"/>
  <c r="F69" i="5"/>
  <c r="L68" i="5"/>
  <c r="D68" i="5"/>
  <c r="J67" i="5"/>
  <c r="B67" i="5"/>
  <c r="H66" i="5"/>
  <c r="N65" i="5"/>
  <c r="F65" i="5"/>
  <c r="L64" i="5"/>
  <c r="D64" i="5"/>
  <c r="J63" i="5"/>
  <c r="B63" i="5"/>
  <c r="K72" i="5"/>
  <c r="C72" i="5"/>
  <c r="I71" i="5"/>
  <c r="O70" i="5"/>
  <c r="G70" i="5"/>
  <c r="M69" i="5"/>
  <c r="E69" i="5"/>
  <c r="K68" i="5"/>
  <c r="C68" i="5"/>
  <c r="I67" i="5"/>
  <c r="O66" i="5"/>
  <c r="G66" i="5"/>
  <c r="M65" i="5"/>
  <c r="E65" i="5"/>
  <c r="K64" i="5"/>
  <c r="C64" i="5"/>
  <c r="I63" i="5"/>
  <c r="O62" i="5"/>
  <c r="I72" i="5"/>
  <c r="O71" i="5"/>
  <c r="G71" i="5"/>
  <c r="M70" i="5"/>
  <c r="E70" i="5"/>
  <c r="K69" i="5"/>
  <c r="C69" i="5"/>
  <c r="I68" i="5"/>
  <c r="O67" i="5"/>
  <c r="G67" i="5"/>
  <c r="M66" i="5"/>
  <c r="E66" i="5"/>
  <c r="K65" i="5"/>
  <c r="C65" i="5"/>
  <c r="I64" i="5"/>
  <c r="O63" i="5"/>
  <c r="G63" i="5"/>
  <c r="M62" i="5"/>
  <c r="H72" i="5"/>
  <c r="N71" i="5"/>
  <c r="F71" i="5"/>
  <c r="L70" i="5"/>
  <c r="D70" i="5"/>
  <c r="J69" i="5"/>
  <c r="B69" i="5"/>
  <c r="H68" i="5"/>
  <c r="N67" i="5"/>
  <c r="F67" i="5"/>
  <c r="L66" i="5"/>
  <c r="D66" i="5"/>
  <c r="D71" i="5"/>
  <c r="N68" i="5"/>
  <c r="J66" i="5"/>
  <c r="N64" i="5"/>
  <c r="F63" i="5"/>
  <c r="E62" i="5"/>
  <c r="K61" i="5"/>
  <c r="C61" i="5"/>
  <c r="I60" i="5"/>
  <c r="O59" i="5"/>
  <c r="G59" i="5"/>
  <c r="M58" i="5"/>
  <c r="E58" i="5"/>
  <c r="K57" i="5"/>
  <c r="C57" i="5"/>
  <c r="I56" i="5"/>
  <c r="O55" i="5"/>
  <c r="G55" i="5"/>
  <c r="M54" i="5"/>
  <c r="E54" i="5"/>
  <c r="K53" i="5"/>
  <c r="C53" i="5"/>
  <c r="I52" i="5"/>
  <c r="O51" i="5"/>
  <c r="G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O39" i="5"/>
  <c r="G39" i="5"/>
  <c r="M38" i="5"/>
  <c r="E38" i="5"/>
  <c r="K37" i="5"/>
  <c r="C37" i="5"/>
  <c r="I36" i="5"/>
  <c r="O35" i="5"/>
  <c r="G35" i="5"/>
  <c r="M34" i="5"/>
  <c r="E34" i="5"/>
  <c r="K33" i="5"/>
  <c r="C33" i="5"/>
  <c r="I32" i="5"/>
  <c r="O31" i="5"/>
  <c r="G31" i="5"/>
  <c r="M30" i="5"/>
  <c r="E30" i="5"/>
  <c r="K29" i="5"/>
  <c r="C29" i="5"/>
  <c r="I28" i="5"/>
  <c r="O27" i="5"/>
  <c r="G27" i="5"/>
  <c r="M26" i="5"/>
  <c r="E26" i="5"/>
  <c r="K25" i="5"/>
  <c r="C25" i="5"/>
  <c r="I24" i="5"/>
  <c r="O23" i="5"/>
  <c r="G23" i="5"/>
  <c r="M22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N70" i="5"/>
  <c r="J68" i="5"/>
  <c r="F66" i="5"/>
  <c r="J64" i="5"/>
  <c r="D63" i="5"/>
  <c r="D62" i="5"/>
  <c r="J61" i="5"/>
  <c r="B61" i="5"/>
  <c r="H60" i="5"/>
  <c r="N59" i="5"/>
  <c r="F59" i="5"/>
  <c r="L58" i="5"/>
  <c r="D58" i="5"/>
  <c r="J57" i="5"/>
  <c r="B57" i="5"/>
  <c r="H56" i="5"/>
  <c r="N55" i="5"/>
  <c r="F55" i="5"/>
  <c r="L54" i="5"/>
  <c r="D54" i="5"/>
  <c r="J53" i="5"/>
  <c r="B53" i="5"/>
  <c r="H52" i="5"/>
  <c r="N51" i="5"/>
  <c r="F51" i="5"/>
  <c r="L50" i="5"/>
  <c r="D50" i="5"/>
  <c r="J49" i="5"/>
  <c r="B49" i="5"/>
  <c r="H48" i="5"/>
  <c r="N47" i="5"/>
  <c r="F47" i="5"/>
  <c r="L46" i="5"/>
  <c r="D46" i="5"/>
  <c r="J45" i="5"/>
  <c r="B45" i="5"/>
  <c r="H44" i="5"/>
  <c r="N43" i="5"/>
  <c r="F43" i="5"/>
  <c r="L42" i="5"/>
  <c r="D42" i="5"/>
  <c r="J41" i="5"/>
  <c r="B41" i="5"/>
  <c r="H40" i="5"/>
  <c r="N39" i="5"/>
  <c r="F39" i="5"/>
  <c r="L38" i="5"/>
  <c r="D38" i="5"/>
  <c r="J37" i="5"/>
  <c r="B37" i="5"/>
  <c r="H36" i="5"/>
  <c r="N35" i="5"/>
  <c r="F35" i="5"/>
  <c r="L34" i="5"/>
  <c r="D34" i="5"/>
  <c r="J33" i="5"/>
  <c r="B33" i="5"/>
  <c r="H32" i="5"/>
  <c r="N31" i="5"/>
  <c r="F31" i="5"/>
  <c r="L30" i="5"/>
  <c r="D30" i="5"/>
  <c r="J29" i="5"/>
  <c r="B29" i="5"/>
  <c r="H28" i="5"/>
  <c r="N27" i="5"/>
  <c r="F27" i="5"/>
  <c r="L26" i="5"/>
  <c r="D26" i="5"/>
  <c r="J25" i="5"/>
  <c r="B25" i="5"/>
  <c r="H24" i="5"/>
  <c r="N23" i="5"/>
  <c r="F23" i="5"/>
  <c r="L22" i="5"/>
  <c r="D22" i="5"/>
  <c r="J21" i="5"/>
  <c r="B21" i="5"/>
  <c r="H20" i="5"/>
  <c r="N19" i="5"/>
  <c r="F19" i="5"/>
  <c r="L18" i="5"/>
  <c r="D18" i="5"/>
  <c r="J17" i="5"/>
  <c r="B17" i="5"/>
  <c r="H16" i="5"/>
  <c r="N15" i="5"/>
  <c r="F15" i="5"/>
  <c r="L14" i="5"/>
  <c r="D14" i="5"/>
  <c r="J13" i="5"/>
  <c r="B13" i="5"/>
  <c r="H12" i="5"/>
  <c r="N11" i="5"/>
  <c r="F11" i="5"/>
  <c r="L10" i="5"/>
  <c r="D10" i="5"/>
  <c r="J9" i="5"/>
  <c r="B9" i="5"/>
  <c r="H8" i="5"/>
  <c r="N7" i="5"/>
  <c r="F7" i="5"/>
  <c r="L6" i="5"/>
  <c r="D6" i="5"/>
  <c r="J5" i="5"/>
  <c r="B5" i="5"/>
  <c r="H4" i="5"/>
  <c r="N3" i="5"/>
  <c r="F3" i="5"/>
  <c r="L2" i="5"/>
  <c r="D2" i="5"/>
  <c r="N72" i="5"/>
  <c r="J70" i="5"/>
  <c r="F68" i="5"/>
  <c r="B66" i="5"/>
  <c r="H64" i="5"/>
  <c r="N62" i="5"/>
  <c r="C62" i="5"/>
  <c r="I61" i="5"/>
  <c r="O60" i="5"/>
  <c r="G60" i="5"/>
  <c r="M59" i="5"/>
  <c r="E59" i="5"/>
  <c r="K58" i="5"/>
  <c r="C58" i="5"/>
  <c r="I57" i="5"/>
  <c r="O56" i="5"/>
  <c r="G56" i="5"/>
  <c r="M55" i="5"/>
  <c r="E55" i="5"/>
  <c r="K54" i="5"/>
  <c r="C54" i="5"/>
  <c r="I53" i="5"/>
  <c r="O52" i="5"/>
  <c r="G52" i="5"/>
  <c r="M51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I33" i="5"/>
  <c r="O32" i="5"/>
  <c r="G32" i="5"/>
  <c r="M31" i="5"/>
  <c r="E31" i="5"/>
  <c r="K30" i="5"/>
  <c r="C30" i="5"/>
  <c r="I29" i="5"/>
  <c r="O28" i="5"/>
  <c r="G28" i="5"/>
  <c r="M27" i="5"/>
  <c r="E27" i="5"/>
  <c r="K26" i="5"/>
  <c r="C26" i="5"/>
  <c r="I25" i="5"/>
  <c r="O24" i="5"/>
  <c r="G24" i="5"/>
  <c r="M23" i="5"/>
  <c r="E23" i="5"/>
  <c r="K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J72" i="5"/>
  <c r="F70" i="5"/>
  <c r="B68" i="5"/>
  <c r="L65" i="5"/>
  <c r="F64" i="5"/>
  <c r="L62" i="5"/>
  <c r="B62" i="5"/>
  <c r="H61" i="5"/>
  <c r="N60" i="5"/>
  <c r="F60" i="5"/>
  <c r="L59" i="5"/>
  <c r="D59" i="5"/>
  <c r="J58" i="5"/>
  <c r="B58" i="5"/>
  <c r="H57" i="5"/>
  <c r="N56" i="5"/>
  <c r="F56" i="5"/>
  <c r="L55" i="5"/>
  <c r="D55" i="5"/>
  <c r="J54" i="5"/>
  <c r="B54" i="5"/>
  <c r="H53" i="5"/>
  <c r="N52" i="5"/>
  <c r="F52" i="5"/>
  <c r="L51" i="5"/>
  <c r="D51" i="5"/>
  <c r="J50" i="5"/>
  <c r="B50" i="5"/>
  <c r="H49" i="5"/>
  <c r="N48" i="5"/>
  <c r="F48" i="5"/>
  <c r="L47" i="5"/>
  <c r="D47" i="5"/>
  <c r="J46" i="5"/>
  <c r="B46" i="5"/>
  <c r="H45" i="5"/>
  <c r="N44" i="5"/>
  <c r="F44" i="5"/>
  <c r="L43" i="5"/>
  <c r="D43" i="5"/>
  <c r="J42" i="5"/>
  <c r="B42" i="5"/>
  <c r="H41" i="5"/>
  <c r="N40" i="5"/>
  <c r="F40" i="5"/>
  <c r="L39" i="5"/>
  <c r="D39" i="5"/>
  <c r="J38" i="5"/>
  <c r="B38" i="5"/>
  <c r="H37" i="5"/>
  <c r="N36" i="5"/>
  <c r="F36" i="5"/>
  <c r="L35" i="5"/>
  <c r="D35" i="5"/>
  <c r="J34" i="5"/>
  <c r="B34" i="5"/>
  <c r="H33" i="5"/>
  <c r="N32" i="5"/>
  <c r="F32" i="5"/>
  <c r="L31" i="5"/>
  <c r="D31" i="5"/>
  <c r="J30" i="5"/>
  <c r="B30" i="5"/>
  <c r="H29" i="5"/>
  <c r="N28" i="5"/>
  <c r="F28" i="5"/>
  <c r="L27" i="5"/>
  <c r="D27" i="5"/>
  <c r="J26" i="5"/>
  <c r="B26" i="5"/>
  <c r="H25" i="5"/>
  <c r="N24" i="5"/>
  <c r="F24" i="5"/>
  <c r="L23" i="5"/>
  <c r="D23" i="5"/>
  <c r="J22" i="5"/>
  <c r="B22" i="5"/>
  <c r="H21" i="5"/>
  <c r="N20" i="5"/>
  <c r="F20" i="5"/>
  <c r="L19" i="5"/>
  <c r="D19" i="5"/>
  <c r="J18" i="5"/>
  <c r="B18" i="5"/>
  <c r="H17" i="5"/>
  <c r="N16" i="5"/>
  <c r="F16" i="5"/>
  <c r="L15" i="5"/>
  <c r="D15" i="5"/>
  <c r="J14" i="5"/>
  <c r="B14" i="5"/>
  <c r="H13" i="5"/>
  <c r="N12" i="5"/>
  <c r="F12" i="5"/>
  <c r="L11" i="5"/>
  <c r="D11" i="5"/>
  <c r="J10" i="5"/>
  <c r="B10" i="5"/>
  <c r="H9" i="5"/>
  <c r="N8" i="5"/>
  <c r="F8" i="5"/>
  <c r="L7" i="5"/>
  <c r="D7" i="5"/>
  <c r="J6" i="5"/>
  <c r="B6" i="5"/>
  <c r="H5" i="5"/>
  <c r="N4" i="5"/>
  <c r="F4" i="5"/>
  <c r="L3" i="5"/>
  <c r="D3" i="5"/>
  <c r="J2" i="5"/>
  <c r="B2" i="5"/>
  <c r="F72" i="5"/>
  <c r="B70" i="5"/>
  <c r="L67" i="5"/>
  <c r="J65" i="5"/>
  <c r="B64" i="5"/>
  <c r="J62" i="5"/>
  <c r="O61" i="5"/>
  <c r="G61" i="5"/>
  <c r="M60" i="5"/>
  <c r="E60" i="5"/>
  <c r="K59" i="5"/>
  <c r="C59" i="5"/>
  <c r="I58" i="5"/>
  <c r="O57" i="5"/>
  <c r="G57" i="5"/>
  <c r="M56" i="5"/>
  <c r="E56" i="5"/>
  <c r="K55" i="5"/>
  <c r="C55" i="5"/>
  <c r="I54" i="5"/>
  <c r="O53" i="5"/>
  <c r="G53" i="5"/>
  <c r="M52" i="5"/>
  <c r="E52" i="5"/>
  <c r="K51" i="5"/>
  <c r="C51" i="5"/>
  <c r="I50" i="5"/>
  <c r="O49" i="5"/>
  <c r="G49" i="5"/>
  <c r="M48" i="5"/>
  <c r="E48" i="5"/>
  <c r="K47" i="5"/>
  <c r="C47" i="5"/>
  <c r="I46" i="5"/>
  <c r="O45" i="5"/>
  <c r="G45" i="5"/>
  <c r="M44" i="5"/>
  <c r="E44" i="5"/>
  <c r="K43" i="5"/>
  <c r="C43" i="5"/>
  <c r="I42" i="5"/>
  <c r="O41" i="5"/>
  <c r="G41" i="5"/>
  <c r="M40" i="5"/>
  <c r="E40" i="5"/>
  <c r="K39" i="5"/>
  <c r="C39" i="5"/>
  <c r="I38" i="5"/>
  <c r="O37" i="5"/>
  <c r="G37" i="5"/>
  <c r="M36" i="5"/>
  <c r="E36" i="5"/>
  <c r="K35" i="5"/>
  <c r="C35" i="5"/>
  <c r="I34" i="5"/>
  <c r="O33" i="5"/>
  <c r="G33" i="5"/>
  <c r="M32" i="5"/>
  <c r="E32" i="5"/>
  <c r="K31" i="5"/>
  <c r="C31" i="5"/>
  <c r="I30" i="5"/>
  <c r="O29" i="5"/>
  <c r="G29" i="5"/>
  <c r="M28" i="5"/>
  <c r="E28" i="5"/>
  <c r="K27" i="5"/>
  <c r="C27" i="5"/>
  <c r="I26" i="5"/>
  <c r="O25" i="5"/>
  <c r="G25" i="5"/>
  <c r="M24" i="5"/>
  <c r="E24" i="5"/>
  <c r="K23" i="5"/>
  <c r="C23" i="5"/>
  <c r="I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B72" i="5"/>
  <c r="L69" i="5"/>
  <c r="H67" i="5"/>
  <c r="H65" i="5"/>
  <c r="N63" i="5"/>
  <c r="H62" i="5"/>
  <c r="N61" i="5"/>
  <c r="F61" i="5"/>
  <c r="L60" i="5"/>
  <c r="D60" i="5"/>
  <c r="J59" i="5"/>
  <c r="B59" i="5"/>
  <c r="H58" i="5"/>
  <c r="N57" i="5"/>
  <c r="F57" i="5"/>
  <c r="L56" i="5"/>
  <c r="D56" i="5"/>
  <c r="J55" i="5"/>
  <c r="B55" i="5"/>
  <c r="H54" i="5"/>
  <c r="N53" i="5"/>
  <c r="F53" i="5"/>
  <c r="L52" i="5"/>
  <c r="D52" i="5"/>
  <c r="J51" i="5"/>
  <c r="B51" i="5"/>
  <c r="H50" i="5"/>
  <c r="N49" i="5"/>
  <c r="F49" i="5"/>
  <c r="L48" i="5"/>
  <c r="D48" i="5"/>
  <c r="J47" i="5"/>
  <c r="B47" i="5"/>
  <c r="H46" i="5"/>
  <c r="N45" i="5"/>
  <c r="F45" i="5"/>
  <c r="L44" i="5"/>
  <c r="D44" i="5"/>
  <c r="J43" i="5"/>
  <c r="B43" i="5"/>
  <c r="H42" i="5"/>
  <c r="N41" i="5"/>
  <c r="F41" i="5"/>
  <c r="L40" i="5"/>
  <c r="D40" i="5"/>
  <c r="J39" i="5"/>
  <c r="B39" i="5"/>
  <c r="H38" i="5"/>
  <c r="N37" i="5"/>
  <c r="F37" i="5"/>
  <c r="L36" i="5"/>
  <c r="D36" i="5"/>
  <c r="J35" i="5"/>
  <c r="B35" i="5"/>
  <c r="H34" i="5"/>
  <c r="N33" i="5"/>
  <c r="F33" i="5"/>
  <c r="L32" i="5"/>
  <c r="D32" i="5"/>
  <c r="J31" i="5"/>
  <c r="B31" i="5"/>
  <c r="H30" i="5"/>
  <c r="N29" i="5"/>
  <c r="F29" i="5"/>
  <c r="L28" i="5"/>
  <c r="D28" i="5"/>
  <c r="J27" i="5"/>
  <c r="B27" i="5"/>
  <c r="H26" i="5"/>
  <c r="N25" i="5"/>
  <c r="F25" i="5"/>
  <c r="L24" i="5"/>
  <c r="D24" i="5"/>
  <c r="J23" i="5"/>
  <c r="B23" i="5"/>
  <c r="H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L71" i="5"/>
  <c r="H69" i="5"/>
  <c r="D67" i="5"/>
  <c r="D65" i="5"/>
  <c r="L63" i="5"/>
  <c r="G62" i="5"/>
  <c r="M61" i="5"/>
  <c r="E61" i="5"/>
  <c r="K60" i="5"/>
  <c r="C60" i="5"/>
  <c r="I59" i="5"/>
  <c r="O58" i="5"/>
  <c r="G58" i="5"/>
  <c r="M57" i="5"/>
  <c r="E57" i="5"/>
  <c r="K56" i="5"/>
  <c r="C56" i="5"/>
  <c r="I55" i="5"/>
  <c r="O54" i="5"/>
  <c r="G54" i="5"/>
  <c r="M53" i="5"/>
  <c r="E53" i="5"/>
  <c r="K52" i="5"/>
  <c r="C52" i="5"/>
  <c r="I51" i="5"/>
  <c r="O50" i="5"/>
  <c r="G50" i="5"/>
  <c r="M49" i="5"/>
  <c r="E49" i="5"/>
  <c r="K48" i="5"/>
  <c r="C48" i="5"/>
  <c r="I47" i="5"/>
  <c r="O46" i="5"/>
  <c r="G46" i="5"/>
  <c r="M45" i="5"/>
  <c r="E45" i="5"/>
  <c r="K44" i="5"/>
  <c r="C44" i="5"/>
  <c r="I43" i="5"/>
  <c r="O42" i="5"/>
  <c r="G42" i="5"/>
  <c r="M41" i="5"/>
  <c r="E41" i="5"/>
  <c r="K40" i="5"/>
  <c r="C40" i="5"/>
  <c r="I39" i="5"/>
  <c r="O38" i="5"/>
  <c r="G38" i="5"/>
  <c r="M37" i="5"/>
  <c r="E37" i="5"/>
  <c r="K36" i="5"/>
  <c r="C36" i="5"/>
  <c r="I35" i="5"/>
  <c r="O34" i="5"/>
  <c r="G34" i="5"/>
  <c r="M33" i="5"/>
  <c r="E33" i="5"/>
  <c r="K32" i="5"/>
  <c r="C32" i="5"/>
  <c r="I31" i="5"/>
  <c r="O30" i="5"/>
  <c r="G30" i="5"/>
  <c r="M29" i="5"/>
  <c r="E29" i="5"/>
  <c r="K28" i="5"/>
  <c r="C28" i="5"/>
  <c r="I27" i="5"/>
  <c r="O26" i="5"/>
  <c r="G26" i="5"/>
  <c r="M25" i="5"/>
  <c r="E25" i="5"/>
  <c r="K24" i="5"/>
  <c r="C24" i="5"/>
  <c r="I23" i="5"/>
  <c r="O22" i="5"/>
  <c r="G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H71" i="5"/>
  <c r="D69" i="5"/>
  <c r="N66" i="5"/>
  <c r="B65" i="5"/>
  <c r="H63" i="5"/>
  <c r="F62" i="5"/>
  <c r="L61" i="5"/>
  <c r="D61" i="5"/>
  <c r="J60" i="5"/>
  <c r="B60" i="5"/>
  <c r="H59" i="5"/>
  <c r="N58" i="5"/>
  <c r="F58" i="5"/>
  <c r="L57" i="5"/>
  <c r="D57" i="5"/>
  <c r="J56" i="5"/>
  <c r="B56" i="5"/>
  <c r="H55" i="5"/>
  <c r="N54" i="5"/>
  <c r="F54" i="5"/>
  <c r="L53" i="5"/>
  <c r="D53" i="5"/>
  <c r="J52" i="5"/>
  <c r="B52" i="5"/>
  <c r="H51" i="5"/>
  <c r="N50" i="5"/>
  <c r="F50" i="5"/>
  <c r="L49" i="5"/>
  <c r="D49" i="5"/>
  <c r="J48" i="5"/>
  <c r="B48" i="5"/>
  <c r="H47" i="5"/>
  <c r="N46" i="5"/>
  <c r="F46" i="5"/>
  <c r="L45" i="5"/>
  <c r="D45" i="5"/>
  <c r="J44" i="5"/>
  <c r="B44" i="5"/>
  <c r="H43" i="5"/>
  <c r="N42" i="5"/>
  <c r="F42" i="5"/>
  <c r="L41" i="5"/>
  <c r="D41" i="5"/>
  <c r="J40" i="5"/>
  <c r="B40" i="5"/>
  <c r="H39" i="5"/>
  <c r="N38" i="5"/>
  <c r="F38" i="5"/>
  <c r="L37" i="5"/>
  <c r="D37" i="5"/>
  <c r="J36" i="5"/>
  <c r="B36" i="5"/>
  <c r="H35" i="5"/>
  <c r="N34" i="5"/>
  <c r="F34" i="5"/>
  <c r="L33" i="5"/>
  <c r="D33" i="5"/>
  <c r="J32" i="5"/>
  <c r="B32" i="5"/>
  <c r="H31" i="5"/>
  <c r="N30" i="5"/>
  <c r="F30" i="5"/>
  <c r="L29" i="5"/>
  <c r="D29" i="5"/>
  <c r="J28" i="5"/>
  <c r="B28" i="5"/>
  <c r="H27" i="5"/>
  <c r="N26" i="5"/>
  <c r="F26" i="5"/>
  <c r="L25" i="5"/>
  <c r="D25" i="5"/>
  <c r="J24" i="5"/>
  <c r="B24" i="5"/>
  <c r="H23" i="5"/>
  <c r="N22" i="5"/>
  <c r="F22" i="5"/>
  <c r="L21" i="5"/>
  <c r="D21" i="5"/>
  <c r="J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B147" i="12" l="1"/>
  <c r="B16" i="11" s="1"/>
  <c r="A2" i="6" a="1"/>
  <c r="G2" i="6" l="1"/>
  <c r="O2" i="6"/>
  <c r="W2" i="6"/>
  <c r="AE2" i="6"/>
  <c r="AM2" i="6"/>
  <c r="AU2" i="6"/>
  <c r="BC2" i="6"/>
  <c r="BK2" i="6"/>
  <c r="BS2" i="6"/>
  <c r="A2" i="6"/>
  <c r="I2" i="6"/>
  <c r="Q2" i="6"/>
  <c r="Y2" i="6"/>
  <c r="AG2" i="6"/>
  <c r="AO2" i="6"/>
  <c r="AW2" i="6"/>
  <c r="BE2" i="6"/>
  <c r="BM2" i="6"/>
  <c r="B3" i="6"/>
  <c r="B2" i="6"/>
  <c r="J2" i="6"/>
  <c r="R2" i="6"/>
  <c r="Z2" i="6"/>
  <c r="AH2" i="6"/>
  <c r="AP2" i="6"/>
  <c r="AX2" i="6"/>
  <c r="BF2" i="6"/>
  <c r="BN2" i="6"/>
  <c r="C2" i="6"/>
  <c r="K2" i="6"/>
  <c r="S2" i="6"/>
  <c r="AA2" i="6"/>
  <c r="AI2" i="6"/>
  <c r="AQ2" i="6"/>
  <c r="AY2" i="6"/>
  <c r="BG2" i="6"/>
  <c r="BO2" i="6"/>
  <c r="D2" i="6"/>
  <c r="T2" i="6"/>
  <c r="AJ2" i="6"/>
  <c r="AZ2" i="6"/>
  <c r="BP2" i="6"/>
  <c r="G3" i="6"/>
  <c r="O3" i="6"/>
  <c r="W3" i="6"/>
  <c r="AE3" i="6"/>
  <c r="AM3" i="6"/>
  <c r="AU3" i="6"/>
  <c r="BC3" i="6"/>
  <c r="BK3" i="6"/>
  <c r="BS3" i="6"/>
  <c r="H4" i="6"/>
  <c r="P4" i="6"/>
  <c r="X4" i="6"/>
  <c r="AF4" i="6"/>
  <c r="AN4" i="6"/>
  <c r="AV4" i="6"/>
  <c r="BD4" i="6"/>
  <c r="BL4" i="6"/>
  <c r="A5" i="6"/>
  <c r="I5" i="6"/>
  <c r="Q5" i="6"/>
  <c r="Y5" i="6"/>
  <c r="AG5" i="6"/>
  <c r="AO5" i="6"/>
  <c r="AW5" i="6"/>
  <c r="BE5" i="6"/>
  <c r="BM5" i="6"/>
  <c r="B6" i="6"/>
  <c r="J6" i="6"/>
  <c r="R6" i="6"/>
  <c r="Z6" i="6"/>
  <c r="AH6" i="6"/>
  <c r="AP6" i="6"/>
  <c r="AX6" i="6"/>
  <c r="BF6" i="6"/>
  <c r="BN6" i="6"/>
  <c r="C7" i="6"/>
  <c r="K7" i="6"/>
  <c r="S7" i="6"/>
  <c r="AA7" i="6"/>
  <c r="AI7" i="6"/>
  <c r="AQ7" i="6"/>
  <c r="AY7" i="6"/>
  <c r="BG7" i="6"/>
  <c r="BO7" i="6"/>
  <c r="D8" i="6"/>
  <c r="L8" i="6"/>
  <c r="T8" i="6"/>
  <c r="AB8" i="6"/>
  <c r="AJ8" i="6"/>
  <c r="AR8" i="6"/>
  <c r="AZ8" i="6"/>
  <c r="BH8" i="6"/>
  <c r="BP8" i="6"/>
  <c r="E9" i="6"/>
  <c r="M9" i="6"/>
  <c r="U9" i="6"/>
  <c r="AC9" i="6"/>
  <c r="AK9" i="6"/>
  <c r="AS9" i="6"/>
  <c r="BA9" i="6"/>
  <c r="BI9" i="6"/>
  <c r="BQ9" i="6"/>
  <c r="F10" i="6"/>
  <c r="N10" i="6"/>
  <c r="V10" i="6"/>
  <c r="AD10" i="6"/>
  <c r="AL10" i="6"/>
  <c r="AT10" i="6"/>
  <c r="BB10" i="6"/>
  <c r="BJ10" i="6"/>
  <c r="BR10" i="6"/>
  <c r="E2" i="6"/>
  <c r="U2" i="6"/>
  <c r="AK2" i="6"/>
  <c r="BA2" i="6"/>
  <c r="BQ2" i="6"/>
  <c r="H3" i="6"/>
  <c r="P3" i="6"/>
  <c r="X3" i="6"/>
  <c r="AF3" i="6"/>
  <c r="AN3" i="6"/>
  <c r="AV3" i="6"/>
  <c r="BD3" i="6"/>
  <c r="BL3" i="6"/>
  <c r="A4" i="6"/>
  <c r="I4" i="6"/>
  <c r="Q4" i="6"/>
  <c r="Y4" i="6"/>
  <c r="AG4" i="6"/>
  <c r="AO4" i="6"/>
  <c r="AW4" i="6"/>
  <c r="BE4" i="6"/>
  <c r="BM4" i="6"/>
  <c r="B5" i="6"/>
  <c r="J5" i="6"/>
  <c r="R5" i="6"/>
  <c r="Z5" i="6"/>
  <c r="AH5" i="6"/>
  <c r="AP5" i="6"/>
  <c r="AX5" i="6"/>
  <c r="BF5" i="6"/>
  <c r="BN5" i="6"/>
  <c r="C6" i="6"/>
  <c r="K6" i="6"/>
  <c r="S6" i="6"/>
  <c r="AA6" i="6"/>
  <c r="AI6" i="6"/>
  <c r="AQ6" i="6"/>
  <c r="AY6" i="6"/>
  <c r="BG6" i="6"/>
  <c r="BO6" i="6"/>
  <c r="D7" i="6"/>
  <c r="L7" i="6"/>
  <c r="T7" i="6"/>
  <c r="AB7" i="6"/>
  <c r="F2" i="6"/>
  <c r="V2" i="6"/>
  <c r="AL2" i="6"/>
  <c r="BB2" i="6"/>
  <c r="BR2" i="6"/>
  <c r="I3" i="6"/>
  <c r="Q3" i="6"/>
  <c r="Y3" i="6"/>
  <c r="AG3" i="6"/>
  <c r="AO3" i="6"/>
  <c r="AW3" i="6"/>
  <c r="BE3" i="6"/>
  <c r="BM3" i="6"/>
  <c r="B4" i="6"/>
  <c r="J4" i="6"/>
  <c r="R4" i="6"/>
  <c r="Z4" i="6"/>
  <c r="AH4" i="6"/>
  <c r="AP4" i="6"/>
  <c r="AX4" i="6"/>
  <c r="BF4" i="6"/>
  <c r="BN4" i="6"/>
  <c r="C5" i="6"/>
  <c r="K5" i="6"/>
  <c r="S5" i="6"/>
  <c r="AA5" i="6"/>
  <c r="AI5" i="6"/>
  <c r="AQ5" i="6"/>
  <c r="AY5" i="6"/>
  <c r="BG5" i="6"/>
  <c r="BO5" i="6"/>
  <c r="D6" i="6"/>
  <c r="L6" i="6"/>
  <c r="T6" i="6"/>
  <c r="AB6" i="6"/>
  <c r="AJ6" i="6"/>
  <c r="AR6" i="6"/>
  <c r="AZ6" i="6"/>
  <c r="BH6" i="6"/>
  <c r="BP6" i="6"/>
  <c r="E7" i="6"/>
  <c r="M7" i="6"/>
  <c r="U7" i="6"/>
  <c r="AC7" i="6"/>
  <c r="AK7" i="6"/>
  <c r="AS7" i="6"/>
  <c r="BA7" i="6"/>
  <c r="BI7" i="6"/>
  <c r="BQ7" i="6"/>
  <c r="F8" i="6"/>
  <c r="N8" i="6"/>
  <c r="V8" i="6"/>
  <c r="AD8" i="6"/>
  <c r="AL8" i="6"/>
  <c r="AT8" i="6"/>
  <c r="BB8" i="6"/>
  <c r="BJ8" i="6"/>
  <c r="BR8" i="6"/>
  <c r="G9" i="6"/>
  <c r="O9" i="6"/>
  <c r="W9" i="6"/>
  <c r="AE9" i="6"/>
  <c r="AM9" i="6"/>
  <c r="AU9" i="6"/>
  <c r="BC9" i="6"/>
  <c r="BK9" i="6"/>
  <c r="BS9" i="6"/>
  <c r="H10" i="6"/>
  <c r="P10" i="6"/>
  <c r="X10" i="6"/>
  <c r="AF10" i="6"/>
  <c r="AN10" i="6"/>
  <c r="AV10" i="6"/>
  <c r="BD10" i="6"/>
  <c r="BL10" i="6"/>
  <c r="A11" i="6"/>
  <c r="I11" i="6"/>
  <c r="Q11" i="6"/>
  <c r="Y11" i="6"/>
  <c r="AG11" i="6"/>
  <c r="AO11" i="6"/>
  <c r="AW11" i="6"/>
  <c r="BE11" i="6"/>
  <c r="BM11" i="6"/>
  <c r="B12" i="6"/>
  <c r="J12" i="6"/>
  <c r="R12" i="6"/>
  <c r="H2" i="6"/>
  <c r="X2" i="6"/>
  <c r="AN2" i="6"/>
  <c r="BD2" i="6"/>
  <c r="A3" i="6"/>
  <c r="J3" i="6"/>
  <c r="R3" i="6"/>
  <c r="Z3" i="6"/>
  <c r="AH3" i="6"/>
  <c r="AP3" i="6"/>
  <c r="AX3" i="6"/>
  <c r="BF3" i="6"/>
  <c r="BN3" i="6"/>
  <c r="C4" i="6"/>
  <c r="K4" i="6"/>
  <c r="S4" i="6"/>
  <c r="AA4" i="6"/>
  <c r="AI4" i="6"/>
  <c r="AQ4" i="6"/>
  <c r="AY4" i="6"/>
  <c r="BG4" i="6"/>
  <c r="BO4" i="6"/>
  <c r="D5" i="6"/>
  <c r="L5" i="6"/>
  <c r="T5" i="6"/>
  <c r="AB5" i="6"/>
  <c r="AJ5" i="6"/>
  <c r="AR5" i="6"/>
  <c r="AZ5" i="6"/>
  <c r="BH5" i="6"/>
  <c r="BP5" i="6"/>
  <c r="E6" i="6"/>
  <c r="M6" i="6"/>
  <c r="U6" i="6"/>
  <c r="AC6" i="6"/>
  <c r="AK6" i="6"/>
  <c r="AS6" i="6"/>
  <c r="BA6" i="6"/>
  <c r="BI6" i="6"/>
  <c r="BQ6" i="6"/>
  <c r="F7" i="6"/>
  <c r="N7" i="6"/>
  <c r="V7" i="6"/>
  <c r="AD7" i="6"/>
  <c r="AL7" i="6"/>
  <c r="AT7" i="6"/>
  <c r="BB7" i="6"/>
  <c r="BJ7" i="6"/>
  <c r="BR7" i="6"/>
  <c r="G8" i="6"/>
  <c r="O8" i="6"/>
  <c r="W8" i="6"/>
  <c r="AE8" i="6"/>
  <c r="AM8" i="6"/>
  <c r="AU8" i="6"/>
  <c r="BC8" i="6"/>
  <c r="BK8" i="6"/>
  <c r="BS8" i="6"/>
  <c r="H9" i="6"/>
  <c r="P9" i="6"/>
  <c r="X9" i="6"/>
  <c r="AF9" i="6"/>
  <c r="AN9" i="6"/>
  <c r="AV9" i="6"/>
  <c r="BD9" i="6"/>
  <c r="L2" i="6"/>
  <c r="AB2" i="6"/>
  <c r="AR2" i="6"/>
  <c r="BH2" i="6"/>
  <c r="C3" i="6"/>
  <c r="K3" i="6"/>
  <c r="S3" i="6"/>
  <c r="AA3" i="6"/>
  <c r="AI3" i="6"/>
  <c r="AQ3" i="6"/>
  <c r="AY3" i="6"/>
  <c r="BG3" i="6"/>
  <c r="BO3" i="6"/>
  <c r="D4" i="6"/>
  <c r="L4" i="6"/>
  <c r="T4" i="6"/>
  <c r="AB4" i="6"/>
  <c r="AJ4" i="6"/>
  <c r="AR4" i="6"/>
  <c r="AZ4" i="6"/>
  <c r="BH4" i="6"/>
  <c r="BP4" i="6"/>
  <c r="E5" i="6"/>
  <c r="M5" i="6"/>
  <c r="U5" i="6"/>
  <c r="AC5" i="6"/>
  <c r="AK5" i="6"/>
  <c r="AS5" i="6"/>
  <c r="BA5" i="6"/>
  <c r="BI5" i="6"/>
  <c r="BQ5" i="6"/>
  <c r="F6" i="6"/>
  <c r="N6" i="6"/>
  <c r="V6" i="6"/>
  <c r="AD6" i="6"/>
  <c r="AL6" i="6"/>
  <c r="AT6" i="6"/>
  <c r="BB6" i="6"/>
  <c r="BJ6" i="6"/>
  <c r="BR6" i="6"/>
  <c r="G7" i="6"/>
  <c r="O7" i="6"/>
  <c r="W7" i="6"/>
  <c r="AE7" i="6"/>
  <c r="AM7" i="6"/>
  <c r="AU7" i="6"/>
  <c r="BC7" i="6"/>
  <c r="BK7" i="6"/>
  <c r="BS7" i="6"/>
  <c r="H8" i="6"/>
  <c r="P8" i="6"/>
  <c r="X8" i="6"/>
  <c r="AF8" i="6"/>
  <c r="AN8" i="6"/>
  <c r="AV8" i="6"/>
  <c r="BD8" i="6"/>
  <c r="BL8" i="6"/>
  <c r="A9" i="6"/>
  <c r="I9" i="6"/>
  <c r="Q9" i="6"/>
  <c r="Y9" i="6"/>
  <c r="AG9" i="6"/>
  <c r="AO9" i="6"/>
  <c r="AW9" i="6"/>
  <c r="BE9" i="6"/>
  <c r="BM9" i="6"/>
  <c r="B10" i="6"/>
  <c r="J10" i="6"/>
  <c r="R10" i="6"/>
  <c r="Z10" i="6"/>
  <c r="AH10" i="6"/>
  <c r="AP10" i="6"/>
  <c r="AX10" i="6"/>
  <c r="BF10" i="6"/>
  <c r="BN10" i="6"/>
  <c r="M2" i="6"/>
  <c r="AC2" i="6"/>
  <c r="AS2" i="6"/>
  <c r="BI2" i="6"/>
  <c r="D3" i="6"/>
  <c r="L3" i="6"/>
  <c r="T3" i="6"/>
  <c r="AB3" i="6"/>
  <c r="AJ3" i="6"/>
  <c r="AR3" i="6"/>
  <c r="AZ3" i="6"/>
  <c r="BH3" i="6"/>
  <c r="BP3" i="6"/>
  <c r="E4" i="6"/>
  <c r="M4" i="6"/>
  <c r="U4" i="6"/>
  <c r="AC4" i="6"/>
  <c r="AK4" i="6"/>
  <c r="AS4" i="6"/>
  <c r="BA4" i="6"/>
  <c r="BI4" i="6"/>
  <c r="BQ4" i="6"/>
  <c r="F5" i="6"/>
  <c r="N5" i="6"/>
  <c r="V5" i="6"/>
  <c r="AD5" i="6"/>
  <c r="AL5" i="6"/>
  <c r="AT5" i="6"/>
  <c r="BB5" i="6"/>
  <c r="BJ5" i="6"/>
  <c r="BR5" i="6"/>
  <c r="G6" i="6"/>
  <c r="O6" i="6"/>
  <c r="W6" i="6"/>
  <c r="AE6" i="6"/>
  <c r="AM6" i="6"/>
  <c r="AU6" i="6"/>
  <c r="BC6" i="6"/>
  <c r="BK6" i="6"/>
  <c r="BS6" i="6"/>
  <c r="H7" i="6"/>
  <c r="P7" i="6"/>
  <c r="X7" i="6"/>
  <c r="AF7" i="6"/>
  <c r="P2" i="6"/>
  <c r="AF2" i="6"/>
  <c r="AV2" i="6"/>
  <c r="BL2" i="6"/>
  <c r="F3" i="6"/>
  <c r="N3" i="6"/>
  <c r="V3" i="6"/>
  <c r="AD3" i="6"/>
  <c r="AL3" i="6"/>
  <c r="AT3" i="6"/>
  <c r="BB3" i="6"/>
  <c r="BJ3" i="6"/>
  <c r="BR3" i="6"/>
  <c r="G4" i="6"/>
  <c r="O4" i="6"/>
  <c r="W4" i="6"/>
  <c r="AE4" i="6"/>
  <c r="AM4" i="6"/>
  <c r="AU4" i="6"/>
  <c r="BC4" i="6"/>
  <c r="BK4" i="6"/>
  <c r="BS4" i="6"/>
  <c r="H5" i="6"/>
  <c r="P5" i="6"/>
  <c r="X5" i="6"/>
  <c r="AF5" i="6"/>
  <c r="AN5" i="6"/>
  <c r="AV5" i="6"/>
  <c r="BD5" i="6"/>
  <c r="BL5" i="6"/>
  <c r="A6" i="6"/>
  <c r="I6" i="6"/>
  <c r="Q6" i="6"/>
  <c r="Y6" i="6"/>
  <c r="AG6" i="6"/>
  <c r="AO6" i="6"/>
  <c r="AW6" i="6"/>
  <c r="BE6" i="6"/>
  <c r="BM6" i="6"/>
  <c r="B7" i="6"/>
  <c r="J7" i="6"/>
  <c r="R7" i="6"/>
  <c r="Z7" i="6"/>
  <c r="AH7" i="6"/>
  <c r="AP7" i="6"/>
  <c r="AX7" i="6"/>
  <c r="BF7" i="6"/>
  <c r="BN7" i="6"/>
  <c r="C8" i="6"/>
  <c r="K8" i="6"/>
  <c r="S8" i="6"/>
  <c r="AA8" i="6"/>
  <c r="AI8" i="6"/>
  <c r="AQ8" i="6"/>
  <c r="AY8" i="6"/>
  <c r="BG8" i="6"/>
  <c r="BO8" i="6"/>
  <c r="D9" i="6"/>
  <c r="L9" i="6"/>
  <c r="T9" i="6"/>
  <c r="AB9" i="6"/>
  <c r="AJ9" i="6"/>
  <c r="AR9" i="6"/>
  <c r="AZ9" i="6"/>
  <c r="BH9" i="6"/>
  <c r="E3" i="6"/>
  <c r="BQ3" i="6"/>
  <c r="BJ4" i="6"/>
  <c r="BC5" i="6"/>
  <c r="AV6" i="6"/>
  <c r="AJ7" i="6"/>
  <c r="BE7" i="6"/>
  <c r="I8" i="6"/>
  <c r="AC8" i="6"/>
  <c r="AX8" i="6"/>
  <c r="B9" i="6"/>
  <c r="V9" i="6"/>
  <c r="AQ9" i="6"/>
  <c r="BL9" i="6"/>
  <c r="E10" i="6"/>
  <c r="S10" i="6"/>
  <c r="AE10" i="6"/>
  <c r="AR10" i="6"/>
  <c r="BE10" i="6"/>
  <c r="BQ10" i="6"/>
  <c r="H11" i="6"/>
  <c r="R11" i="6"/>
  <c r="AA11" i="6"/>
  <c r="AJ11" i="6"/>
  <c r="AS11" i="6"/>
  <c r="BB11" i="6"/>
  <c r="BK11" i="6"/>
  <c r="A12" i="6"/>
  <c r="K12" i="6"/>
  <c r="T12" i="6"/>
  <c r="AB12" i="6"/>
  <c r="AJ12" i="6"/>
  <c r="AR12" i="6"/>
  <c r="AZ12" i="6"/>
  <c r="BH12" i="6"/>
  <c r="BP12" i="6"/>
  <c r="E13" i="6"/>
  <c r="M13" i="6"/>
  <c r="U13" i="6"/>
  <c r="AC13" i="6"/>
  <c r="AK13" i="6"/>
  <c r="AS13" i="6"/>
  <c r="BA13" i="6"/>
  <c r="BI13" i="6"/>
  <c r="BQ13" i="6"/>
  <c r="F14" i="6"/>
  <c r="N14" i="6"/>
  <c r="V14" i="6"/>
  <c r="AD14" i="6"/>
  <c r="AL14" i="6"/>
  <c r="AT14" i="6"/>
  <c r="BB14" i="6"/>
  <c r="BJ14" i="6"/>
  <c r="BR14" i="6"/>
  <c r="G15" i="6"/>
  <c r="O15" i="6"/>
  <c r="W15" i="6"/>
  <c r="AE15" i="6"/>
  <c r="AM15" i="6"/>
  <c r="AU15" i="6"/>
  <c r="BC15" i="6"/>
  <c r="BK15" i="6"/>
  <c r="BS15" i="6"/>
  <c r="H16" i="6"/>
  <c r="P16" i="6"/>
  <c r="X16" i="6"/>
  <c r="AF16" i="6"/>
  <c r="AN16" i="6"/>
  <c r="AV16" i="6"/>
  <c r="BD16" i="6"/>
  <c r="BL16" i="6"/>
  <c r="U3" i="6"/>
  <c r="N4" i="6"/>
  <c r="G5" i="6"/>
  <c r="BS5" i="6"/>
  <c r="BL6" i="6"/>
  <c r="AO7" i="6"/>
  <c r="BL7" i="6"/>
  <c r="M8" i="6"/>
  <c r="AH8" i="6"/>
  <c r="BE8" i="6"/>
  <c r="F9" i="6"/>
  <c r="AA9" i="6"/>
  <c r="AX9" i="6"/>
  <c r="BO9" i="6"/>
  <c r="I10" i="6"/>
  <c r="U10" i="6"/>
  <c r="AI10" i="6"/>
  <c r="AU10" i="6"/>
  <c r="BH10" i="6"/>
  <c r="B11" i="6"/>
  <c r="K11" i="6"/>
  <c r="T11" i="6"/>
  <c r="AC11" i="6"/>
  <c r="AL11" i="6"/>
  <c r="AU11" i="6"/>
  <c r="BD11" i="6"/>
  <c r="BN11" i="6"/>
  <c r="D12" i="6"/>
  <c r="M12" i="6"/>
  <c r="V12" i="6"/>
  <c r="AD12" i="6"/>
  <c r="AL12" i="6"/>
  <c r="AT12" i="6"/>
  <c r="BB12" i="6"/>
  <c r="BJ12" i="6"/>
  <c r="BR12" i="6"/>
  <c r="G13" i="6"/>
  <c r="O13" i="6"/>
  <c r="W13" i="6"/>
  <c r="AE13" i="6"/>
  <c r="AM13" i="6"/>
  <c r="AU13" i="6"/>
  <c r="BC13" i="6"/>
  <c r="BK13" i="6"/>
  <c r="BS13" i="6"/>
  <c r="H14" i="6"/>
  <c r="P14" i="6"/>
  <c r="X14" i="6"/>
  <c r="AF14" i="6"/>
  <c r="AN14" i="6"/>
  <c r="AV14" i="6"/>
  <c r="BD14" i="6"/>
  <c r="BL14" i="6"/>
  <c r="A15" i="6"/>
  <c r="I15" i="6"/>
  <c r="Q15" i="6"/>
  <c r="Y15" i="6"/>
  <c r="AG15" i="6"/>
  <c r="AO15" i="6"/>
  <c r="AW15" i="6"/>
  <c r="BE15" i="6"/>
  <c r="BM15" i="6"/>
  <c r="B16" i="6"/>
  <c r="J16" i="6"/>
  <c r="R16" i="6"/>
  <c r="Z16" i="6"/>
  <c r="AH16" i="6"/>
  <c r="AP16" i="6"/>
  <c r="AX16" i="6"/>
  <c r="BF16" i="6"/>
  <c r="BN16" i="6"/>
  <c r="AC3" i="6"/>
  <c r="V4" i="6"/>
  <c r="O5" i="6"/>
  <c r="H6" i="6"/>
  <c r="A7" i="6"/>
  <c r="AR7" i="6"/>
  <c r="BM7" i="6"/>
  <c r="Q8" i="6"/>
  <c r="AK8" i="6"/>
  <c r="BF8" i="6"/>
  <c r="J9" i="6"/>
  <c r="AD9" i="6"/>
  <c r="AY9" i="6"/>
  <c r="BP9" i="6"/>
  <c r="K10" i="6"/>
  <c r="W10" i="6"/>
  <c r="AJ10" i="6"/>
  <c r="AW10" i="6"/>
  <c r="BI10" i="6"/>
  <c r="C11" i="6"/>
  <c r="L11" i="6"/>
  <c r="U11" i="6"/>
  <c r="AD11" i="6"/>
  <c r="AM11" i="6"/>
  <c r="AV11" i="6"/>
  <c r="BF11" i="6"/>
  <c r="BO11" i="6"/>
  <c r="E12" i="6"/>
  <c r="N12" i="6"/>
  <c r="W12" i="6"/>
  <c r="AE12" i="6"/>
  <c r="AM12" i="6"/>
  <c r="AU12" i="6"/>
  <c r="BC12" i="6"/>
  <c r="BK12" i="6"/>
  <c r="BS12" i="6"/>
  <c r="H13" i="6"/>
  <c r="P13" i="6"/>
  <c r="X13" i="6"/>
  <c r="AF13" i="6"/>
  <c r="AN13" i="6"/>
  <c r="AV13" i="6"/>
  <c r="BD13" i="6"/>
  <c r="BL13" i="6"/>
  <c r="A14" i="6"/>
  <c r="I14" i="6"/>
  <c r="Q14" i="6"/>
  <c r="Y14" i="6"/>
  <c r="AG14" i="6"/>
  <c r="AO14" i="6"/>
  <c r="AW14" i="6"/>
  <c r="BE14" i="6"/>
  <c r="BM14" i="6"/>
  <c r="B15" i="6"/>
  <c r="J15" i="6"/>
  <c r="R15" i="6"/>
  <c r="Z15" i="6"/>
  <c r="AH15" i="6"/>
  <c r="AP15" i="6"/>
  <c r="AX15" i="6"/>
  <c r="BF15" i="6"/>
  <c r="BN15" i="6"/>
  <c r="C16" i="6"/>
  <c r="K16" i="6"/>
  <c r="S16" i="6"/>
  <c r="AA16" i="6"/>
  <c r="AI16" i="6"/>
  <c r="AQ16" i="6"/>
  <c r="AY16" i="6"/>
  <c r="BG16" i="6"/>
  <c r="BO16" i="6"/>
  <c r="N2" i="6"/>
  <c r="AK3" i="6"/>
  <c r="AD4" i="6"/>
  <c r="W5" i="6"/>
  <c r="P6" i="6"/>
  <c r="I7" i="6"/>
  <c r="AV7" i="6"/>
  <c r="BP7" i="6"/>
  <c r="R8" i="6"/>
  <c r="AO8" i="6"/>
  <c r="BI8" i="6"/>
  <c r="K9" i="6"/>
  <c r="AH9" i="6"/>
  <c r="BB9" i="6"/>
  <c r="BR9" i="6"/>
  <c r="L10" i="6"/>
  <c r="Y10" i="6"/>
  <c r="AK10" i="6"/>
  <c r="AY10" i="6"/>
  <c r="BK10" i="6"/>
  <c r="D11" i="6"/>
  <c r="M11" i="6"/>
  <c r="V11" i="6"/>
  <c r="AE11" i="6"/>
  <c r="AN11" i="6"/>
  <c r="AX11" i="6"/>
  <c r="BG11" i="6"/>
  <c r="BP11" i="6"/>
  <c r="F12" i="6"/>
  <c r="O12" i="6"/>
  <c r="X12" i="6"/>
  <c r="AF12" i="6"/>
  <c r="AN12" i="6"/>
  <c r="AV12" i="6"/>
  <c r="BD12" i="6"/>
  <c r="BL12" i="6"/>
  <c r="A13" i="6"/>
  <c r="I13" i="6"/>
  <c r="Q13" i="6"/>
  <c r="Y13" i="6"/>
  <c r="AG13" i="6"/>
  <c r="AO13" i="6"/>
  <c r="AW13" i="6"/>
  <c r="BE13" i="6"/>
  <c r="BM13" i="6"/>
  <c r="B14" i="6"/>
  <c r="J14" i="6"/>
  <c r="R14" i="6"/>
  <c r="Z14" i="6"/>
  <c r="AH14" i="6"/>
  <c r="AP14" i="6"/>
  <c r="AX14" i="6"/>
  <c r="BF14" i="6"/>
  <c r="BN14" i="6"/>
  <c r="C15" i="6"/>
  <c r="K15" i="6"/>
  <c r="S15" i="6"/>
  <c r="AA15" i="6"/>
  <c r="AI15" i="6"/>
  <c r="AQ15" i="6"/>
  <c r="AY15" i="6"/>
  <c r="BG15" i="6"/>
  <c r="BO15" i="6"/>
  <c r="D16" i="6"/>
  <c r="L16" i="6"/>
  <c r="T16" i="6"/>
  <c r="AB16" i="6"/>
  <c r="AJ16" i="6"/>
  <c r="AR16" i="6"/>
  <c r="AZ16" i="6"/>
  <c r="BH16" i="6"/>
  <c r="BP16" i="6"/>
  <c r="AT2" i="6"/>
  <c r="BA3" i="6"/>
  <c r="AT4" i="6"/>
  <c r="AM5" i="6"/>
  <c r="AF6" i="6"/>
  <c r="Y7" i="6"/>
  <c r="AZ7" i="6"/>
  <c r="B8" i="6"/>
  <c r="Y8" i="6"/>
  <c r="AS8" i="6"/>
  <c r="BN8" i="6"/>
  <c r="R9" i="6"/>
  <c r="AL9" i="6"/>
  <c r="BG9" i="6"/>
  <c r="C10" i="6"/>
  <c r="O10" i="6"/>
  <c r="AB10" i="6"/>
  <c r="AO10" i="6"/>
  <c r="BA10" i="6"/>
  <c r="BO10" i="6"/>
  <c r="F11" i="6"/>
  <c r="O11" i="6"/>
  <c r="X11" i="6"/>
  <c r="AH11" i="6"/>
  <c r="AQ11" i="6"/>
  <c r="AZ11" i="6"/>
  <c r="BI11" i="6"/>
  <c r="BR11" i="6"/>
  <c r="H12" i="6"/>
  <c r="Q12" i="6"/>
  <c r="Z12" i="6"/>
  <c r="AH12" i="6"/>
  <c r="AP12" i="6"/>
  <c r="AX12" i="6"/>
  <c r="BF12" i="6"/>
  <c r="BN12" i="6"/>
  <c r="C13" i="6"/>
  <c r="K13" i="6"/>
  <c r="S13" i="6"/>
  <c r="AA13" i="6"/>
  <c r="AI13" i="6"/>
  <c r="AQ13" i="6"/>
  <c r="AY13" i="6"/>
  <c r="BG13" i="6"/>
  <c r="BO13" i="6"/>
  <c r="D14" i="6"/>
  <c r="L14" i="6"/>
  <c r="T14" i="6"/>
  <c r="AB14" i="6"/>
  <c r="AJ14" i="6"/>
  <c r="AR14" i="6"/>
  <c r="AZ14" i="6"/>
  <c r="BH14" i="6"/>
  <c r="BP14" i="6"/>
  <c r="E15" i="6"/>
  <c r="M15" i="6"/>
  <c r="U15" i="6"/>
  <c r="AC15" i="6"/>
  <c r="AK15" i="6"/>
  <c r="AS15" i="6"/>
  <c r="BA15" i="6"/>
  <c r="BI15" i="6"/>
  <c r="BQ15" i="6"/>
  <c r="F16" i="6"/>
  <c r="N16" i="6"/>
  <c r="V16" i="6"/>
  <c r="AD16" i="6"/>
  <c r="AL16" i="6"/>
  <c r="AT16" i="6"/>
  <c r="BB16" i="6"/>
  <c r="BJ16" i="6"/>
  <c r="BR16" i="6"/>
  <c r="BJ2" i="6"/>
  <c r="BI3" i="6"/>
  <c r="BB4" i="6"/>
  <c r="AU5" i="6"/>
  <c r="AN6" i="6"/>
  <c r="AG7" i="6"/>
  <c r="BD7" i="6"/>
  <c r="E8" i="6"/>
  <c r="Z8" i="6"/>
  <c r="AW8" i="6"/>
  <c r="BQ8" i="6"/>
  <c r="S9" i="6"/>
  <c r="AP9" i="6"/>
  <c r="BJ9" i="6"/>
  <c r="D10" i="6"/>
  <c r="Q10" i="6"/>
  <c r="AC10" i="6"/>
  <c r="AQ10" i="6"/>
  <c r="BC10" i="6"/>
  <c r="BP10" i="6"/>
  <c r="G11" i="6"/>
  <c r="P11" i="6"/>
  <c r="Z11" i="6"/>
  <c r="AI11" i="6"/>
  <c r="AR11" i="6"/>
  <c r="BA11" i="6"/>
  <c r="BJ11" i="6"/>
  <c r="BS11" i="6"/>
  <c r="I12" i="6"/>
  <c r="S12" i="6"/>
  <c r="AA12" i="6"/>
  <c r="AI12" i="6"/>
  <c r="AQ12" i="6"/>
  <c r="AY12" i="6"/>
  <c r="BG12" i="6"/>
  <c r="BO12" i="6"/>
  <c r="D13" i="6"/>
  <c r="L13" i="6"/>
  <c r="T13" i="6"/>
  <c r="AB13" i="6"/>
  <c r="AJ13" i="6"/>
  <c r="AR13" i="6"/>
  <c r="AZ13" i="6"/>
  <c r="BH13" i="6"/>
  <c r="BP13" i="6"/>
  <c r="E14" i="6"/>
  <c r="M14" i="6"/>
  <c r="U14" i="6"/>
  <c r="AC14" i="6"/>
  <c r="AK14" i="6"/>
  <c r="AS14" i="6"/>
  <c r="BA14" i="6"/>
  <c r="BI14" i="6"/>
  <c r="BQ14" i="6"/>
  <c r="F15" i="6"/>
  <c r="N15" i="6"/>
  <c r="V15" i="6"/>
  <c r="AD15" i="6"/>
  <c r="AL15" i="6"/>
  <c r="AT15" i="6"/>
  <c r="BB15" i="6"/>
  <c r="BJ15" i="6"/>
  <c r="BR15" i="6"/>
  <c r="G16" i="6"/>
  <c r="O16" i="6"/>
  <c r="W16" i="6"/>
  <c r="AE16" i="6"/>
  <c r="AM16" i="6"/>
  <c r="AU16" i="6"/>
  <c r="BC16" i="6"/>
  <c r="BK16" i="6"/>
  <c r="BS16" i="6"/>
  <c r="BR4" i="6"/>
  <c r="BH7" i="6"/>
  <c r="C9" i="6"/>
  <c r="G10" i="6"/>
  <c r="BG10" i="6"/>
  <c r="AB11" i="6"/>
  <c r="BL11" i="6"/>
  <c r="AC12" i="6"/>
  <c r="BI12" i="6"/>
  <c r="V13" i="6"/>
  <c r="BB13" i="6"/>
  <c r="O14" i="6"/>
  <c r="AU14" i="6"/>
  <c r="H15" i="6"/>
  <c r="AN15" i="6"/>
  <c r="A16" i="6"/>
  <c r="AG16" i="6"/>
  <c r="BM16" i="6"/>
  <c r="AE5" i="6"/>
  <c r="A8" i="6"/>
  <c r="N9" i="6"/>
  <c r="M10" i="6"/>
  <c r="BM10" i="6"/>
  <c r="AF11" i="6"/>
  <c r="BQ11" i="6"/>
  <c r="AG12" i="6"/>
  <c r="BM12" i="6"/>
  <c r="Z13" i="6"/>
  <c r="BF13" i="6"/>
  <c r="S14" i="6"/>
  <c r="AY14" i="6"/>
  <c r="L15" i="6"/>
  <c r="AR15" i="6"/>
  <c r="E16" i="6"/>
  <c r="AK16" i="6"/>
  <c r="BQ16" i="6"/>
  <c r="BK5" i="6"/>
  <c r="J8" i="6"/>
  <c r="Z9" i="6"/>
  <c r="T10" i="6"/>
  <c r="BS10" i="6"/>
  <c r="AK11" i="6"/>
  <c r="C12" i="6"/>
  <c r="AK12" i="6"/>
  <c r="BQ12" i="6"/>
  <c r="AD13" i="6"/>
  <c r="BJ13" i="6"/>
  <c r="W14" i="6"/>
  <c r="BC14" i="6"/>
  <c r="P15" i="6"/>
  <c r="AV15" i="6"/>
  <c r="I16" i="6"/>
  <c r="AO16" i="6"/>
  <c r="AD2" i="6"/>
  <c r="X6" i="6"/>
  <c r="U8" i="6"/>
  <c r="AI9" i="6"/>
  <c r="AA10" i="6"/>
  <c r="E11" i="6"/>
  <c r="AP11" i="6"/>
  <c r="G12" i="6"/>
  <c r="AO12" i="6"/>
  <c r="B13" i="6"/>
  <c r="AH13" i="6"/>
  <c r="BN13" i="6"/>
  <c r="AA14" i="6"/>
  <c r="BG14" i="6"/>
  <c r="T15" i="6"/>
  <c r="AZ15" i="6"/>
  <c r="M16" i="6"/>
  <c r="AS16" i="6"/>
  <c r="M3" i="6"/>
  <c r="BD6" i="6"/>
  <c r="AG8" i="6"/>
  <c r="AT9" i="6"/>
  <c r="AG10" i="6"/>
  <c r="J11" i="6"/>
  <c r="AT11" i="6"/>
  <c r="L12" i="6"/>
  <c r="AS12" i="6"/>
  <c r="F13" i="6"/>
  <c r="AL13" i="6"/>
  <c r="BR13" i="6"/>
  <c r="AE14" i="6"/>
  <c r="BK14" i="6"/>
  <c r="X15" i="6"/>
  <c r="BD15" i="6"/>
  <c r="Q16" i="6"/>
  <c r="AW16" i="6"/>
  <c r="AS3" i="6"/>
  <c r="Q7" i="6"/>
  <c r="AP8" i="6"/>
  <c r="BF9" i="6"/>
  <c r="AM10" i="6"/>
  <c r="N11" i="6"/>
  <c r="AY11" i="6"/>
  <c r="P12" i="6"/>
  <c r="AW12" i="6"/>
  <c r="J13" i="6"/>
  <c r="AP13" i="6"/>
  <c r="C14" i="6"/>
  <c r="AI14" i="6"/>
  <c r="BO14" i="6"/>
  <c r="AB15" i="6"/>
  <c r="BH15" i="6"/>
  <c r="U16" i="6"/>
  <c r="BA16" i="6"/>
  <c r="F4" i="6"/>
  <c r="AN7" i="6"/>
  <c r="BA8" i="6"/>
  <c r="BN9" i="6"/>
  <c r="AS10" i="6"/>
  <c r="S11" i="6"/>
  <c r="BC11" i="6"/>
  <c r="U12" i="6"/>
  <c r="BA12" i="6"/>
  <c r="N13" i="6"/>
  <c r="AT13" i="6"/>
  <c r="G14" i="6"/>
  <c r="AM14" i="6"/>
  <c r="BS14" i="6"/>
  <c r="AF15" i="6"/>
  <c r="BL15" i="6"/>
  <c r="Y16" i="6"/>
  <c r="BE16" i="6"/>
  <c r="AL4" i="6"/>
  <c r="AW7" i="6"/>
  <c r="BM8" i="6"/>
  <c r="A10" i="6"/>
  <c r="AZ10" i="6"/>
  <c r="W11" i="6"/>
  <c r="BH11" i="6"/>
  <c r="Y12" i="6"/>
  <c r="BE12" i="6"/>
  <c r="R13" i="6"/>
  <c r="AX13" i="6"/>
  <c r="K14" i="6"/>
  <c r="AQ14" i="6"/>
  <c r="D15" i="6"/>
  <c r="AJ15" i="6"/>
  <c r="BP15" i="6"/>
  <c r="AC16" i="6"/>
  <c r="BI16" i="6"/>
  <c r="A2" i="7" l="1" a="1"/>
  <c r="A2" i="7" l="1"/>
  <c r="I2" i="7"/>
  <c r="B3" i="7"/>
  <c r="J3" i="7"/>
  <c r="C4" i="7"/>
  <c r="K4" i="7"/>
  <c r="D5" i="7"/>
  <c r="L5" i="7"/>
  <c r="E6" i="7"/>
  <c r="M6" i="7"/>
  <c r="F7" i="7"/>
  <c r="N7" i="7"/>
  <c r="G8" i="7"/>
  <c r="O8" i="7"/>
  <c r="H9" i="7"/>
  <c r="A10" i="7"/>
  <c r="I10" i="7"/>
  <c r="B11" i="7"/>
  <c r="J11" i="7"/>
  <c r="C12" i="7"/>
  <c r="K12" i="7"/>
  <c r="D13" i="7"/>
  <c r="L13" i="7"/>
  <c r="E14" i="7"/>
  <c r="M14" i="7"/>
  <c r="F15" i="7"/>
  <c r="N15" i="7"/>
  <c r="G16" i="7"/>
  <c r="O16" i="7"/>
  <c r="B2" i="7"/>
  <c r="J2" i="7"/>
  <c r="C3" i="7"/>
  <c r="K3" i="7"/>
  <c r="D4" i="7"/>
  <c r="L4" i="7"/>
  <c r="E5" i="7"/>
  <c r="M5" i="7"/>
  <c r="F6" i="7"/>
  <c r="N6" i="7"/>
  <c r="G7" i="7"/>
  <c r="O7" i="7"/>
  <c r="H8" i="7"/>
  <c r="A9" i="7"/>
  <c r="I9" i="7"/>
  <c r="B10" i="7"/>
  <c r="J10" i="7"/>
  <c r="C11" i="7"/>
  <c r="K11" i="7"/>
  <c r="D12" i="7"/>
  <c r="L12" i="7"/>
  <c r="E13" i="7"/>
  <c r="M13" i="7"/>
  <c r="F14" i="7"/>
  <c r="N14" i="7"/>
  <c r="G15" i="7"/>
  <c r="O15" i="7"/>
  <c r="H16" i="7"/>
  <c r="C2" i="7"/>
  <c r="K2" i="7"/>
  <c r="D3" i="7"/>
  <c r="L3" i="7"/>
  <c r="E4" i="7"/>
  <c r="M4" i="7"/>
  <c r="F5" i="7"/>
  <c r="N5" i="7"/>
  <c r="G6" i="7"/>
  <c r="O6" i="7"/>
  <c r="H7" i="7"/>
  <c r="A8" i="7"/>
  <c r="I8" i="7"/>
  <c r="B9" i="7"/>
  <c r="J9" i="7"/>
  <c r="C10" i="7"/>
  <c r="K10" i="7"/>
  <c r="D11" i="7"/>
  <c r="L11" i="7"/>
  <c r="E12" i="7"/>
  <c r="M12" i="7"/>
  <c r="F13" i="7"/>
  <c r="N13" i="7"/>
  <c r="G14" i="7"/>
  <c r="O14" i="7"/>
  <c r="H15" i="7"/>
  <c r="A16" i="7"/>
  <c r="I16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H14" i="7"/>
  <c r="A15" i="7"/>
  <c r="I15" i="7"/>
  <c r="B16" i="7"/>
  <c r="J16" i="7"/>
  <c r="E2" i="7"/>
  <c r="M2" i="7"/>
  <c r="F3" i="7"/>
  <c r="N3" i="7"/>
  <c r="G4" i="7"/>
  <c r="O4" i="7"/>
  <c r="H5" i="7"/>
  <c r="A6" i="7"/>
  <c r="I6" i="7"/>
  <c r="B7" i="7"/>
  <c r="J7" i="7"/>
  <c r="C8" i="7"/>
  <c r="K8" i="7"/>
  <c r="D9" i="7"/>
  <c r="L9" i="7"/>
  <c r="E10" i="7"/>
  <c r="M10" i="7"/>
  <c r="F11" i="7"/>
  <c r="N11" i="7"/>
  <c r="G12" i="7"/>
  <c r="O12" i="7"/>
  <c r="H13" i="7"/>
  <c r="A14" i="7"/>
  <c r="I14" i="7"/>
  <c r="B15" i="7"/>
  <c r="J15" i="7"/>
  <c r="C16" i="7"/>
  <c r="K16" i="7"/>
  <c r="O2" i="7"/>
  <c r="H4" i="7"/>
  <c r="K5" i="7"/>
  <c r="D7" i="7"/>
  <c r="L8" i="7"/>
  <c r="O9" i="7"/>
  <c r="H11" i="7"/>
  <c r="A13" i="7"/>
  <c r="D14" i="7"/>
  <c r="L15" i="7"/>
  <c r="A3" i="7"/>
  <c r="I4" i="7"/>
  <c r="B6" i="7"/>
  <c r="E7" i="7"/>
  <c r="M8" i="7"/>
  <c r="F10" i="7"/>
  <c r="I11" i="7"/>
  <c r="B13" i="7"/>
  <c r="J14" i="7"/>
  <c r="M15" i="7"/>
  <c r="G3" i="7"/>
  <c r="J4" i="7"/>
  <c r="C6" i="7"/>
  <c r="K7" i="7"/>
  <c r="N8" i="7"/>
  <c r="G10" i="7"/>
  <c r="O11" i="7"/>
  <c r="C13" i="7"/>
  <c r="K14" i="7"/>
  <c r="D16" i="7"/>
  <c r="H3" i="7"/>
  <c r="A5" i="7"/>
  <c r="D6" i="7"/>
  <c r="L7" i="7"/>
  <c r="E9" i="7"/>
  <c r="H10" i="7"/>
  <c r="A12" i="7"/>
  <c r="I13" i="7"/>
  <c r="L14" i="7"/>
  <c r="E16" i="7"/>
  <c r="F2" i="7"/>
  <c r="I3" i="7"/>
  <c r="B5" i="7"/>
  <c r="J6" i="7"/>
  <c r="M7" i="7"/>
  <c r="F9" i="7"/>
  <c r="N10" i="7"/>
  <c r="B12" i="7"/>
  <c r="J13" i="7"/>
  <c r="C15" i="7"/>
  <c r="F16" i="7"/>
  <c r="G2" i="7"/>
  <c r="O3" i="7"/>
  <c r="C5" i="7"/>
  <c r="K6" i="7"/>
  <c r="D8" i="7"/>
  <c r="G9" i="7"/>
  <c r="O10" i="7"/>
  <c r="H12" i="7"/>
  <c r="K13" i="7"/>
  <c r="D15" i="7"/>
  <c r="L16" i="7"/>
  <c r="N2" i="7"/>
  <c r="B4" i="7"/>
  <c r="J5" i="7"/>
  <c r="C7" i="7"/>
  <c r="F8" i="7"/>
  <c r="N9" i="7"/>
  <c r="G11" i="7"/>
  <c r="J12" i="7"/>
  <c r="C14" i="7"/>
  <c r="K15" i="7"/>
  <c r="N16" i="7"/>
  <c r="I12" i="7"/>
  <c r="A4" i="7"/>
  <c r="E15" i="7"/>
  <c r="I5" i="7"/>
  <c r="M16" i="7"/>
  <c r="L6" i="7"/>
  <c r="M9" i="7"/>
  <c r="A11" i="7"/>
  <c r="H2" i="7"/>
  <c r="E8" i="7"/>
  <c r="B14" i="7"/>
  <c r="A2" i="8" l="1" a="1"/>
  <c r="B2" i="8" l="1"/>
  <c r="J2" i="8"/>
  <c r="C3" i="8"/>
  <c r="K3" i="8"/>
  <c r="D4" i="8"/>
  <c r="L4" i="8"/>
  <c r="E5" i="8"/>
  <c r="M5" i="8"/>
  <c r="F6" i="8"/>
  <c r="N6" i="8"/>
  <c r="G7" i="8"/>
  <c r="O7" i="8"/>
  <c r="H8" i="8"/>
  <c r="A9" i="8"/>
  <c r="I9" i="8"/>
  <c r="B10" i="8"/>
  <c r="J10" i="8"/>
  <c r="C11" i="8"/>
  <c r="K11" i="8"/>
  <c r="D12" i="8"/>
  <c r="L12" i="8"/>
  <c r="E13" i="8"/>
  <c r="M13" i="8"/>
  <c r="F14" i="8"/>
  <c r="N14" i="8"/>
  <c r="G15" i="8"/>
  <c r="O15" i="8"/>
  <c r="H16" i="8"/>
  <c r="C2" i="8"/>
  <c r="K2" i="8"/>
  <c r="D3" i="8"/>
  <c r="L3" i="8"/>
  <c r="E4" i="8"/>
  <c r="M4" i="8"/>
  <c r="F5" i="8"/>
  <c r="N5" i="8"/>
  <c r="G6" i="8"/>
  <c r="O6" i="8"/>
  <c r="H7" i="8"/>
  <c r="A8" i="8"/>
  <c r="I8" i="8"/>
  <c r="B9" i="8"/>
  <c r="J9" i="8"/>
  <c r="C10" i="8"/>
  <c r="K10" i="8"/>
  <c r="D11" i="8"/>
  <c r="L11" i="8"/>
  <c r="E12" i="8"/>
  <c r="M12" i="8"/>
  <c r="F13" i="8"/>
  <c r="N13" i="8"/>
  <c r="G14" i="8"/>
  <c r="O14" i="8"/>
  <c r="H15" i="8"/>
  <c r="A16" i="8"/>
  <c r="I16" i="8"/>
  <c r="D2" i="8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A15" i="8"/>
  <c r="I15" i="8"/>
  <c r="B16" i="8"/>
  <c r="J16" i="8"/>
  <c r="E2" i="8"/>
  <c r="M2" i="8"/>
  <c r="F3" i="8"/>
  <c r="N3" i="8"/>
  <c r="G4" i="8"/>
  <c r="O4" i="8"/>
  <c r="H5" i="8"/>
  <c r="A6" i="8"/>
  <c r="I6" i="8"/>
  <c r="B7" i="8"/>
  <c r="J7" i="8"/>
  <c r="C8" i="8"/>
  <c r="K8" i="8"/>
  <c r="D9" i="8"/>
  <c r="L9" i="8"/>
  <c r="E10" i="8"/>
  <c r="M10" i="8"/>
  <c r="F11" i="8"/>
  <c r="N11" i="8"/>
  <c r="G12" i="8"/>
  <c r="O12" i="8"/>
  <c r="H13" i="8"/>
  <c r="A14" i="8"/>
  <c r="I14" i="8"/>
  <c r="B15" i="8"/>
  <c r="J15" i="8"/>
  <c r="C16" i="8"/>
  <c r="K16" i="8"/>
  <c r="F2" i="8"/>
  <c r="N2" i="8"/>
  <c r="G3" i="8"/>
  <c r="O3" i="8"/>
  <c r="H4" i="8"/>
  <c r="A5" i="8"/>
  <c r="I5" i="8"/>
  <c r="B6" i="8"/>
  <c r="J6" i="8"/>
  <c r="C7" i="8"/>
  <c r="K7" i="8"/>
  <c r="D8" i="8"/>
  <c r="L8" i="8"/>
  <c r="E9" i="8"/>
  <c r="M9" i="8"/>
  <c r="F10" i="8"/>
  <c r="N10" i="8"/>
  <c r="G11" i="8"/>
  <c r="O11" i="8"/>
  <c r="H12" i="8"/>
  <c r="A13" i="8"/>
  <c r="I13" i="8"/>
  <c r="B14" i="8"/>
  <c r="J14" i="8"/>
  <c r="C15" i="8"/>
  <c r="K15" i="8"/>
  <c r="D16" i="8"/>
  <c r="L16" i="8"/>
  <c r="G2" i="8"/>
  <c r="O2" i="8"/>
  <c r="H3" i="8"/>
  <c r="A4" i="8"/>
  <c r="I4" i="8"/>
  <c r="B5" i="8"/>
  <c r="J5" i="8"/>
  <c r="C6" i="8"/>
  <c r="K6" i="8"/>
  <c r="D7" i="8"/>
  <c r="L7" i="8"/>
  <c r="E8" i="8"/>
  <c r="M8" i="8"/>
  <c r="F9" i="8"/>
  <c r="N9" i="8"/>
  <c r="G10" i="8"/>
  <c r="O10" i="8"/>
  <c r="H11" i="8"/>
  <c r="A12" i="8"/>
  <c r="I12" i="8"/>
  <c r="B13" i="8"/>
  <c r="J13" i="8"/>
  <c r="C14" i="8"/>
  <c r="K14" i="8"/>
  <c r="D15" i="8"/>
  <c r="L15" i="8"/>
  <c r="E16" i="8"/>
  <c r="M16" i="8"/>
  <c r="I3" i="8"/>
  <c r="K5" i="8"/>
  <c r="M7" i="8"/>
  <c r="O9" i="8"/>
  <c r="B12" i="8"/>
  <c r="D14" i="8"/>
  <c r="F16" i="8"/>
  <c r="J3" i="8"/>
  <c r="L5" i="8"/>
  <c r="N7" i="8"/>
  <c r="A10" i="8"/>
  <c r="C12" i="8"/>
  <c r="E14" i="8"/>
  <c r="G16" i="8"/>
  <c r="B4" i="8"/>
  <c r="D6" i="8"/>
  <c r="F8" i="8"/>
  <c r="H10" i="8"/>
  <c r="J12" i="8"/>
  <c r="L14" i="8"/>
  <c r="N16" i="8"/>
  <c r="A2" i="8"/>
  <c r="A2" i="9" s="1" a="1"/>
  <c r="C4" i="8"/>
  <c r="E6" i="8"/>
  <c r="G8" i="8"/>
  <c r="I10" i="8"/>
  <c r="K12" i="8"/>
  <c r="M14" i="8"/>
  <c r="O16" i="8"/>
  <c r="H2" i="8"/>
  <c r="J4" i="8"/>
  <c r="L6" i="8"/>
  <c r="N8" i="8"/>
  <c r="A11" i="8"/>
  <c r="C13" i="8"/>
  <c r="E15" i="8"/>
  <c r="I2" i="8"/>
  <c r="K4" i="8"/>
  <c r="M6" i="8"/>
  <c r="O8" i="8"/>
  <c r="B11" i="8"/>
  <c r="D13" i="8"/>
  <c r="F15" i="8"/>
  <c r="A3" i="8"/>
  <c r="C5" i="8"/>
  <c r="E7" i="8"/>
  <c r="G9" i="8"/>
  <c r="I11" i="8"/>
  <c r="K13" i="8"/>
  <c r="B3" i="8"/>
  <c r="D5" i="8"/>
  <c r="F7" i="8"/>
  <c r="H9" i="8"/>
  <c r="J11" i="8"/>
  <c r="L13" i="8"/>
  <c r="N15" i="8"/>
  <c r="M15" i="8"/>
  <c r="B2" i="9" l="1"/>
  <c r="J2" i="9"/>
  <c r="R2" i="9"/>
  <c r="Z2" i="9"/>
  <c r="AH2" i="9"/>
  <c r="AP2" i="9"/>
  <c r="AX2" i="9"/>
  <c r="BF2" i="9"/>
  <c r="BN2" i="9"/>
  <c r="C3" i="9"/>
  <c r="K3" i="9"/>
  <c r="S3" i="9"/>
  <c r="AA3" i="9"/>
  <c r="AI3" i="9"/>
  <c r="AQ3" i="9"/>
  <c r="AY3" i="9"/>
  <c r="BG3" i="9"/>
  <c r="BO3" i="9"/>
  <c r="D4" i="9"/>
  <c r="L4" i="9"/>
  <c r="T4" i="9"/>
  <c r="AB4" i="9"/>
  <c r="AJ4" i="9"/>
  <c r="AR4" i="9"/>
  <c r="AZ4" i="9"/>
  <c r="BH4" i="9"/>
  <c r="BP4" i="9"/>
  <c r="E5" i="9"/>
  <c r="M5" i="9"/>
  <c r="U5" i="9"/>
  <c r="AC5" i="9"/>
  <c r="AK5" i="9"/>
  <c r="AS5" i="9"/>
  <c r="BA5" i="9"/>
  <c r="BI5" i="9"/>
  <c r="BQ5" i="9"/>
  <c r="F6" i="9"/>
  <c r="N6" i="9"/>
  <c r="V6" i="9"/>
  <c r="AD6" i="9"/>
  <c r="AL6" i="9"/>
  <c r="AT6" i="9"/>
  <c r="BB6" i="9"/>
  <c r="BJ6" i="9"/>
  <c r="BR6" i="9"/>
  <c r="G7" i="9"/>
  <c r="O7" i="9"/>
  <c r="W7" i="9"/>
  <c r="AE7" i="9"/>
  <c r="AM7" i="9"/>
  <c r="AU7" i="9"/>
  <c r="BC7" i="9"/>
  <c r="BK7" i="9"/>
  <c r="BS7" i="9"/>
  <c r="H8" i="9"/>
  <c r="P8" i="9"/>
  <c r="X8" i="9"/>
  <c r="AF8" i="9"/>
  <c r="AN8" i="9"/>
  <c r="AV8" i="9"/>
  <c r="BD8" i="9"/>
  <c r="BL8" i="9"/>
  <c r="A9" i="9"/>
  <c r="I9" i="9"/>
  <c r="Q9" i="9"/>
  <c r="Y9" i="9"/>
  <c r="AG9" i="9"/>
  <c r="AO9" i="9"/>
  <c r="AW9" i="9"/>
  <c r="BE9" i="9"/>
  <c r="BM9" i="9"/>
  <c r="B10" i="9"/>
  <c r="J10" i="9"/>
  <c r="R10" i="9"/>
  <c r="Z10" i="9"/>
  <c r="AH10" i="9"/>
  <c r="AP10" i="9"/>
  <c r="AX10" i="9"/>
  <c r="BF10" i="9"/>
  <c r="BN10" i="9"/>
  <c r="C11" i="9"/>
  <c r="C2" i="9"/>
  <c r="K2" i="9"/>
  <c r="S2" i="9"/>
  <c r="AA2" i="9"/>
  <c r="AI2" i="9"/>
  <c r="AQ2" i="9"/>
  <c r="AY2" i="9"/>
  <c r="BG2" i="9"/>
  <c r="BO2" i="9"/>
  <c r="D3" i="9"/>
  <c r="L3" i="9"/>
  <c r="T3" i="9"/>
  <c r="AB3" i="9"/>
  <c r="AJ3" i="9"/>
  <c r="AR3" i="9"/>
  <c r="AZ3" i="9"/>
  <c r="BH3" i="9"/>
  <c r="BP3" i="9"/>
  <c r="E4" i="9"/>
  <c r="M4" i="9"/>
  <c r="U4" i="9"/>
  <c r="AC4" i="9"/>
  <c r="AK4" i="9"/>
  <c r="AS4" i="9"/>
  <c r="BA4" i="9"/>
  <c r="BI4" i="9"/>
  <c r="BQ4" i="9"/>
  <c r="F5" i="9"/>
  <c r="N5" i="9"/>
  <c r="V5" i="9"/>
  <c r="AD5" i="9"/>
  <c r="AL5" i="9"/>
  <c r="AT5" i="9"/>
  <c r="BB5" i="9"/>
  <c r="BJ5" i="9"/>
  <c r="BR5" i="9"/>
  <c r="G6" i="9"/>
  <c r="O6" i="9"/>
  <c r="W6" i="9"/>
  <c r="AE6" i="9"/>
  <c r="AM6" i="9"/>
  <c r="AU6" i="9"/>
  <c r="BC6" i="9"/>
  <c r="BK6" i="9"/>
  <c r="BS6" i="9"/>
  <c r="H7" i="9"/>
  <c r="P7" i="9"/>
  <c r="X7" i="9"/>
  <c r="AF7" i="9"/>
  <c r="AN7" i="9"/>
  <c r="AV7" i="9"/>
  <c r="BD7" i="9"/>
  <c r="BL7" i="9"/>
  <c r="A8" i="9"/>
  <c r="I8" i="9"/>
  <c r="Q8" i="9"/>
  <c r="Y8" i="9"/>
  <c r="AG8" i="9"/>
  <c r="AO8" i="9"/>
  <c r="AW8" i="9"/>
  <c r="BE8" i="9"/>
  <c r="BM8" i="9"/>
  <c r="B9" i="9"/>
  <c r="J9" i="9"/>
  <c r="R9" i="9"/>
  <c r="Z9" i="9"/>
  <c r="AH9" i="9"/>
  <c r="AP9" i="9"/>
  <c r="AX9" i="9"/>
  <c r="BF9" i="9"/>
  <c r="BN9" i="9"/>
  <c r="C10" i="9"/>
  <c r="K10" i="9"/>
  <c r="S10" i="9"/>
  <c r="AA10" i="9"/>
  <c r="AI10" i="9"/>
  <c r="AQ10" i="9"/>
  <c r="AY10" i="9"/>
  <c r="BG10" i="9"/>
  <c r="BO10" i="9"/>
  <c r="D11" i="9"/>
  <c r="D2" i="9"/>
  <c r="L2" i="9"/>
  <c r="T2" i="9"/>
  <c r="AB2" i="9"/>
  <c r="AJ2" i="9"/>
  <c r="AR2" i="9"/>
  <c r="AZ2" i="9"/>
  <c r="BH2" i="9"/>
  <c r="BP2" i="9"/>
  <c r="E3" i="9"/>
  <c r="M3" i="9"/>
  <c r="U3" i="9"/>
  <c r="AC3" i="9"/>
  <c r="AK3" i="9"/>
  <c r="AS3" i="9"/>
  <c r="BA3" i="9"/>
  <c r="BI3" i="9"/>
  <c r="BQ3" i="9"/>
  <c r="F4" i="9"/>
  <c r="N4" i="9"/>
  <c r="V4" i="9"/>
  <c r="AD4" i="9"/>
  <c r="AL4" i="9"/>
  <c r="AT4" i="9"/>
  <c r="BB4" i="9"/>
  <c r="BJ4" i="9"/>
  <c r="BR4" i="9"/>
  <c r="G5" i="9"/>
  <c r="O5" i="9"/>
  <c r="W5" i="9"/>
  <c r="AE5" i="9"/>
  <c r="AM5" i="9"/>
  <c r="AU5" i="9"/>
  <c r="BC5" i="9"/>
  <c r="BK5" i="9"/>
  <c r="BS5" i="9"/>
  <c r="H6" i="9"/>
  <c r="P6" i="9"/>
  <c r="X6" i="9"/>
  <c r="AF6" i="9"/>
  <c r="AN6" i="9"/>
  <c r="AV6" i="9"/>
  <c r="BD6" i="9"/>
  <c r="BL6" i="9"/>
  <c r="A7" i="9"/>
  <c r="I7" i="9"/>
  <c r="Q7" i="9"/>
  <c r="Y7" i="9"/>
  <c r="AG7" i="9"/>
  <c r="AO7" i="9"/>
  <c r="AW7" i="9"/>
  <c r="BE7" i="9"/>
  <c r="BM7" i="9"/>
  <c r="B8" i="9"/>
  <c r="J8" i="9"/>
  <c r="R8" i="9"/>
  <c r="Z8" i="9"/>
  <c r="AH8" i="9"/>
  <c r="AP8" i="9"/>
  <c r="AX8" i="9"/>
  <c r="BF8" i="9"/>
  <c r="BN8" i="9"/>
  <c r="C9" i="9"/>
  <c r="K9" i="9"/>
  <c r="S9" i="9"/>
  <c r="AA9" i="9"/>
  <c r="AI9" i="9"/>
  <c r="AQ9" i="9"/>
  <c r="AY9" i="9"/>
  <c r="BG9" i="9"/>
  <c r="BO9" i="9"/>
  <c r="D10" i="9"/>
  <c r="L10" i="9"/>
  <c r="T10" i="9"/>
  <c r="AB10" i="9"/>
  <c r="AJ10" i="9"/>
  <c r="AR10" i="9"/>
  <c r="AZ10" i="9"/>
  <c r="BH10" i="9"/>
  <c r="BP10" i="9"/>
  <c r="E11" i="9"/>
  <c r="E2" i="9"/>
  <c r="M2" i="9"/>
  <c r="U2" i="9"/>
  <c r="AC2" i="9"/>
  <c r="AK2" i="9"/>
  <c r="AS2" i="9"/>
  <c r="BA2" i="9"/>
  <c r="BI2" i="9"/>
  <c r="BQ2" i="9"/>
  <c r="F3" i="9"/>
  <c r="N3" i="9"/>
  <c r="V3" i="9"/>
  <c r="AD3" i="9"/>
  <c r="AL3" i="9"/>
  <c r="AT3" i="9"/>
  <c r="BB3" i="9"/>
  <c r="BJ3" i="9"/>
  <c r="BR3" i="9"/>
  <c r="G4" i="9"/>
  <c r="O4" i="9"/>
  <c r="W4" i="9"/>
  <c r="AE4" i="9"/>
  <c r="AM4" i="9"/>
  <c r="AU4" i="9"/>
  <c r="BC4" i="9"/>
  <c r="BK4" i="9"/>
  <c r="BS4" i="9"/>
  <c r="H5" i="9"/>
  <c r="P5" i="9"/>
  <c r="X5" i="9"/>
  <c r="AF5" i="9"/>
  <c r="AN5" i="9"/>
  <c r="AV5" i="9"/>
  <c r="BD5" i="9"/>
  <c r="BL5" i="9"/>
  <c r="A6" i="9"/>
  <c r="I6" i="9"/>
  <c r="Q6" i="9"/>
  <c r="Y6" i="9"/>
  <c r="AG6" i="9"/>
  <c r="AO6" i="9"/>
  <c r="AW6" i="9"/>
  <c r="BE6" i="9"/>
  <c r="BM6" i="9"/>
  <c r="B7" i="9"/>
  <c r="J7" i="9"/>
  <c r="R7" i="9"/>
  <c r="Z7" i="9"/>
  <c r="AH7" i="9"/>
  <c r="AP7" i="9"/>
  <c r="AX7" i="9"/>
  <c r="BF7" i="9"/>
  <c r="BN7" i="9"/>
  <c r="C8" i="9"/>
  <c r="K8" i="9"/>
  <c r="S8" i="9"/>
  <c r="AA8" i="9"/>
  <c r="AI8" i="9"/>
  <c r="AQ8" i="9"/>
  <c r="AY8" i="9"/>
  <c r="BG8" i="9"/>
  <c r="BO8" i="9"/>
  <c r="D9" i="9"/>
  <c r="L9" i="9"/>
  <c r="T9" i="9"/>
  <c r="AB9" i="9"/>
  <c r="AJ9" i="9"/>
  <c r="AR9" i="9"/>
  <c r="AZ9" i="9"/>
  <c r="BH9" i="9"/>
  <c r="BP9" i="9"/>
  <c r="E10" i="9"/>
  <c r="M10" i="9"/>
  <c r="U10" i="9"/>
  <c r="AC10" i="9"/>
  <c r="AK10" i="9"/>
  <c r="AS10" i="9"/>
  <c r="BA10" i="9"/>
  <c r="BI10" i="9"/>
  <c r="BQ10" i="9"/>
  <c r="F11" i="9"/>
  <c r="F2" i="9"/>
  <c r="V2" i="9"/>
  <c r="AL2" i="9"/>
  <c r="BB2" i="9"/>
  <c r="BR2" i="9"/>
  <c r="O3" i="9"/>
  <c r="AE3" i="9"/>
  <c r="AU3" i="9"/>
  <c r="BK3" i="9"/>
  <c r="H4" i="9"/>
  <c r="X4" i="9"/>
  <c r="AN4" i="9"/>
  <c r="BD4" i="9"/>
  <c r="A5" i="9"/>
  <c r="Q5" i="9"/>
  <c r="AG5" i="9"/>
  <c r="AW5" i="9"/>
  <c r="BM5" i="9"/>
  <c r="J6" i="9"/>
  <c r="Z6" i="9"/>
  <c r="AP6" i="9"/>
  <c r="BF6" i="9"/>
  <c r="C7" i="9"/>
  <c r="S7" i="9"/>
  <c r="AI7" i="9"/>
  <c r="AY7" i="9"/>
  <c r="BO7" i="9"/>
  <c r="L8" i="9"/>
  <c r="AB8" i="9"/>
  <c r="AR8" i="9"/>
  <c r="BH8" i="9"/>
  <c r="E9" i="9"/>
  <c r="U9" i="9"/>
  <c r="AK9" i="9"/>
  <c r="BA9" i="9"/>
  <c r="BQ9" i="9"/>
  <c r="N10" i="9"/>
  <c r="AD10" i="9"/>
  <c r="AT10" i="9"/>
  <c r="BJ10" i="9"/>
  <c r="G11" i="9"/>
  <c r="O11" i="9"/>
  <c r="W11" i="9"/>
  <c r="AE11" i="9"/>
  <c r="AM11" i="9"/>
  <c r="AU11" i="9"/>
  <c r="BC11" i="9"/>
  <c r="BK11" i="9"/>
  <c r="BS11" i="9"/>
  <c r="H12" i="9"/>
  <c r="P12" i="9"/>
  <c r="X12" i="9"/>
  <c r="AF12" i="9"/>
  <c r="AN12" i="9"/>
  <c r="AV12" i="9"/>
  <c r="BD12" i="9"/>
  <c r="BL12" i="9"/>
  <c r="A13" i="9"/>
  <c r="I13" i="9"/>
  <c r="Q13" i="9"/>
  <c r="Y13" i="9"/>
  <c r="AG13" i="9"/>
  <c r="AO13" i="9"/>
  <c r="AW13" i="9"/>
  <c r="BE13" i="9"/>
  <c r="BM13" i="9"/>
  <c r="B14" i="9"/>
  <c r="J14" i="9"/>
  <c r="R14" i="9"/>
  <c r="Z14" i="9"/>
  <c r="AH14" i="9"/>
  <c r="AP14" i="9"/>
  <c r="AX14" i="9"/>
  <c r="BF14" i="9"/>
  <c r="BN14" i="9"/>
  <c r="C15" i="9"/>
  <c r="K15" i="9"/>
  <c r="S15" i="9"/>
  <c r="AA15" i="9"/>
  <c r="AI15" i="9"/>
  <c r="AQ15" i="9"/>
  <c r="AY15" i="9"/>
  <c r="BG15" i="9"/>
  <c r="G2" i="9"/>
  <c r="W2" i="9"/>
  <c r="AM2" i="9"/>
  <c r="BC2" i="9"/>
  <c r="BS2" i="9"/>
  <c r="P3" i="9"/>
  <c r="AF3" i="9"/>
  <c r="AV3" i="9"/>
  <c r="BL3" i="9"/>
  <c r="I4" i="9"/>
  <c r="Y4" i="9"/>
  <c r="AO4" i="9"/>
  <c r="BE4" i="9"/>
  <c r="B5" i="9"/>
  <c r="R5" i="9"/>
  <c r="AH5" i="9"/>
  <c r="AX5" i="9"/>
  <c r="BN5" i="9"/>
  <c r="K6" i="9"/>
  <c r="AA6" i="9"/>
  <c r="AQ6" i="9"/>
  <c r="BG6" i="9"/>
  <c r="D7" i="9"/>
  <c r="T7" i="9"/>
  <c r="AJ7" i="9"/>
  <c r="AZ7" i="9"/>
  <c r="BP7" i="9"/>
  <c r="M8" i="9"/>
  <c r="AC8" i="9"/>
  <c r="AS8" i="9"/>
  <c r="BI8" i="9"/>
  <c r="F9" i="9"/>
  <c r="V9" i="9"/>
  <c r="AL9" i="9"/>
  <c r="BB9" i="9"/>
  <c r="BR9" i="9"/>
  <c r="O10" i="9"/>
  <c r="AE10" i="9"/>
  <c r="AU10" i="9"/>
  <c r="BK10" i="9"/>
  <c r="H11" i="9"/>
  <c r="P11" i="9"/>
  <c r="X11" i="9"/>
  <c r="AF11" i="9"/>
  <c r="AN11" i="9"/>
  <c r="AV11" i="9"/>
  <c r="BD11" i="9"/>
  <c r="BL11" i="9"/>
  <c r="A12" i="9"/>
  <c r="I12" i="9"/>
  <c r="Q12" i="9"/>
  <c r="Y12" i="9"/>
  <c r="AG12" i="9"/>
  <c r="AO12" i="9"/>
  <c r="AW12" i="9"/>
  <c r="BE12" i="9"/>
  <c r="BM12" i="9"/>
  <c r="B13" i="9"/>
  <c r="J13" i="9"/>
  <c r="R13" i="9"/>
  <c r="Z13" i="9"/>
  <c r="AH13" i="9"/>
  <c r="AP13" i="9"/>
  <c r="AX13" i="9"/>
  <c r="BF13" i="9"/>
  <c r="BN13" i="9"/>
  <c r="C14" i="9"/>
  <c r="K14" i="9"/>
  <c r="S14" i="9"/>
  <c r="AA14" i="9"/>
  <c r="AI14" i="9"/>
  <c r="AQ14" i="9"/>
  <c r="AY14" i="9"/>
  <c r="BG14" i="9"/>
  <c r="BO14" i="9"/>
  <c r="D15" i="9"/>
  <c r="L15" i="9"/>
  <c r="T15" i="9"/>
  <c r="AB15" i="9"/>
  <c r="AJ15" i="9"/>
  <c r="AR15" i="9"/>
  <c r="AZ15" i="9"/>
  <c r="BH15" i="9"/>
  <c r="H2" i="9"/>
  <c r="X2" i="9"/>
  <c r="AN2" i="9"/>
  <c r="BD2" i="9"/>
  <c r="A3" i="9"/>
  <c r="Q3" i="9"/>
  <c r="AG3" i="9"/>
  <c r="AW3" i="9"/>
  <c r="BM3" i="9"/>
  <c r="J4" i="9"/>
  <c r="Z4" i="9"/>
  <c r="AP4" i="9"/>
  <c r="BF4" i="9"/>
  <c r="C5" i="9"/>
  <c r="S5" i="9"/>
  <c r="AI5" i="9"/>
  <c r="AY5" i="9"/>
  <c r="BO5" i="9"/>
  <c r="L6" i="9"/>
  <c r="AB6" i="9"/>
  <c r="AR6" i="9"/>
  <c r="BH6" i="9"/>
  <c r="E7" i="9"/>
  <c r="U7" i="9"/>
  <c r="AK7" i="9"/>
  <c r="BA7" i="9"/>
  <c r="BQ7" i="9"/>
  <c r="N8" i="9"/>
  <c r="AD8" i="9"/>
  <c r="AT8" i="9"/>
  <c r="BJ8" i="9"/>
  <c r="G9" i="9"/>
  <c r="W9" i="9"/>
  <c r="AM9" i="9"/>
  <c r="BC9" i="9"/>
  <c r="BS9" i="9"/>
  <c r="P10" i="9"/>
  <c r="AF10" i="9"/>
  <c r="AV10" i="9"/>
  <c r="BL10" i="9"/>
  <c r="I11" i="9"/>
  <c r="Q11" i="9"/>
  <c r="Y11" i="9"/>
  <c r="AG11" i="9"/>
  <c r="AO11" i="9"/>
  <c r="AW11" i="9"/>
  <c r="BE11" i="9"/>
  <c r="BM11" i="9"/>
  <c r="B12" i="9"/>
  <c r="J12" i="9"/>
  <c r="R12" i="9"/>
  <c r="Z12" i="9"/>
  <c r="AH12" i="9"/>
  <c r="AP12" i="9"/>
  <c r="AX12" i="9"/>
  <c r="BF12" i="9"/>
  <c r="BN12" i="9"/>
  <c r="C13" i="9"/>
  <c r="K13" i="9"/>
  <c r="S13" i="9"/>
  <c r="AA13" i="9"/>
  <c r="AI13" i="9"/>
  <c r="AQ13" i="9"/>
  <c r="AY13" i="9"/>
  <c r="BG13" i="9"/>
  <c r="BO13" i="9"/>
  <c r="D14" i="9"/>
  <c r="L14" i="9"/>
  <c r="T14" i="9"/>
  <c r="AB14" i="9"/>
  <c r="AJ14" i="9"/>
  <c r="AR14" i="9"/>
  <c r="AZ14" i="9"/>
  <c r="BH14" i="9"/>
  <c r="BP14" i="9"/>
  <c r="E15" i="9"/>
  <c r="M15" i="9"/>
  <c r="U15" i="9"/>
  <c r="AC15" i="9"/>
  <c r="AK15" i="9"/>
  <c r="AS15" i="9"/>
  <c r="BA15" i="9"/>
  <c r="BI15" i="9"/>
  <c r="BQ15" i="9"/>
  <c r="I2" i="9"/>
  <c r="Y2" i="9"/>
  <c r="AO2" i="9"/>
  <c r="BE2" i="9"/>
  <c r="B3" i="9"/>
  <c r="R3" i="9"/>
  <c r="AH3" i="9"/>
  <c r="AX3" i="9"/>
  <c r="BN3" i="9"/>
  <c r="K4" i="9"/>
  <c r="AA4" i="9"/>
  <c r="AQ4" i="9"/>
  <c r="BG4" i="9"/>
  <c r="D5" i="9"/>
  <c r="T5" i="9"/>
  <c r="AJ5" i="9"/>
  <c r="AZ5" i="9"/>
  <c r="BP5" i="9"/>
  <c r="M6" i="9"/>
  <c r="AC6" i="9"/>
  <c r="AS6" i="9"/>
  <c r="BI6" i="9"/>
  <c r="F7" i="9"/>
  <c r="V7" i="9"/>
  <c r="AL7" i="9"/>
  <c r="BB7" i="9"/>
  <c r="BR7" i="9"/>
  <c r="O8" i="9"/>
  <c r="AE8" i="9"/>
  <c r="AU8" i="9"/>
  <c r="BK8" i="9"/>
  <c r="H9" i="9"/>
  <c r="X9" i="9"/>
  <c r="AN9" i="9"/>
  <c r="BD9" i="9"/>
  <c r="A10" i="9"/>
  <c r="Q10" i="9"/>
  <c r="AG10" i="9"/>
  <c r="AW10" i="9"/>
  <c r="BM10" i="9"/>
  <c r="J11" i="9"/>
  <c r="R11" i="9"/>
  <c r="Z11" i="9"/>
  <c r="AH11" i="9"/>
  <c r="AP11" i="9"/>
  <c r="AX11" i="9"/>
  <c r="BF11" i="9"/>
  <c r="BN11" i="9"/>
  <c r="C12" i="9"/>
  <c r="K12" i="9"/>
  <c r="S12" i="9"/>
  <c r="AA12" i="9"/>
  <c r="AI12" i="9"/>
  <c r="AQ12" i="9"/>
  <c r="AY12" i="9"/>
  <c r="BG12" i="9"/>
  <c r="BO12" i="9"/>
  <c r="D13" i="9"/>
  <c r="L13" i="9"/>
  <c r="T13" i="9"/>
  <c r="AB13" i="9"/>
  <c r="AJ13" i="9"/>
  <c r="AR13" i="9"/>
  <c r="AZ13" i="9"/>
  <c r="BH13" i="9"/>
  <c r="BP13" i="9"/>
  <c r="E14" i="9"/>
  <c r="M14" i="9"/>
  <c r="U14" i="9"/>
  <c r="AC14" i="9"/>
  <c r="AK14" i="9"/>
  <c r="AS14" i="9"/>
  <c r="BA14" i="9"/>
  <c r="BI14" i="9"/>
  <c r="BQ14" i="9"/>
  <c r="F15" i="9"/>
  <c r="N15" i="9"/>
  <c r="V15" i="9"/>
  <c r="AD15" i="9"/>
  <c r="AL15" i="9"/>
  <c r="AT15" i="9"/>
  <c r="BB15" i="9"/>
  <c r="BJ15" i="9"/>
  <c r="N2" i="9"/>
  <c r="AD2" i="9"/>
  <c r="AT2" i="9"/>
  <c r="BJ2" i="9"/>
  <c r="G3" i="9"/>
  <c r="W3" i="9"/>
  <c r="AM3" i="9"/>
  <c r="BC3" i="9"/>
  <c r="BS3" i="9"/>
  <c r="P4" i="9"/>
  <c r="AF4" i="9"/>
  <c r="AV4" i="9"/>
  <c r="BL4" i="9"/>
  <c r="I5" i="9"/>
  <c r="Y5" i="9"/>
  <c r="AO5" i="9"/>
  <c r="BE5" i="9"/>
  <c r="B6" i="9"/>
  <c r="R6" i="9"/>
  <c r="AH6" i="9"/>
  <c r="AX6" i="9"/>
  <c r="BN6" i="9"/>
  <c r="K7" i="9"/>
  <c r="AA7" i="9"/>
  <c r="AQ7" i="9"/>
  <c r="BG7" i="9"/>
  <c r="D8" i="9"/>
  <c r="T8" i="9"/>
  <c r="AJ8" i="9"/>
  <c r="AZ8" i="9"/>
  <c r="BP8" i="9"/>
  <c r="M9" i="9"/>
  <c r="AC9" i="9"/>
  <c r="AS9" i="9"/>
  <c r="BI9" i="9"/>
  <c r="F10" i="9"/>
  <c r="V10" i="9"/>
  <c r="AL10" i="9"/>
  <c r="BB10" i="9"/>
  <c r="BR10" i="9"/>
  <c r="K11" i="9"/>
  <c r="S11" i="9"/>
  <c r="AA11" i="9"/>
  <c r="AI11" i="9"/>
  <c r="AQ11" i="9"/>
  <c r="AY11" i="9"/>
  <c r="BG11" i="9"/>
  <c r="BO11" i="9"/>
  <c r="D12" i="9"/>
  <c r="L12" i="9"/>
  <c r="T12" i="9"/>
  <c r="AB12" i="9"/>
  <c r="AJ12" i="9"/>
  <c r="AR12" i="9"/>
  <c r="AZ12" i="9"/>
  <c r="BH12" i="9"/>
  <c r="BP12" i="9"/>
  <c r="E13" i="9"/>
  <c r="M13" i="9"/>
  <c r="U13" i="9"/>
  <c r="AC13" i="9"/>
  <c r="AK13" i="9"/>
  <c r="AS13" i="9"/>
  <c r="BA13" i="9"/>
  <c r="BI13" i="9"/>
  <c r="BQ13" i="9"/>
  <c r="F14" i="9"/>
  <c r="N14" i="9"/>
  <c r="V14" i="9"/>
  <c r="AD14" i="9"/>
  <c r="AL14" i="9"/>
  <c r="AT14" i="9"/>
  <c r="BB14" i="9"/>
  <c r="BJ14" i="9"/>
  <c r="BR14" i="9"/>
  <c r="G15" i="9"/>
  <c r="O15" i="9"/>
  <c r="W15" i="9"/>
  <c r="AE15" i="9"/>
  <c r="AM15" i="9"/>
  <c r="AU15" i="9"/>
  <c r="BC15" i="9"/>
  <c r="BK15" i="9"/>
  <c r="O2" i="9"/>
  <c r="AE2" i="9"/>
  <c r="AU2" i="9"/>
  <c r="BK2" i="9"/>
  <c r="H3" i="9"/>
  <c r="X3" i="9"/>
  <c r="AN3" i="9"/>
  <c r="BD3" i="9"/>
  <c r="A4" i="9"/>
  <c r="Q4" i="9"/>
  <c r="AG4" i="9"/>
  <c r="AW4" i="9"/>
  <c r="BM4" i="9"/>
  <c r="J5" i="9"/>
  <c r="Z5" i="9"/>
  <c r="AP5" i="9"/>
  <c r="BF5" i="9"/>
  <c r="C6" i="9"/>
  <c r="S6" i="9"/>
  <c r="AI6" i="9"/>
  <c r="AY6" i="9"/>
  <c r="BO6" i="9"/>
  <c r="L7" i="9"/>
  <c r="AB7" i="9"/>
  <c r="AR7" i="9"/>
  <c r="BH7" i="9"/>
  <c r="E8" i="9"/>
  <c r="U8" i="9"/>
  <c r="AK8" i="9"/>
  <c r="BA8" i="9"/>
  <c r="BQ8" i="9"/>
  <c r="N9" i="9"/>
  <c r="AD9" i="9"/>
  <c r="AT9" i="9"/>
  <c r="BJ9" i="9"/>
  <c r="G10" i="9"/>
  <c r="W10" i="9"/>
  <c r="AM10" i="9"/>
  <c r="BC10" i="9"/>
  <c r="BS10" i="9"/>
  <c r="L11" i="9"/>
  <c r="T11" i="9"/>
  <c r="AB11" i="9"/>
  <c r="AJ11" i="9"/>
  <c r="AR11" i="9"/>
  <c r="AZ11" i="9"/>
  <c r="BH11" i="9"/>
  <c r="BP11" i="9"/>
  <c r="E12" i="9"/>
  <c r="M12" i="9"/>
  <c r="U12" i="9"/>
  <c r="AC12" i="9"/>
  <c r="AK12" i="9"/>
  <c r="AS12" i="9"/>
  <c r="BA12" i="9"/>
  <c r="BI12" i="9"/>
  <c r="BQ12" i="9"/>
  <c r="F13" i="9"/>
  <c r="N13" i="9"/>
  <c r="V13" i="9"/>
  <c r="AD13" i="9"/>
  <c r="AL13" i="9"/>
  <c r="AT13" i="9"/>
  <c r="BB13" i="9"/>
  <c r="BJ13" i="9"/>
  <c r="BR13" i="9"/>
  <c r="G14" i="9"/>
  <c r="O14" i="9"/>
  <c r="W14" i="9"/>
  <c r="AE14" i="9"/>
  <c r="AM14" i="9"/>
  <c r="AU14" i="9"/>
  <c r="BC14" i="9"/>
  <c r="BK14" i="9"/>
  <c r="BS14" i="9"/>
  <c r="H15" i="9"/>
  <c r="P15" i="9"/>
  <c r="X15" i="9"/>
  <c r="AF15" i="9"/>
  <c r="AN15" i="9"/>
  <c r="AV15" i="9"/>
  <c r="BD15" i="9"/>
  <c r="BL15" i="9"/>
  <c r="A2" i="9"/>
  <c r="Q2" i="9"/>
  <c r="AG2" i="9"/>
  <c r="AW2" i="9"/>
  <c r="BM2" i="9"/>
  <c r="J3" i="9"/>
  <c r="Z3" i="9"/>
  <c r="AP3" i="9"/>
  <c r="BF3" i="9"/>
  <c r="C4" i="9"/>
  <c r="S4" i="9"/>
  <c r="AI4" i="9"/>
  <c r="AY4" i="9"/>
  <c r="BO4" i="9"/>
  <c r="L5" i="9"/>
  <c r="AB5" i="9"/>
  <c r="AR5" i="9"/>
  <c r="BH5" i="9"/>
  <c r="E6" i="9"/>
  <c r="U6" i="9"/>
  <c r="AK6" i="9"/>
  <c r="BA6" i="9"/>
  <c r="BQ6" i="9"/>
  <c r="N7" i="9"/>
  <c r="AD7" i="9"/>
  <c r="AT7" i="9"/>
  <c r="BJ7" i="9"/>
  <c r="G8" i="9"/>
  <c r="W8" i="9"/>
  <c r="AM8" i="9"/>
  <c r="BC8" i="9"/>
  <c r="BS8" i="9"/>
  <c r="P9" i="9"/>
  <c r="AF9" i="9"/>
  <c r="AV9" i="9"/>
  <c r="BL9" i="9"/>
  <c r="I10" i="9"/>
  <c r="Y10" i="9"/>
  <c r="AO10" i="9"/>
  <c r="BE10" i="9"/>
  <c r="B11" i="9"/>
  <c r="N11" i="9"/>
  <c r="V11" i="9"/>
  <c r="AD11" i="9"/>
  <c r="AL11" i="9"/>
  <c r="AT11" i="9"/>
  <c r="BB11" i="9"/>
  <c r="BJ11" i="9"/>
  <c r="BR11" i="9"/>
  <c r="G12" i="9"/>
  <c r="O12" i="9"/>
  <c r="W12" i="9"/>
  <c r="AE12" i="9"/>
  <c r="AM12" i="9"/>
  <c r="AU12" i="9"/>
  <c r="BC12" i="9"/>
  <c r="BK12" i="9"/>
  <c r="BS12" i="9"/>
  <c r="H13" i="9"/>
  <c r="P13" i="9"/>
  <c r="X13" i="9"/>
  <c r="AF13" i="9"/>
  <c r="AN13" i="9"/>
  <c r="AV13" i="9"/>
  <c r="BD13" i="9"/>
  <c r="BL13" i="9"/>
  <c r="A14" i="9"/>
  <c r="I14" i="9"/>
  <c r="Q14" i="9"/>
  <c r="Y14" i="9"/>
  <c r="AG14" i="9"/>
  <c r="AO14" i="9"/>
  <c r="AW14" i="9"/>
  <c r="BE14" i="9"/>
  <c r="BM14" i="9"/>
  <c r="B15" i="9"/>
  <c r="J15" i="9"/>
  <c r="R15" i="9"/>
  <c r="Z15" i="9"/>
  <c r="AH15" i="9"/>
  <c r="AP15" i="9"/>
  <c r="AX15" i="9"/>
  <c r="BF15" i="9"/>
  <c r="BN15" i="9"/>
  <c r="P2" i="9"/>
  <c r="B4" i="9"/>
  <c r="BG5" i="9"/>
  <c r="AS7" i="9"/>
  <c r="AE9" i="9"/>
  <c r="M11" i="9"/>
  <c r="F12" i="9"/>
  <c r="BR12" i="9"/>
  <c r="BK13" i="9"/>
  <c r="BD14" i="9"/>
  <c r="AW15" i="9"/>
  <c r="B16" i="9"/>
  <c r="J16" i="9"/>
  <c r="R16" i="9"/>
  <c r="Z16" i="9"/>
  <c r="AH16" i="9"/>
  <c r="AP16" i="9"/>
  <c r="AX16" i="9"/>
  <c r="BF16" i="9"/>
  <c r="BN16" i="9"/>
  <c r="AF2" i="9"/>
  <c r="R4" i="9"/>
  <c r="D6" i="9"/>
  <c r="BI7" i="9"/>
  <c r="AU9" i="9"/>
  <c r="U11" i="9"/>
  <c r="N12" i="9"/>
  <c r="G13" i="9"/>
  <c r="BS13" i="9"/>
  <c r="BL14" i="9"/>
  <c r="BE15" i="9"/>
  <c r="C16" i="9"/>
  <c r="K16" i="9"/>
  <c r="S16" i="9"/>
  <c r="AA16" i="9"/>
  <c r="AI16" i="9"/>
  <c r="AQ16" i="9"/>
  <c r="AY16" i="9"/>
  <c r="BG16" i="9"/>
  <c r="BO16" i="9"/>
  <c r="AV2" i="9"/>
  <c r="AH4" i="9"/>
  <c r="T6" i="9"/>
  <c r="F8" i="9"/>
  <c r="BK9" i="9"/>
  <c r="AC11" i="9"/>
  <c r="V12" i="9"/>
  <c r="O13" i="9"/>
  <c r="H14" i="9"/>
  <c r="A15" i="9"/>
  <c r="BM15" i="9"/>
  <c r="D16" i="9"/>
  <c r="L16" i="9"/>
  <c r="T16" i="9"/>
  <c r="AB16" i="9"/>
  <c r="AJ16" i="9"/>
  <c r="AR16" i="9"/>
  <c r="AZ16" i="9"/>
  <c r="BH16" i="9"/>
  <c r="BP16" i="9"/>
  <c r="BL2" i="9"/>
  <c r="AX4" i="9"/>
  <c r="AJ6" i="9"/>
  <c r="V8" i="9"/>
  <c r="H10" i="9"/>
  <c r="AK11" i="9"/>
  <c r="AD12" i="9"/>
  <c r="W13" i="9"/>
  <c r="P14" i="9"/>
  <c r="I15" i="9"/>
  <c r="BO15" i="9"/>
  <c r="E16" i="9"/>
  <c r="M16" i="9"/>
  <c r="U16" i="9"/>
  <c r="AC16" i="9"/>
  <c r="AK16" i="9"/>
  <c r="AS16" i="9"/>
  <c r="BA16" i="9"/>
  <c r="BI16" i="9"/>
  <c r="BQ16" i="9"/>
  <c r="I3" i="9"/>
  <c r="BN4" i="9"/>
  <c r="AZ6" i="9"/>
  <c r="AL8" i="9"/>
  <c r="X10" i="9"/>
  <c r="AS11" i="9"/>
  <c r="AL12" i="9"/>
  <c r="AE13" i="9"/>
  <c r="X14" i="9"/>
  <c r="Q15" i="9"/>
  <c r="BP15" i="9"/>
  <c r="F16" i="9"/>
  <c r="N16" i="9"/>
  <c r="V16" i="9"/>
  <c r="AD16" i="9"/>
  <c r="AL16" i="9"/>
  <c r="AT16" i="9"/>
  <c r="BB16" i="9"/>
  <c r="BJ16" i="9"/>
  <c r="BR16" i="9"/>
  <c r="Y3" i="9"/>
  <c r="K5" i="9"/>
  <c r="BP6" i="9"/>
  <c r="BB8" i="9"/>
  <c r="AN10" i="9"/>
  <c r="BA11" i="9"/>
  <c r="AT12" i="9"/>
  <c r="AM13" i="9"/>
  <c r="AF14" i="9"/>
  <c r="Y15" i="9"/>
  <c r="BR15" i="9"/>
  <c r="G16" i="9"/>
  <c r="O16" i="9"/>
  <c r="W16" i="9"/>
  <c r="AE16" i="9"/>
  <c r="AM16" i="9"/>
  <c r="AU16" i="9"/>
  <c r="BC16" i="9"/>
  <c r="BK16" i="9"/>
  <c r="BS16" i="9"/>
  <c r="AO3" i="9"/>
  <c r="AA5" i="9"/>
  <c r="M7" i="9"/>
  <c r="BR8" i="9"/>
  <c r="BD10" i="9"/>
  <c r="BI11" i="9"/>
  <c r="BB12" i="9"/>
  <c r="AU13" i="9"/>
  <c r="AN14" i="9"/>
  <c r="AG15" i="9"/>
  <c r="BS15" i="9"/>
  <c r="H16" i="9"/>
  <c r="P16" i="9"/>
  <c r="X16" i="9"/>
  <c r="AF16" i="9"/>
  <c r="AN16" i="9"/>
  <c r="AV16" i="9"/>
  <c r="BD16" i="9"/>
  <c r="BL16" i="9"/>
  <c r="BE3" i="9"/>
  <c r="AV14" i="9"/>
  <c r="AW16" i="9"/>
  <c r="AQ5" i="9"/>
  <c r="AO15" i="9"/>
  <c r="BE16" i="9"/>
  <c r="AC7" i="9"/>
  <c r="A16" i="9"/>
  <c r="BM16" i="9"/>
  <c r="O9" i="9"/>
  <c r="I16" i="9"/>
  <c r="A11" i="9"/>
  <c r="Q16" i="9"/>
  <c r="BQ11" i="9"/>
  <c r="Y16" i="9"/>
  <c r="BJ12" i="9"/>
  <c r="AG16" i="9"/>
  <c r="BC13" i="9"/>
  <c r="AO16" i="9"/>
  <c r="B3" i="10" l="1" a="1"/>
  <c r="B4" i="10" l="1"/>
  <c r="B12" i="10"/>
  <c r="B5" i="10"/>
  <c r="B13" i="10"/>
  <c r="B6" i="10"/>
  <c r="B14" i="10"/>
  <c r="B7" i="10"/>
  <c r="B15" i="10"/>
  <c r="B8" i="10"/>
  <c r="B9" i="10"/>
  <c r="B10" i="10"/>
  <c r="B11" i="10"/>
  <c r="B16" i="10"/>
  <c r="B17" i="10"/>
  <c r="B3" i="10"/>
  <c r="B15" i="11" s="1"/>
</calcChain>
</file>

<file path=xl/sharedStrings.xml><?xml version="1.0" encoding="utf-8"?>
<sst xmlns="http://schemas.openxmlformats.org/spreadsheetml/2006/main" count="219" uniqueCount="69">
  <si>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</si>
  <si>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</si>
  <si>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</si>
  <si>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</si>
  <si>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</si>
  <si>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</si>
  <si>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</si>
  <si>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</si>
  <si>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</si>
  <si>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</si>
  <si>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</si>
  <si>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</si>
  <si>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</si>
  <si>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</si>
  <si>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</si>
  <si>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</si>
  <si>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</si>
  <si>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</si>
  <si>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</si>
  <si>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</si>
  <si>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</si>
  <si>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</si>
  <si>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</si>
  <si>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</si>
  <si>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</si>
  <si>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</si>
  <si>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</si>
  <si>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</si>
  <si>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</si>
  <si>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</si>
  <si>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</si>
  <si>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</si>
  <si>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</si>
  <si>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</si>
  <si>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</si>
  <si>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</si>
  <si>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</si>
  <si>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</si>
  <si>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</si>
  <si>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</si>
  <si>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</si>
  <si>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</si>
  <si>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</si>
  <si>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</si>
  <si>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</si>
  <si>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Média</t>
  </si>
  <si>
    <t>R^2</t>
  </si>
  <si>
    <t>Outlayer</t>
  </si>
  <si>
    <t>Outlayers</t>
  </si>
  <si>
    <t>Turbina (Lições)</t>
  </si>
  <si>
    <t>Rho_e (kg/(m^3))</t>
  </si>
  <si>
    <t>T_s (K)</t>
  </si>
  <si>
    <t>V_s (m/s)</t>
  </si>
  <si>
    <t>A_e (m^2)</t>
  </si>
  <si>
    <t>P_e (N/(m^2))</t>
  </si>
  <si>
    <t>mPonto (kg/s)</t>
  </si>
  <si>
    <t>Rho_s (kg/(m^3))</t>
  </si>
  <si>
    <t>A_s (m^2)</t>
  </si>
  <si>
    <t>P_s (N/(m^2))</t>
  </si>
  <si>
    <t>Rbarra (m)</t>
  </si>
  <si>
    <t>L (m)</t>
  </si>
  <si>
    <t>t (s)</t>
  </si>
  <si>
    <t>F (N) Teórica</t>
  </si>
  <si>
    <t>Gaussiana (G)</t>
  </si>
  <si>
    <t>Números decimais</t>
  </si>
  <si>
    <t>-</t>
  </si>
  <si>
    <t>f(X) = 11922896,95906 * EXP(-5,53805E-11 * ||X - (0,00000;0,00000;0,00000;0,00000;0,00000;0,00000;0,00000;0,00000;0,00000;0,00000;0,00000;0,00000;0,00000;0,00000)|| ^ 2)
+235217248118,36400 * EXP(-5,53805E-11 * ||X - (30351,25219;118598,24983;191247,38013;48629,57606;187994,23027;22866,56611;196850,64567;126595,16628;119771,28111;180513,93110;114972,98819;49034,79226;172032,48851;14990,07488)|| ^ 2)
-1030339363,26540 * EXP(-5,53805E-11 * ||X - (87765,28092;151995,80385;49135,77445;75721,24501;79448,71669;105314,64002;54071,84946;116235,28339;41939,80134;15741,78479;179089,24902;22286,58910;130475,34505;180066,77707)|| ^ 2)
+21425988945,33210 * EXP(-5,53805E-11 * ||X - (46319,33589;189981,10334;169237,48378;88243,25055;98401,25252;153901,36426;166978,65857;76513,86755;39106,98342;65231,44784;82646,62497;30535,37093;123966,30353;19881,99478)|| ^ 2)
+165102945,20246 * EXP(-5,53805E-11 * ||X - (41009,44440;138503,55394;100891,82058;36615,21135;198280,48951;94278,29212;803,94350;85169,86829;57743,47159;150508,50113;178255,88075;164386,29770;35377,37790;21757,18067)|| ^ 2)
-75653705052,86400 * EXP(-5,53805E-11 * ||X - (2058,69274;30331,40384;75481,52706;37626,36834;195906,19819;174423,62411;116300,55047;145882,17952;29000,08647;51557,99983;5649,39561;165579,79721;156674,80404;158231,09317)|| ^ 2)
-434814046,48887 * EXP(-5,53805E-11 * ||X - (66538,30347;90188,45997;111022,65475;160666,06202;112797,84790;40716,46374;41518,73030;72937,61285;114703,90899;68836,16972;105645,93454;85097,00758;114602,67647;10009,01029)|| ^ 2)
+1288825198681,66000 * EXP(-5,53805E-11 * ||X - (109519,99788;41297,08448;192535,65103;186610,46082;198514,44966;167917,22903;81864,65974;161055,08960;197885,64452;51688,41478;34896,82143;138921,50170;3397,74680;67818,14627)|| ^ 2)
+5141305764,43250 * EXP(-5,53805E-11 * ||X - (138509,57401;22077,37681;21947,71287;58115,51185;79775,68392;111804,44117;62190,33554;59116,15458;161588,20544;61923,50940;75163,21443;80207,28114;168285,52611;81919,43641)|| ^ 2)
+3498499318,19814 * EXP(-5,53805E-11 * ||X - (144911,75633;131752,66062;81276,33808;190066,14725;129114,18960;103217,62949;44664,63949;116551,64099;149706,54450;91294,07841;180874,74184;56602,96060;133507,67163;178025,46112)|| ^ 2)
+1480665759,50513 * EXP(-5,53805E-11 * ||X - (56276,29140;73611,21683;2844,23425;58931,80935;196809,20852;152256,58608;116175,69067;121134,68962;53608,76907;101633,31425;158719,33864;171482,25422;18630,52378;108374,69467)|| ^ 2)
-7982368731,41594 * EXP(-5,53805E-11 * ||X - (83075,27771;14674,21796;90275,35162;139778,09193;99851,40963;81386,83317;189014,44717;196929,93176;118288,46066;106397,94247;123014,32202;17830,71293;36884,97004;56711,94173)|| ^ 2)
-128230511,73907 * EXP(-5,53805E-11 * ||X - (3761,78811;30519,96909;84022,27627;109684,78087;111688,96313;156201,31668;8589,54957;81148,98680;11798,30589;62367,44478;120608,75018;103538,63625;119287,55368;65925,07899)|| ^ 2)
-479139773932,10100 * EXP(-5,53805E-11 * ||X - (181859,67280;154014,37467;115174,78567;86320,02332;146504,91690;32588,41707;11923,38027;48662,14404;151714,88717;190249,51497;69067,01850;136850,35958;158292,80782;7088,02518)|| ^ 2)
+201865,40811</t>
  </si>
  <si>
    <t>F (N) Teórica Experimental</t>
  </si>
  <si>
    <t>F (N) Teórica Teórica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</si>
</sst>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7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4" fillId="2" borderId="3" applyNumberFormat="0" applyAlignment="0" applyProtection="0"/>
  </cellStyleXfs>
  <cellXfs count="11">
    <xf numFmtId="0" fontId="0" fillId="0" borderId="0" xfId="0"/>
    <xf numFmtId="0" fontId="0" fillId="0" borderId="0" xfId="0"/>
    <xf numFmtId="0" fontId="0" fillId="0" borderId="0" xfId="0"/>
    <xf numFmtId="0" fontId="5" fillId="3" borderId="2" xfId="2" applyFont="1" applyProtection="1">
      <protection hidden="1"/>
    </xf>
    <xf numFmtId="0" fontId="6" fillId="2" borderId="3" xfId="3" applyFont="1" applyProtection="1">
      <protection locked="0" hidden="1"/>
    </xf>
    <xf numFmtId="0" fontId="7" fillId="0" borderId="0" xfId="0" applyFont="1"/>
    <xf numFmtId="165" fontId="8" fillId="2" borderId="1" xfId="1" applyNumberFormat="1" applyFont="1" applyProtection="1">
      <protection hidden="1"/>
    </xf>
    <xf numFmtId="164" fontId="8" fillId="2" borderId="1" xfId="1" applyNumberFormat="1" applyFont="1" applyProtection="1">
      <protection hidden="1"/>
    </xf>
    <xf numFmtId="0" fontId="8" fillId="2" borderId="1" xfId="1" applyFont="1" applyAlignment="1" applyProtection="1">
      <alignment wrapText="1"/>
      <protection hidden="1"/>
    </xf>
    <xf numFmtId="0" fontId="8" fillId="2" borderId="1" xfId="1" applyFont="1" applyProtection="1">
      <protection hidden="1"/>
    </xf>
    <xf numFmtId="167" fontId="0" fillId="0" borderId="0" xfId="0" applyNumberFormat="1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zoomScale="130" zoomScaleNormal="13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72"/>
  <sheetViews>
    <sheetView workbookViewId="0">
      <selection activeCell="F10" sqref="F10"/>
    </sheetView>
  </sheetViews>
  <sheetFormatPr defaultRowHeight="15" x14ac:dyDescent="0.25"/>
  <cols>
    <col min="1" max="1" width="15.140625" bestFit="1" customWidth="1"/>
    <col min="2" max="2" width="16.5703125" bestFit="1" customWidth="1"/>
    <col min="3" max="3" width="6.85546875" bestFit="1" customWidth="1"/>
    <col min="4" max="4" width="9.42578125" bestFit="1" customWidth="1"/>
    <col min="5" max="5" width="10" bestFit="1" customWidth="1"/>
    <col min="6" max="7" width="13.7109375" bestFit="1" customWidth="1"/>
    <col min="8" max="8" width="16.28515625" bestFit="1" customWidth="1"/>
    <col min="9" max="9" width="6.85546875" bestFit="1" customWidth="1"/>
    <col min="10" max="10" width="9.42578125" bestFit="1" customWidth="1"/>
    <col min="11" max="11" width="9.7109375" bestFit="1" customWidth="1"/>
    <col min="12" max="12" width="13.42578125" bestFit="1" customWidth="1"/>
    <col min="13" max="13" width="10.28515625" bestFit="1" customWidth="1"/>
    <col min="14" max="14" width="5.42578125" bestFit="1" customWidth="1"/>
    <col min="15" max="15" width="4.42578125" bestFit="1" customWidth="1"/>
    <col min="16" max="16" width="5.28515625" bestFit="1" customWidth="1"/>
  </cols>
  <sheetData>
    <row r="1" spans="1:16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51</v>
      </c>
      <c r="J1" t="s">
        <v>52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</row>
    <row r="2" spans="1:16" x14ac:dyDescent="0.25">
      <c r="A2">
        <v>1</v>
      </c>
      <c r="B2">
        <v>1.24</v>
      </c>
      <c r="C2">
        <v>280</v>
      </c>
      <c r="D2">
        <v>80</v>
      </c>
      <c r="E2">
        <v>0.10100000000000001</v>
      </c>
      <c r="F2">
        <v>100000</v>
      </c>
      <c r="G2">
        <v>6.12</v>
      </c>
      <c r="H2">
        <v>0.35</v>
      </c>
      <c r="I2">
        <v>980</v>
      </c>
      <c r="J2">
        <v>907</v>
      </c>
      <c r="K2">
        <v>3.1E-2</v>
      </c>
      <c r="L2">
        <v>200000</v>
      </c>
      <c r="M2">
        <v>0.14000000000000001</v>
      </c>
      <c r="N2">
        <v>0.8</v>
      </c>
      <c r="O2">
        <v>190</v>
      </c>
      <c r="P2">
        <v>4191.6493949131036</v>
      </c>
    </row>
    <row r="3" spans="1:16" x14ac:dyDescent="0.25">
      <c r="A3">
        <v>3</v>
      </c>
      <c r="B3">
        <v>1.24</v>
      </c>
      <c r="C3">
        <v>280</v>
      </c>
      <c r="D3">
        <v>70</v>
      </c>
      <c r="E3">
        <v>0.18099999999999999</v>
      </c>
      <c r="F3">
        <v>100000</v>
      </c>
      <c r="G3">
        <v>9.9700000000000006</v>
      </c>
      <c r="H3">
        <v>0.39</v>
      </c>
      <c r="I3">
        <v>900</v>
      </c>
      <c r="J3">
        <v>497</v>
      </c>
      <c r="K3">
        <v>8.1000000000000003E-2</v>
      </c>
      <c r="L3">
        <v>200000</v>
      </c>
      <c r="M3">
        <v>0.2</v>
      </c>
      <c r="N3">
        <v>0.4</v>
      </c>
      <c r="O3">
        <v>230</v>
      </c>
      <c r="P3">
        <v>3729.3913409251181</v>
      </c>
    </row>
    <row r="4" spans="1:16" x14ac:dyDescent="0.25">
      <c r="A4">
        <v>4</v>
      </c>
      <c r="B4">
        <v>1.24</v>
      </c>
      <c r="C4">
        <v>280</v>
      </c>
      <c r="D4">
        <v>60</v>
      </c>
      <c r="E4">
        <v>0.18099999999999999</v>
      </c>
      <c r="F4">
        <v>100000</v>
      </c>
      <c r="G4">
        <v>9.1999999999999993</v>
      </c>
      <c r="H4">
        <v>0.43</v>
      </c>
      <c r="I4">
        <v>800</v>
      </c>
      <c r="J4">
        <v>386</v>
      </c>
      <c r="K4">
        <v>8.1000000000000003E-2</v>
      </c>
      <c r="L4">
        <v>200000</v>
      </c>
      <c r="M4">
        <v>0.2</v>
      </c>
      <c r="N4">
        <v>0.5</v>
      </c>
      <c r="O4">
        <v>160</v>
      </c>
      <c r="P4">
        <v>3370.7158651045684</v>
      </c>
    </row>
    <row r="5" spans="1:16" x14ac:dyDescent="0.25">
      <c r="A5">
        <v>5</v>
      </c>
      <c r="B5">
        <v>1.1599999999999999</v>
      </c>
      <c r="C5">
        <v>300</v>
      </c>
      <c r="D5">
        <v>70</v>
      </c>
      <c r="E5">
        <v>0.10100000000000001</v>
      </c>
      <c r="F5">
        <v>100000</v>
      </c>
      <c r="G5">
        <v>5.0199999999999996</v>
      </c>
      <c r="H5">
        <v>0.45</v>
      </c>
      <c r="I5">
        <v>700</v>
      </c>
      <c r="J5">
        <v>539</v>
      </c>
      <c r="K5">
        <v>3.1E-2</v>
      </c>
      <c r="L5">
        <v>200000</v>
      </c>
      <c r="M5">
        <v>0.14000000000000001</v>
      </c>
      <c r="N5">
        <v>0.4</v>
      </c>
      <c r="O5">
        <v>170</v>
      </c>
      <c r="P5">
        <v>2169.3572215889508</v>
      </c>
    </row>
    <row r="6" spans="1:16" x14ac:dyDescent="0.25">
      <c r="A6">
        <v>6</v>
      </c>
      <c r="B6">
        <v>1.1599999999999999</v>
      </c>
      <c r="C6">
        <v>300</v>
      </c>
      <c r="D6">
        <v>60</v>
      </c>
      <c r="E6">
        <v>0.10199999999999999</v>
      </c>
      <c r="F6">
        <v>100000</v>
      </c>
      <c r="G6">
        <v>4.87</v>
      </c>
      <c r="H6">
        <v>0.35</v>
      </c>
      <c r="I6">
        <v>990</v>
      </c>
      <c r="J6">
        <v>451</v>
      </c>
      <c r="K6">
        <v>4.4999999999999998E-2</v>
      </c>
      <c r="L6">
        <v>200000</v>
      </c>
      <c r="M6">
        <v>0.15</v>
      </c>
      <c r="N6">
        <v>0.45</v>
      </c>
      <c r="O6">
        <v>200</v>
      </c>
      <c r="P6">
        <v>2570.2026757584463</v>
      </c>
    </row>
    <row r="7" spans="1:16" x14ac:dyDescent="0.25">
      <c r="A7">
        <v>7</v>
      </c>
      <c r="B7">
        <v>1.1599999999999999</v>
      </c>
      <c r="C7">
        <v>300</v>
      </c>
      <c r="D7">
        <v>50</v>
      </c>
      <c r="E7">
        <v>0.18099999999999999</v>
      </c>
      <c r="F7">
        <v>100000</v>
      </c>
      <c r="G7">
        <v>7.28</v>
      </c>
      <c r="H7">
        <v>0.53</v>
      </c>
      <c r="I7">
        <v>850</v>
      </c>
      <c r="J7">
        <v>257</v>
      </c>
      <c r="K7">
        <v>8.1000000000000003E-2</v>
      </c>
      <c r="L7">
        <v>200000</v>
      </c>
      <c r="M7">
        <v>0.2</v>
      </c>
      <c r="N7">
        <v>0.7</v>
      </c>
      <c r="O7">
        <v>190</v>
      </c>
      <c r="P7">
        <v>2165.4299122843004</v>
      </c>
    </row>
    <row r="8" spans="1:16" x14ac:dyDescent="0.25">
      <c r="A8">
        <v>8</v>
      </c>
      <c r="B8">
        <v>1.1599999999999999</v>
      </c>
      <c r="C8">
        <v>300</v>
      </c>
      <c r="D8">
        <v>70</v>
      </c>
      <c r="E8">
        <v>0.10199999999999999</v>
      </c>
      <c r="F8">
        <v>100000</v>
      </c>
      <c r="G8">
        <v>9.9499999999999993</v>
      </c>
      <c r="H8">
        <v>0.39</v>
      </c>
      <c r="I8">
        <v>900</v>
      </c>
      <c r="J8">
        <v>471</v>
      </c>
      <c r="K8">
        <v>4.4999999999999998E-2</v>
      </c>
      <c r="L8">
        <v>200000</v>
      </c>
      <c r="M8">
        <v>0.15</v>
      </c>
      <c r="N8">
        <v>0.8</v>
      </c>
      <c r="O8">
        <v>160</v>
      </c>
      <c r="P8">
        <v>2739.5433533464602</v>
      </c>
    </row>
    <row r="9" spans="1:16" x14ac:dyDescent="0.25">
      <c r="A9">
        <v>9</v>
      </c>
      <c r="B9">
        <v>1.1599999999999999</v>
      </c>
      <c r="C9">
        <v>300</v>
      </c>
      <c r="D9">
        <v>60</v>
      </c>
      <c r="E9">
        <v>0.10100000000000001</v>
      </c>
      <c r="F9">
        <v>100000</v>
      </c>
      <c r="G9">
        <v>4.32</v>
      </c>
      <c r="H9">
        <v>0.39</v>
      </c>
      <c r="I9">
        <v>900</v>
      </c>
      <c r="J9">
        <v>575</v>
      </c>
      <c r="K9">
        <v>3.1E-2</v>
      </c>
      <c r="L9">
        <v>200000</v>
      </c>
      <c r="M9">
        <v>0.14000000000000001</v>
      </c>
      <c r="N9">
        <v>0.7</v>
      </c>
      <c r="O9">
        <v>270</v>
      </c>
      <c r="P9">
        <v>2381.3182786448087</v>
      </c>
    </row>
    <row r="10" spans="1:16" x14ac:dyDescent="0.25">
      <c r="A10">
        <v>10</v>
      </c>
      <c r="B10">
        <v>1.1599999999999999</v>
      </c>
      <c r="C10">
        <v>300</v>
      </c>
      <c r="D10">
        <v>2</v>
      </c>
      <c r="E10">
        <v>8.0000000000000002E-3</v>
      </c>
      <c r="F10">
        <v>100000</v>
      </c>
      <c r="G10">
        <v>1.7999999999999999E-2</v>
      </c>
      <c r="H10">
        <v>0.43</v>
      </c>
      <c r="I10">
        <v>800</v>
      </c>
      <c r="J10">
        <v>5</v>
      </c>
      <c r="K10">
        <v>8.0000000000000002E-3</v>
      </c>
      <c r="L10">
        <v>100000</v>
      </c>
      <c r="M10">
        <v>0.05</v>
      </c>
      <c r="N10">
        <v>0.33</v>
      </c>
      <c r="O10">
        <v>260</v>
      </c>
      <c r="P10">
        <v>80.726962516368076</v>
      </c>
    </row>
    <row r="11" spans="1:16" x14ac:dyDescent="0.25">
      <c r="A11">
        <v>11</v>
      </c>
      <c r="B11">
        <v>1.1667530292701285</v>
      </c>
      <c r="C11">
        <v>286.66781485369677</v>
      </c>
      <c r="D11">
        <v>49.320530346724809</v>
      </c>
      <c r="E11">
        <v>0.16965971584048542</v>
      </c>
      <c r="F11">
        <v>100000</v>
      </c>
      <c r="G11">
        <v>2.295154926737681</v>
      </c>
      <c r="H11">
        <v>0.4126623629590726</v>
      </c>
      <c r="I11">
        <v>763.12336098254946</v>
      </c>
      <c r="J11">
        <v>658.63039850330097</v>
      </c>
      <c r="K11">
        <v>4.6033458396396595E-2</v>
      </c>
      <c r="L11">
        <v>192584.85386646137</v>
      </c>
      <c r="M11">
        <v>0.14992799634844137</v>
      </c>
      <c r="N11">
        <v>0.78927563588214744</v>
      </c>
      <c r="O11">
        <v>240.59562282956699</v>
      </c>
      <c r="P11">
        <v>2540.1111195078629</v>
      </c>
    </row>
    <row r="12" spans="1:16" x14ac:dyDescent="0.25">
      <c r="A12">
        <v>12</v>
      </c>
      <c r="B12">
        <v>1.1637387993215749</v>
      </c>
      <c r="C12">
        <v>290.32608405394734</v>
      </c>
      <c r="D12">
        <v>76.356998217360712</v>
      </c>
      <c r="E12">
        <v>0.15408288442378273</v>
      </c>
      <c r="F12">
        <v>100000</v>
      </c>
      <c r="G12">
        <v>9.8468249107742398</v>
      </c>
      <c r="H12">
        <v>0.4045255822862811</v>
      </c>
      <c r="I12">
        <v>757.44703132454254</v>
      </c>
      <c r="J12">
        <v>557.67749827552518</v>
      </c>
      <c r="K12">
        <v>3.6015896098957501E-2</v>
      </c>
      <c r="L12">
        <v>137362.82880296651</v>
      </c>
      <c r="M12">
        <v>8.9715847756492551E-2</v>
      </c>
      <c r="N12">
        <v>0.6519625179348818</v>
      </c>
      <c r="O12">
        <v>186.19577049529653</v>
      </c>
      <c r="P12">
        <v>2772.9128895238318</v>
      </c>
    </row>
    <row r="13" spans="1:16" x14ac:dyDescent="0.25">
      <c r="A13">
        <v>13</v>
      </c>
      <c r="B13">
        <v>1.2044158756957899</v>
      </c>
      <c r="C13">
        <v>292.14325950932323</v>
      </c>
      <c r="D13">
        <v>13.784159862966366</v>
      </c>
      <c r="E13">
        <v>0.13519853459984163</v>
      </c>
      <c r="F13">
        <v>100000</v>
      </c>
      <c r="G13">
        <v>6.4358138575449297</v>
      </c>
      <c r="H13">
        <v>0.47521773855147065</v>
      </c>
      <c r="I13">
        <v>859.52565190576479</v>
      </c>
      <c r="J13">
        <v>517.43981495248045</v>
      </c>
      <c r="K13">
        <v>1.7006569355698664E-2</v>
      </c>
      <c r="L13">
        <v>185485.27945778327</v>
      </c>
      <c r="M13">
        <v>0.16777236757156772</v>
      </c>
      <c r="N13">
        <v>0.43828899956512724</v>
      </c>
      <c r="O13">
        <v>239.06278275957965</v>
      </c>
      <c r="P13">
        <v>1994.1680413612557</v>
      </c>
    </row>
    <row r="14" spans="1:16" x14ac:dyDescent="0.25">
      <c r="A14">
        <v>14</v>
      </c>
      <c r="B14">
        <v>1.2018688128286317</v>
      </c>
      <c r="C14">
        <v>287.61774275795892</v>
      </c>
      <c r="D14">
        <v>8.6713341362277312</v>
      </c>
      <c r="E14">
        <v>0.14513980393738357</v>
      </c>
      <c r="F14">
        <v>100000</v>
      </c>
      <c r="G14">
        <v>3.9557365545934529</v>
      </c>
      <c r="H14">
        <v>0.40536326269660922</v>
      </c>
      <c r="I14">
        <v>746.3217180846417</v>
      </c>
      <c r="J14">
        <v>210.30805809632758</v>
      </c>
      <c r="K14">
        <v>7.3861776337964147E-2</v>
      </c>
      <c r="L14">
        <v>134020.17059652868</v>
      </c>
      <c r="M14">
        <v>9.2737693283689776E-2</v>
      </c>
      <c r="N14">
        <v>0.35417266633745054</v>
      </c>
      <c r="O14">
        <v>224.56427150900089</v>
      </c>
      <c r="P14">
        <v>941.24542910436139</v>
      </c>
    </row>
    <row r="15" spans="1:16" x14ac:dyDescent="0.25">
      <c r="A15">
        <v>16</v>
      </c>
      <c r="B15">
        <v>1.1624211650174012</v>
      </c>
      <c r="C15">
        <v>295.2257330474572</v>
      </c>
      <c r="D15">
        <v>48.629963933721875</v>
      </c>
      <c r="E15">
        <v>0.14641587052709071</v>
      </c>
      <c r="F15">
        <v>100000</v>
      </c>
      <c r="G15">
        <v>4.458847216472912</v>
      </c>
      <c r="H15">
        <v>0.5195577076855552</v>
      </c>
      <c r="I15">
        <v>804.08653698499779</v>
      </c>
      <c r="J15">
        <v>101.83915416795141</v>
      </c>
      <c r="K15">
        <v>5.9270832515313294E-2</v>
      </c>
      <c r="L15">
        <v>166657.7923230585</v>
      </c>
      <c r="M15">
        <v>0.16382232942267907</v>
      </c>
      <c r="N15">
        <v>0.75663519499451459</v>
      </c>
      <c r="O15">
        <v>180.88562253366283</v>
      </c>
      <c r="P15">
        <v>924.96078076649428</v>
      </c>
    </row>
    <row r="16" spans="1:16" x14ac:dyDescent="0.25">
      <c r="A16">
        <v>17</v>
      </c>
      <c r="B16">
        <v>1.1705519537285254</v>
      </c>
      <c r="C16">
        <v>296.41512812195037</v>
      </c>
      <c r="D16">
        <v>17.09713766634048</v>
      </c>
      <c r="E16">
        <v>1.1297325946142467E-2</v>
      </c>
      <c r="F16">
        <v>100000</v>
      </c>
      <c r="G16">
        <v>7.797394521943243</v>
      </c>
      <c r="H16">
        <v>0.42511131650732253</v>
      </c>
      <c r="I16">
        <v>837.90801417929572</v>
      </c>
      <c r="J16">
        <v>302.03935286183753</v>
      </c>
      <c r="K16">
        <v>4.7695453847198456E-2</v>
      </c>
      <c r="L16">
        <v>153967.22939929293</v>
      </c>
      <c r="M16">
        <v>9.8065370514674718E-2</v>
      </c>
      <c r="N16">
        <v>0.38261673701297944</v>
      </c>
      <c r="O16">
        <v>253.5264895781134</v>
      </c>
      <c r="P16">
        <v>1149.0235776170666</v>
      </c>
    </row>
    <row r="17" spans="1:16" x14ac:dyDescent="0.25">
      <c r="A17">
        <v>18</v>
      </c>
      <c r="B17">
        <v>1.1844912972126356</v>
      </c>
      <c r="C17">
        <v>292.49460715577453</v>
      </c>
      <c r="D17">
        <v>33.127492000668468</v>
      </c>
      <c r="E17">
        <v>7.9639208012270035E-2</v>
      </c>
      <c r="F17">
        <v>100000</v>
      </c>
      <c r="G17">
        <v>5.6658027027726323</v>
      </c>
      <c r="H17">
        <v>0.4371472740198078</v>
      </c>
      <c r="I17">
        <v>754.66903685224577</v>
      </c>
      <c r="J17">
        <v>349.83626512934336</v>
      </c>
      <c r="K17">
        <v>9.6412103175524226E-3</v>
      </c>
      <c r="L17">
        <v>119811.62098438881</v>
      </c>
      <c r="M17">
        <v>0.13250757810119448</v>
      </c>
      <c r="N17">
        <v>0.57735705772685963</v>
      </c>
      <c r="O17">
        <v>183.64603438472477</v>
      </c>
      <c r="P17">
        <v>1387.1107206908564</v>
      </c>
    </row>
    <row r="18" spans="1:16" x14ac:dyDescent="0.25">
      <c r="A18">
        <v>19</v>
      </c>
      <c r="B18">
        <v>1.1752045171504428</v>
      </c>
      <c r="C18">
        <v>297.74115631905158</v>
      </c>
      <c r="D18">
        <v>8.6568593347077503</v>
      </c>
      <c r="E18">
        <v>3.3736437305737742E-2</v>
      </c>
      <c r="F18">
        <v>100000</v>
      </c>
      <c r="G18">
        <v>9.388218612579923</v>
      </c>
      <c r="H18">
        <v>0.50262940547937096</v>
      </c>
      <c r="I18">
        <v>878.12281029710459</v>
      </c>
      <c r="J18">
        <v>67.154104815149424</v>
      </c>
      <c r="K18">
        <v>3.4689302241255798E-2</v>
      </c>
      <c r="L18">
        <v>199671.44947157963</v>
      </c>
      <c r="M18">
        <v>0.10720512038672406</v>
      </c>
      <c r="N18">
        <v>0.46647876339672478</v>
      </c>
      <c r="O18">
        <v>186.42886849743837</v>
      </c>
      <c r="P18">
        <v>1923.1835614032389</v>
      </c>
    </row>
    <row r="19" spans="1:16" x14ac:dyDescent="0.25">
      <c r="A19">
        <v>20</v>
      </c>
      <c r="B19">
        <v>1.1673522130512617</v>
      </c>
      <c r="C19">
        <v>288.01301652492492</v>
      </c>
      <c r="D19">
        <v>51.456322528257381</v>
      </c>
      <c r="E19">
        <v>8.8357454783872136E-2</v>
      </c>
      <c r="F19">
        <v>100000</v>
      </c>
      <c r="G19">
        <v>0.48784627155270305</v>
      </c>
      <c r="H19">
        <v>0.43366599179372411</v>
      </c>
      <c r="I19">
        <v>872.55918071164012</v>
      </c>
      <c r="J19">
        <v>161.87108595576785</v>
      </c>
      <c r="K19">
        <v>6.7894040642083459E-2</v>
      </c>
      <c r="L19">
        <v>156204.81820432932</v>
      </c>
      <c r="M19">
        <v>5.0835808904804887E-2</v>
      </c>
      <c r="N19">
        <v>0.51876130569857337</v>
      </c>
      <c r="O19">
        <v>242.27817879563568</v>
      </c>
      <c r="P19">
        <v>913.3044898399894</v>
      </c>
    </row>
    <row r="20" spans="1:16" x14ac:dyDescent="0.25">
      <c r="A20">
        <v>21</v>
      </c>
      <c r="B20">
        <v>1.1799922266652665</v>
      </c>
      <c r="C20">
        <v>291.01036393460095</v>
      </c>
      <c r="D20">
        <v>67.581600342488102</v>
      </c>
      <c r="E20">
        <v>7.9905172247649398E-2</v>
      </c>
      <c r="F20">
        <v>100000</v>
      </c>
      <c r="G20">
        <v>4.8650419541148429</v>
      </c>
      <c r="H20">
        <v>0.41110412841837718</v>
      </c>
      <c r="I20">
        <v>818.55119174854599</v>
      </c>
      <c r="J20">
        <v>220.47694506823228</v>
      </c>
      <c r="K20">
        <v>1.4248390415235578E-2</v>
      </c>
      <c r="L20">
        <v>145666.65321070363</v>
      </c>
      <c r="M20">
        <v>0.10673229446208393</v>
      </c>
      <c r="N20">
        <v>0.36116903950427287</v>
      </c>
      <c r="O20">
        <v>189.74731781119178</v>
      </c>
      <c r="P20">
        <v>1316.5346815964949</v>
      </c>
    </row>
    <row r="21" spans="1:16" x14ac:dyDescent="0.25">
      <c r="A21">
        <v>23</v>
      </c>
      <c r="B21">
        <v>1.1863645271249033</v>
      </c>
      <c r="C21">
        <v>294.02941129868037</v>
      </c>
      <c r="D21">
        <v>13.037246120227197</v>
      </c>
      <c r="E21">
        <v>9.8599031473302109E-2</v>
      </c>
      <c r="F21">
        <v>100000</v>
      </c>
      <c r="G21">
        <v>2.8359104940982225</v>
      </c>
      <c r="H21">
        <v>0.4006640491038907</v>
      </c>
      <c r="I21">
        <v>875.80464183734</v>
      </c>
      <c r="J21">
        <v>524.92679152448727</v>
      </c>
      <c r="K21">
        <v>5.0520113780222795E-2</v>
      </c>
      <c r="L21">
        <v>118231.58451703473</v>
      </c>
      <c r="M21">
        <v>0.14535954538161339</v>
      </c>
      <c r="N21">
        <v>0.61141248666221903</v>
      </c>
      <c r="O21">
        <v>198.02834093429564</v>
      </c>
      <c r="P21">
        <v>1973.9178719820266</v>
      </c>
    </row>
    <row r="22" spans="1:16" x14ac:dyDescent="0.25">
      <c r="A22">
        <v>25</v>
      </c>
      <c r="B22">
        <v>1.1729645406537783</v>
      </c>
      <c r="C22">
        <v>293.39660969092347</v>
      </c>
      <c r="D22">
        <v>66.486766660015746</v>
      </c>
      <c r="E22">
        <v>0.13917979513766859</v>
      </c>
      <c r="F22">
        <v>100000</v>
      </c>
      <c r="G22">
        <v>0.54758259115975338</v>
      </c>
      <c r="H22">
        <v>0.50760459962582272</v>
      </c>
      <c r="I22">
        <v>757.77837271387534</v>
      </c>
      <c r="J22">
        <v>252.82665385718241</v>
      </c>
      <c r="K22">
        <v>4.9254877084440554E-2</v>
      </c>
      <c r="L22">
        <v>161577.46491429102</v>
      </c>
      <c r="M22">
        <v>9.3950193646043512E-2</v>
      </c>
      <c r="N22">
        <v>0.65428073687006583</v>
      </c>
      <c r="O22">
        <v>242.55474133985615</v>
      </c>
      <c r="P22">
        <v>990.02375374285475</v>
      </c>
    </row>
    <row r="23" spans="1:16" x14ac:dyDescent="0.25">
      <c r="A23">
        <v>26</v>
      </c>
      <c r="B23">
        <v>1.1715399378752125</v>
      </c>
      <c r="C23">
        <v>293.9186882234294</v>
      </c>
      <c r="D23">
        <v>10.639739294747354</v>
      </c>
      <c r="E23">
        <v>0.14589480298499208</v>
      </c>
      <c r="F23">
        <v>100000</v>
      </c>
      <c r="G23">
        <v>6.2802530069970279</v>
      </c>
      <c r="H23">
        <v>0.48129577225547154</v>
      </c>
      <c r="I23">
        <v>796.1142927222711</v>
      </c>
      <c r="J23">
        <v>485.07747877766099</v>
      </c>
      <c r="K23">
        <v>2.3442500483973602E-2</v>
      </c>
      <c r="L23">
        <v>126852.1169651916</v>
      </c>
      <c r="M23">
        <v>5.5247567391543219E-2</v>
      </c>
      <c r="N23">
        <v>0.405983829114971</v>
      </c>
      <c r="O23">
        <v>202.86834376671251</v>
      </c>
      <c r="P23">
        <v>1876.833326313812</v>
      </c>
    </row>
    <row r="24" spans="1:16" x14ac:dyDescent="0.25">
      <c r="A24">
        <v>27</v>
      </c>
      <c r="B24">
        <v>1.1834600513440603</v>
      </c>
      <c r="C24">
        <v>296.79928024976806</v>
      </c>
      <c r="D24">
        <v>51.944594682467695</v>
      </c>
      <c r="E24">
        <v>9.4607762713498134E-2</v>
      </c>
      <c r="F24">
        <v>100000</v>
      </c>
      <c r="G24">
        <v>2.728392895448442</v>
      </c>
      <c r="H24">
        <v>0.49397624430053633</v>
      </c>
      <c r="I24">
        <v>764.25953532885876</v>
      </c>
      <c r="J24">
        <v>198.45624273815665</v>
      </c>
      <c r="K24">
        <v>1.0515926035967847E-2</v>
      </c>
      <c r="L24">
        <v>162181.73402825234</v>
      </c>
      <c r="M24">
        <v>0.1011693044377161</v>
      </c>
      <c r="N24">
        <v>0.41676968418847427</v>
      </c>
      <c r="O24">
        <v>205.09057136416428</v>
      </c>
      <c r="P24">
        <v>855.70743371725985</v>
      </c>
    </row>
    <row r="25" spans="1:16" x14ac:dyDescent="0.25">
      <c r="A25">
        <v>28</v>
      </c>
      <c r="B25">
        <v>1.1788818218014081</v>
      </c>
      <c r="C25">
        <v>291.40269925733168</v>
      </c>
      <c r="D25">
        <v>17.155108207148217</v>
      </c>
      <c r="E25">
        <v>0.12416363904584618</v>
      </c>
      <c r="F25">
        <v>100000</v>
      </c>
      <c r="G25">
        <v>8.6604743009740854</v>
      </c>
      <c r="H25">
        <v>0.50364466674952724</v>
      </c>
      <c r="I25">
        <v>856.32376372973397</v>
      </c>
      <c r="J25">
        <v>128.82182759155734</v>
      </c>
      <c r="K25">
        <v>1.911811758958129E-2</v>
      </c>
      <c r="L25">
        <v>174918.71712178297</v>
      </c>
      <c r="M25">
        <v>0.12237837266074655</v>
      </c>
      <c r="N25">
        <v>0.60926705612178278</v>
      </c>
      <c r="O25">
        <v>214.09505846836413</v>
      </c>
      <c r="P25">
        <v>1335.7393316167218</v>
      </c>
    </row>
    <row r="26" spans="1:16" x14ac:dyDescent="0.25">
      <c r="A26">
        <v>30</v>
      </c>
      <c r="B26">
        <v>1.189828922648337</v>
      </c>
      <c r="C26">
        <v>289.45455163709482</v>
      </c>
      <c r="D26">
        <v>34.419859616428127</v>
      </c>
      <c r="E26">
        <v>0.1361962383603624</v>
      </c>
      <c r="F26">
        <v>100000</v>
      </c>
      <c r="G26">
        <v>3.2453864996373891</v>
      </c>
      <c r="H26">
        <v>0.50301948429145638</v>
      </c>
      <c r="I26">
        <v>772.61660641449919</v>
      </c>
      <c r="J26">
        <v>411.56178074535433</v>
      </c>
      <c r="K26">
        <v>3.4990681829183398E-2</v>
      </c>
      <c r="L26">
        <v>172788.33553333563</v>
      </c>
      <c r="M26">
        <v>0.13800175778086837</v>
      </c>
      <c r="N26">
        <v>0.65536084157339003</v>
      </c>
      <c r="O26">
        <v>214.73922983279206</v>
      </c>
      <c r="P26">
        <v>1794.3802535401119</v>
      </c>
    </row>
    <row r="27" spans="1:16" x14ac:dyDescent="0.25">
      <c r="A27">
        <v>32</v>
      </c>
      <c r="B27">
        <v>1.1797900198056976</v>
      </c>
      <c r="C27">
        <v>290.67264167452203</v>
      </c>
      <c r="D27">
        <v>66.026138134958799</v>
      </c>
      <c r="E27">
        <v>0.1180464638117775</v>
      </c>
      <c r="F27">
        <v>100000</v>
      </c>
      <c r="G27">
        <v>1.2418117434650759</v>
      </c>
      <c r="H27">
        <v>0.47787253304630201</v>
      </c>
      <c r="I27">
        <v>796.06474478961582</v>
      </c>
      <c r="J27">
        <v>467.94523334836521</v>
      </c>
      <c r="K27">
        <v>1.6199251332970285E-2</v>
      </c>
      <c r="L27">
        <v>144799.10797847839</v>
      </c>
      <c r="M27">
        <v>0.12937872250377058</v>
      </c>
      <c r="N27">
        <v>0.52336254094954071</v>
      </c>
      <c r="O27">
        <v>226.32793943076197</v>
      </c>
      <c r="P27">
        <v>1702.9714892952979</v>
      </c>
    </row>
    <row r="28" spans="1:16" x14ac:dyDescent="0.25">
      <c r="A28">
        <v>33</v>
      </c>
      <c r="B28">
        <v>1.1844814367889824</v>
      </c>
      <c r="C28">
        <v>289.99342718337044</v>
      </c>
      <c r="D28">
        <v>57.144293069411361</v>
      </c>
      <c r="E28">
        <v>8.6295563133106309E-2</v>
      </c>
      <c r="F28">
        <v>100000</v>
      </c>
      <c r="G28">
        <v>4.2378197818462562</v>
      </c>
      <c r="H28">
        <v>0.47315260998239073</v>
      </c>
      <c r="I28">
        <v>766.46691433177523</v>
      </c>
      <c r="J28">
        <v>227.60699852590272</v>
      </c>
      <c r="K28">
        <v>2.1337609191090363E-2</v>
      </c>
      <c r="L28">
        <v>177474.71199794975</v>
      </c>
      <c r="M28">
        <v>0.1267271730044888</v>
      </c>
      <c r="N28">
        <v>0.58285015363379078</v>
      </c>
      <c r="O28">
        <v>222.55480535772159</v>
      </c>
      <c r="P28">
        <v>1610.1124068199933</v>
      </c>
    </row>
    <row r="29" spans="1:16" x14ac:dyDescent="0.25">
      <c r="A29">
        <v>34</v>
      </c>
      <c r="B29">
        <v>1.1740108036653045</v>
      </c>
      <c r="C29">
        <v>294.18421439601582</v>
      </c>
      <c r="D29">
        <v>12.472413966080417</v>
      </c>
      <c r="E29">
        <v>7.3532746256728482E-2</v>
      </c>
      <c r="F29">
        <v>100000</v>
      </c>
      <c r="G29">
        <v>4.3413156370180292</v>
      </c>
      <c r="H29">
        <v>0.47937211126068502</v>
      </c>
      <c r="I29">
        <v>856.89120321277517</v>
      </c>
      <c r="J29">
        <v>204.55512875290879</v>
      </c>
      <c r="K29">
        <v>3.9142450608180529E-2</v>
      </c>
      <c r="L29">
        <v>153067.13892342028</v>
      </c>
      <c r="M29">
        <v>8.6462074165304187E-2</v>
      </c>
      <c r="N29">
        <v>0.51732571224818946</v>
      </c>
      <c r="O29">
        <v>222.68074341819968</v>
      </c>
      <c r="P29">
        <v>840.43014171258983</v>
      </c>
    </row>
    <row r="30" spans="1:16" x14ac:dyDescent="0.25">
      <c r="A30">
        <v>35</v>
      </c>
      <c r="B30">
        <v>1.1774975665717502</v>
      </c>
      <c r="C30">
        <v>289.77045828002298</v>
      </c>
      <c r="D30">
        <v>54.995103183103538</v>
      </c>
      <c r="E30">
        <v>0.13275361359695659</v>
      </c>
      <c r="F30">
        <v>100000</v>
      </c>
      <c r="G30">
        <v>5.9604136976445146</v>
      </c>
      <c r="H30">
        <v>0.49048233117694279</v>
      </c>
      <c r="I30">
        <v>792.9980383952992</v>
      </c>
      <c r="J30">
        <v>221.92959695996637</v>
      </c>
      <c r="K30">
        <v>5.7019462483625022E-2</v>
      </c>
      <c r="L30">
        <v>150467.79922292745</v>
      </c>
      <c r="M30">
        <v>9.6555226567152264E-2</v>
      </c>
      <c r="N30">
        <v>0.42798539765641624</v>
      </c>
      <c r="O30">
        <v>204.19581862323108</v>
      </c>
      <c r="P30">
        <v>1412.2933062316661</v>
      </c>
    </row>
    <row r="31" spans="1:16" x14ac:dyDescent="0.25">
      <c r="A31">
        <v>37</v>
      </c>
      <c r="B31">
        <v>1.1880193984562519</v>
      </c>
      <c r="C31">
        <v>290.34443836343758</v>
      </c>
      <c r="D31">
        <v>20.79046632431924</v>
      </c>
      <c r="E31">
        <v>0.12050327512497727</v>
      </c>
      <c r="F31">
        <v>100000</v>
      </c>
      <c r="G31">
        <v>7.208984026833253</v>
      </c>
      <c r="H31">
        <v>0.49800045285576833</v>
      </c>
      <c r="I31">
        <v>774.14785444496806</v>
      </c>
      <c r="J31">
        <v>413.10382944474213</v>
      </c>
      <c r="K31">
        <v>6.6402143536600414E-2</v>
      </c>
      <c r="L31">
        <v>153176.60417975322</v>
      </c>
      <c r="M31">
        <v>0.13488863416600988</v>
      </c>
      <c r="N31">
        <v>0.51960387305215694</v>
      </c>
      <c r="O31">
        <v>233.21321473397438</v>
      </c>
      <c r="P31">
        <v>1862.3601495018738</v>
      </c>
    </row>
    <row r="32" spans="1:16" x14ac:dyDescent="0.25">
      <c r="A32">
        <v>39</v>
      </c>
      <c r="B32">
        <v>1.188208708218486</v>
      </c>
      <c r="C32">
        <v>291.78138601097066</v>
      </c>
      <c r="D32">
        <v>54.417062328338005</v>
      </c>
      <c r="E32">
        <v>0.11984691524485561</v>
      </c>
      <c r="F32">
        <v>100000</v>
      </c>
      <c r="G32">
        <v>4.5946741819401611</v>
      </c>
      <c r="H32">
        <v>0.49554605436762339</v>
      </c>
      <c r="I32">
        <v>808.0530573980119</v>
      </c>
      <c r="J32">
        <v>441.557111085016</v>
      </c>
      <c r="K32">
        <v>3.468970930591566E-2</v>
      </c>
      <c r="L32">
        <v>142985.29682538088</v>
      </c>
      <c r="M32">
        <v>0.13392630559334717</v>
      </c>
      <c r="N32">
        <v>0.58751493399264021</v>
      </c>
      <c r="O32">
        <v>237.16846774225661</v>
      </c>
      <c r="P32">
        <v>1695.9753761401444</v>
      </c>
    </row>
    <row r="33" spans="1:16" x14ac:dyDescent="0.25">
      <c r="A33">
        <v>40</v>
      </c>
      <c r="B33">
        <v>1.1823323324246318</v>
      </c>
      <c r="C33">
        <v>291.40003325127111</v>
      </c>
      <c r="D33">
        <v>28.174629100653142</v>
      </c>
      <c r="E33">
        <v>0.10756887787380046</v>
      </c>
      <c r="F33">
        <v>100000</v>
      </c>
      <c r="G33">
        <v>3.9469385163900896</v>
      </c>
      <c r="H33">
        <v>0.49099757408999006</v>
      </c>
      <c r="I33">
        <v>795.84163470431122</v>
      </c>
      <c r="J33">
        <v>297.6066609435901</v>
      </c>
      <c r="K33">
        <v>1.7798500623277026E-2</v>
      </c>
      <c r="L33">
        <v>175531.81586677657</v>
      </c>
      <c r="M33">
        <v>0.11772047107791392</v>
      </c>
      <c r="N33">
        <v>0.60724462791988643</v>
      </c>
      <c r="O33">
        <v>224.69077563153093</v>
      </c>
      <c r="P33">
        <v>1440.3615554309727</v>
      </c>
    </row>
    <row r="34" spans="1:16" x14ac:dyDescent="0.25">
      <c r="A34">
        <v>41</v>
      </c>
      <c r="B34">
        <v>1.1822897611420855</v>
      </c>
      <c r="C34">
        <v>289.83249163179261</v>
      </c>
      <c r="D34">
        <v>28.679571949615877</v>
      </c>
      <c r="E34">
        <v>0.10685932407846019</v>
      </c>
      <c r="F34">
        <v>100000</v>
      </c>
      <c r="G34">
        <v>2.5631325641126015</v>
      </c>
      <c r="H34">
        <v>0.49331338115661905</v>
      </c>
      <c r="I34">
        <v>786.57985918939323</v>
      </c>
      <c r="J34">
        <v>305.30341576824759</v>
      </c>
      <c r="K34">
        <v>4.5603446123309785E-2</v>
      </c>
      <c r="L34">
        <v>139161.97551716151</v>
      </c>
      <c r="M34">
        <v>8.7929690327198939E-2</v>
      </c>
      <c r="N34">
        <v>0.4292270426768568</v>
      </c>
      <c r="O34">
        <v>231.12381699613732</v>
      </c>
      <c r="P34">
        <v>1108.9441611295842</v>
      </c>
    </row>
    <row r="35" spans="1:16" x14ac:dyDescent="0.25">
      <c r="A35">
        <v>42</v>
      </c>
      <c r="B35">
        <v>1.1830835351799578</v>
      </c>
      <c r="C35">
        <v>291.56821234520027</v>
      </c>
      <c r="D35">
        <v>56.313637528584515</v>
      </c>
      <c r="E35">
        <v>0.11321065610777964</v>
      </c>
      <c r="F35">
        <v>100000</v>
      </c>
      <c r="G35">
        <v>1.7411734925087776</v>
      </c>
      <c r="H35">
        <v>0.4937142555490317</v>
      </c>
      <c r="I35">
        <v>834.61214311974391</v>
      </c>
      <c r="J35">
        <v>288.66739393297166</v>
      </c>
      <c r="K35">
        <v>3.9175692470987164E-2</v>
      </c>
      <c r="L35">
        <v>142346.05244436173</v>
      </c>
      <c r="M35">
        <v>9.6635551260441058E-2</v>
      </c>
      <c r="N35">
        <v>0.55216372928291801</v>
      </c>
      <c r="O35">
        <v>224.34619611979994</v>
      </c>
      <c r="P35">
        <v>1046.7616909229473</v>
      </c>
    </row>
    <row r="36" spans="1:16" x14ac:dyDescent="0.25">
      <c r="A36">
        <v>43</v>
      </c>
      <c r="B36">
        <v>1.1813187708777266</v>
      </c>
      <c r="C36">
        <v>290.3935977128769</v>
      </c>
      <c r="D36">
        <v>48.787629366078725</v>
      </c>
      <c r="E36">
        <v>0.12211406897130427</v>
      </c>
      <c r="F36">
        <v>100000</v>
      </c>
      <c r="G36">
        <v>3.2276929297856127</v>
      </c>
      <c r="H36">
        <v>0.48281453398100338</v>
      </c>
      <c r="I36">
        <v>795.63794702617076</v>
      </c>
      <c r="J36">
        <v>242.68109127698108</v>
      </c>
      <c r="K36">
        <v>6.4121776946413869E-2</v>
      </c>
      <c r="L36">
        <v>170727.21806787123</v>
      </c>
      <c r="M36">
        <v>8.7755100078030751E-2</v>
      </c>
      <c r="N36">
        <v>0.53496237359398913</v>
      </c>
      <c r="O36">
        <v>209.06600274927786</v>
      </c>
      <c r="P36">
        <v>1448.2778799246225</v>
      </c>
    </row>
    <row r="37" spans="1:16" x14ac:dyDescent="0.25">
      <c r="A37">
        <v>44</v>
      </c>
      <c r="B37">
        <v>1.1888806009168553</v>
      </c>
      <c r="C37">
        <v>292.65799515287966</v>
      </c>
      <c r="D37">
        <v>51.015765991956052</v>
      </c>
      <c r="E37">
        <v>9.0365935289773769E-2</v>
      </c>
      <c r="F37">
        <v>100000</v>
      </c>
      <c r="G37">
        <v>1.8542115022305889</v>
      </c>
      <c r="H37">
        <v>0.47872190432876027</v>
      </c>
      <c r="I37">
        <v>839.7660913450145</v>
      </c>
      <c r="J37">
        <v>392.05269684475559</v>
      </c>
      <c r="K37">
        <v>4.5864130174332017E-2</v>
      </c>
      <c r="L37">
        <v>142327.89682806074</v>
      </c>
      <c r="M37">
        <v>9.6646945300689804E-2</v>
      </c>
      <c r="N37">
        <v>0.513152884657472</v>
      </c>
      <c r="O37">
        <v>219.0269157357497</v>
      </c>
      <c r="P37">
        <v>1372.9792951396012</v>
      </c>
    </row>
    <row r="38" spans="1:16" x14ac:dyDescent="0.25">
      <c r="A38">
        <v>45</v>
      </c>
      <c r="B38">
        <v>1.1803743605463171</v>
      </c>
      <c r="C38">
        <v>292.50042783777911</v>
      </c>
      <c r="D38">
        <v>55.162399608891704</v>
      </c>
      <c r="E38">
        <v>0.12023453325991318</v>
      </c>
      <c r="F38">
        <v>100000</v>
      </c>
      <c r="G38">
        <v>6.9449023258555291</v>
      </c>
      <c r="H38">
        <v>0.4821484433640687</v>
      </c>
      <c r="I38">
        <v>834.22272064007916</v>
      </c>
      <c r="J38">
        <v>333.40811577693387</v>
      </c>
      <c r="K38">
        <v>3.2185383185525336E-2</v>
      </c>
      <c r="L38">
        <v>159645.23697853609</v>
      </c>
      <c r="M38">
        <v>0.1173736119540586</v>
      </c>
      <c r="N38">
        <v>0.46403063156334212</v>
      </c>
      <c r="O38">
        <v>225.42995189540224</v>
      </c>
      <c r="P38">
        <v>1693.325836016149</v>
      </c>
    </row>
    <row r="39" spans="1:16" x14ac:dyDescent="0.25">
      <c r="A39">
        <v>46</v>
      </c>
      <c r="B39">
        <v>1.1874248217972829</v>
      </c>
      <c r="C39">
        <v>292.3153354787367</v>
      </c>
      <c r="D39">
        <v>39.127939244574542</v>
      </c>
      <c r="E39">
        <v>9.9379025457694489E-2</v>
      </c>
      <c r="F39">
        <v>100000</v>
      </c>
      <c r="G39">
        <v>5.1355995610793821</v>
      </c>
      <c r="H39">
        <v>0.48768300505385026</v>
      </c>
      <c r="I39">
        <v>780.15998387298544</v>
      </c>
      <c r="J39">
        <v>312.83128628366512</v>
      </c>
      <c r="K39">
        <v>1.8054631499051246E-2</v>
      </c>
      <c r="L39">
        <v>155399.11255698398</v>
      </c>
      <c r="M39">
        <v>0.12174575194575145</v>
      </c>
      <c r="N39">
        <v>0.59021670383432701</v>
      </c>
      <c r="O39">
        <v>229.93075483204041</v>
      </c>
      <c r="P39">
        <v>1387.5620612159182</v>
      </c>
    </row>
    <row r="40" spans="1:16" x14ac:dyDescent="0.25">
      <c r="A40">
        <v>48</v>
      </c>
      <c r="B40">
        <v>1.1822596563843559</v>
      </c>
      <c r="C40">
        <v>290.52976855858702</v>
      </c>
      <c r="D40">
        <v>50.901984208771253</v>
      </c>
      <c r="E40">
        <v>8.2247720754658818E-2</v>
      </c>
      <c r="F40">
        <v>100000</v>
      </c>
      <c r="G40">
        <v>3.4894544781100754</v>
      </c>
      <c r="H40">
        <v>0.48220518849797239</v>
      </c>
      <c r="I40">
        <v>796.27126818892498</v>
      </c>
      <c r="J40">
        <v>289.88215537812476</v>
      </c>
      <c r="K40">
        <v>5.4393787298488552E-2</v>
      </c>
      <c r="L40">
        <v>144739.52261839234</v>
      </c>
      <c r="M40">
        <v>0.10046345821613198</v>
      </c>
      <c r="N40">
        <v>0.57012080017709965</v>
      </c>
      <c r="O40">
        <v>236.06702878149272</v>
      </c>
      <c r="P40">
        <v>1183.7820914878321</v>
      </c>
    </row>
    <row r="41" spans="1:16" x14ac:dyDescent="0.25">
      <c r="A41">
        <v>49</v>
      </c>
      <c r="B41">
        <v>1.1816712139682854</v>
      </c>
      <c r="C41">
        <v>291.20596849980427</v>
      </c>
      <c r="D41">
        <v>39.824842562255391</v>
      </c>
      <c r="E41">
        <v>0.11493359087726635</v>
      </c>
      <c r="F41">
        <v>100000</v>
      </c>
      <c r="G41">
        <v>4.5690088892961001</v>
      </c>
      <c r="H41">
        <v>0.48896651923643142</v>
      </c>
      <c r="I41">
        <v>805.33089656869765</v>
      </c>
      <c r="J41">
        <v>387.51678630079618</v>
      </c>
      <c r="K41">
        <v>3.1812024219931706E-2</v>
      </c>
      <c r="L41">
        <v>165791.71682959312</v>
      </c>
      <c r="M41">
        <v>0.11859838249777759</v>
      </c>
      <c r="N41">
        <v>0.55609199480772942</v>
      </c>
      <c r="O41">
        <v>215.25731955449476</v>
      </c>
      <c r="P41">
        <v>1746.2302158651219</v>
      </c>
    </row>
    <row r="42" spans="1:16" x14ac:dyDescent="0.25">
      <c r="A42">
        <v>50</v>
      </c>
      <c r="B42">
        <v>1.1837039216684568</v>
      </c>
      <c r="C42">
        <v>291.69998509905719</v>
      </c>
      <c r="D42">
        <v>53.273929829312962</v>
      </c>
      <c r="E42">
        <v>0.10302386411025102</v>
      </c>
      <c r="F42">
        <v>100000</v>
      </c>
      <c r="G42">
        <v>3.4340819164508769</v>
      </c>
      <c r="H42">
        <v>0.48444634860704505</v>
      </c>
      <c r="I42">
        <v>809.03865469197819</v>
      </c>
      <c r="J42">
        <v>345.1192939569591</v>
      </c>
      <c r="K42">
        <v>5.6396984582219103E-2</v>
      </c>
      <c r="L42">
        <v>161047.33416335963</v>
      </c>
      <c r="M42">
        <v>8.8712430225637628E-2</v>
      </c>
      <c r="N42">
        <v>0.5489035613038018</v>
      </c>
      <c r="O42">
        <v>215.61975848473568</v>
      </c>
      <c r="P42">
        <v>1572.7842803352323</v>
      </c>
    </row>
    <row r="43" spans="1:16" x14ac:dyDescent="0.25">
      <c r="A43">
        <v>51</v>
      </c>
      <c r="B43">
        <v>1.1853315150934594</v>
      </c>
      <c r="C43">
        <v>289.99502985822949</v>
      </c>
      <c r="D43">
        <v>44.465727527888681</v>
      </c>
      <c r="E43">
        <v>9.9622962051842207E-2</v>
      </c>
      <c r="F43">
        <v>100000</v>
      </c>
      <c r="G43">
        <v>1.7799607829595907</v>
      </c>
      <c r="H43">
        <v>0.49160732001541896</v>
      </c>
      <c r="I43">
        <v>798.58424618542153</v>
      </c>
      <c r="J43">
        <v>242.82809815595334</v>
      </c>
      <c r="K43">
        <v>6.3456481022113986E-2</v>
      </c>
      <c r="L43">
        <v>148206.98810488076</v>
      </c>
      <c r="M43">
        <v>9.7332170647366031E-2</v>
      </c>
      <c r="N43">
        <v>0.55237192162139881</v>
      </c>
      <c r="O43">
        <v>216.90821388502732</v>
      </c>
      <c r="P43">
        <v>1063.1665795085064</v>
      </c>
    </row>
    <row r="44" spans="1:16" x14ac:dyDescent="0.25">
      <c r="A44">
        <v>52</v>
      </c>
      <c r="B44">
        <v>1.1887983043743142</v>
      </c>
      <c r="C44">
        <v>290.12955374757934</v>
      </c>
      <c r="D44">
        <v>25.649635396762296</v>
      </c>
      <c r="E44">
        <v>0.1016281684802893</v>
      </c>
      <c r="F44">
        <v>100000</v>
      </c>
      <c r="G44">
        <v>1.7891079473984557</v>
      </c>
      <c r="H44">
        <v>0.49081209082990179</v>
      </c>
      <c r="I44">
        <v>797.77529671226398</v>
      </c>
      <c r="J44">
        <v>390.1339377257483</v>
      </c>
      <c r="K44">
        <v>3.3892030790395766E-2</v>
      </c>
      <c r="L44">
        <v>159224.16454496089</v>
      </c>
      <c r="M44">
        <v>9.2618886853517338E-2</v>
      </c>
      <c r="N44">
        <v>0.55633593962389183</v>
      </c>
      <c r="O44">
        <v>229.51410393958662</v>
      </c>
      <c r="P44">
        <v>1498.4706974974179</v>
      </c>
    </row>
    <row r="45" spans="1:16" x14ac:dyDescent="0.25">
      <c r="A45">
        <v>53</v>
      </c>
      <c r="B45">
        <v>1.1825137553524987</v>
      </c>
      <c r="C45">
        <v>292.21826781003557</v>
      </c>
      <c r="D45">
        <v>50.025210569530529</v>
      </c>
      <c r="E45">
        <v>9.4952608714876499E-2</v>
      </c>
      <c r="F45">
        <v>100000</v>
      </c>
      <c r="G45">
        <v>2.6286645166677052</v>
      </c>
      <c r="H45">
        <v>0.48339653645444342</v>
      </c>
      <c r="I45">
        <v>797.02640395711626</v>
      </c>
      <c r="J45">
        <v>368.518546764532</v>
      </c>
      <c r="K45">
        <v>5.7215031318635604E-2</v>
      </c>
      <c r="L45">
        <v>169963.81155743758</v>
      </c>
      <c r="M45">
        <v>9.9261158314756792E-2</v>
      </c>
      <c r="N45">
        <v>0.50131274744453003</v>
      </c>
      <c r="O45">
        <v>233.09271268824932</v>
      </c>
      <c r="P45">
        <v>1553.9610215500506</v>
      </c>
    </row>
    <row r="46" spans="1:16" x14ac:dyDescent="0.25">
      <c r="A46">
        <v>55</v>
      </c>
      <c r="B46">
        <v>1.1826837629542521</v>
      </c>
      <c r="C46">
        <v>291.78942040019996</v>
      </c>
      <c r="D46">
        <v>47.567088503219267</v>
      </c>
      <c r="E46">
        <v>9.0769074331067914E-2</v>
      </c>
      <c r="F46">
        <v>100000</v>
      </c>
      <c r="G46">
        <v>5.5760891482125086</v>
      </c>
      <c r="H46">
        <v>0.49129626298532675</v>
      </c>
      <c r="I46">
        <v>786.96717642514761</v>
      </c>
      <c r="J46">
        <v>248.01638633029575</v>
      </c>
      <c r="K46">
        <v>4.2739846348682602E-2</v>
      </c>
      <c r="L46">
        <v>150800.56657912294</v>
      </c>
      <c r="M46">
        <v>0.11543141489675825</v>
      </c>
      <c r="N46">
        <v>0.55589906377864096</v>
      </c>
      <c r="O46">
        <v>235.93033024104633</v>
      </c>
      <c r="P46">
        <v>1201.5651261323874</v>
      </c>
    </row>
    <row r="47" spans="1:16" x14ac:dyDescent="0.25">
      <c r="A47">
        <v>56</v>
      </c>
      <c r="B47">
        <v>1.1827818601618114</v>
      </c>
      <c r="C47">
        <v>291.96167966268757</v>
      </c>
      <c r="D47">
        <v>29.120998034668499</v>
      </c>
      <c r="E47">
        <v>0.10645428566384479</v>
      </c>
      <c r="F47">
        <v>100000</v>
      </c>
      <c r="G47">
        <v>5.6993814236317304</v>
      </c>
      <c r="H47">
        <v>0.48810121806552476</v>
      </c>
      <c r="I47">
        <v>796.22323955268109</v>
      </c>
      <c r="J47">
        <v>363.91367550387372</v>
      </c>
      <c r="K47">
        <v>5.1512350678393097E-2</v>
      </c>
      <c r="L47">
        <v>170617.57658095221</v>
      </c>
      <c r="M47">
        <v>0.11205970607638573</v>
      </c>
      <c r="N47">
        <v>0.52990502593819744</v>
      </c>
      <c r="O47">
        <v>222.30840142336879</v>
      </c>
      <c r="P47">
        <v>1636.6928523033785</v>
      </c>
    </row>
    <row r="48" spans="1:16" x14ac:dyDescent="0.25">
      <c r="A48">
        <v>57</v>
      </c>
      <c r="B48">
        <v>1.1829230642964457</v>
      </c>
      <c r="C48">
        <v>290.67690898495812</v>
      </c>
      <c r="D48">
        <v>47.300643165102272</v>
      </c>
      <c r="E48">
        <v>0.1022549605344994</v>
      </c>
      <c r="F48">
        <v>100000</v>
      </c>
      <c r="G48">
        <v>4.7280701981334019</v>
      </c>
      <c r="H48">
        <v>0.47968033793476728</v>
      </c>
      <c r="I48">
        <v>793.09901016327331</v>
      </c>
      <c r="J48">
        <v>340.61153615474478</v>
      </c>
      <c r="K48">
        <v>3.9058325867399539E-2</v>
      </c>
      <c r="L48">
        <v>164696.46918308284</v>
      </c>
      <c r="M48">
        <v>0.1067269447963356</v>
      </c>
      <c r="N48">
        <v>0.512419089634786</v>
      </c>
      <c r="O48">
        <v>226.45528055756748</v>
      </c>
      <c r="P48">
        <v>1654.4016894780143</v>
      </c>
    </row>
    <row r="49" spans="1:16" x14ac:dyDescent="0.25">
      <c r="A49">
        <v>58</v>
      </c>
      <c r="B49">
        <v>1.1872927311071801</v>
      </c>
      <c r="C49">
        <v>290.84719285901906</v>
      </c>
      <c r="D49">
        <v>42.935003297203664</v>
      </c>
      <c r="E49">
        <v>9.4241178971364567E-2</v>
      </c>
      <c r="F49">
        <v>100000</v>
      </c>
      <c r="G49">
        <v>5.4436735700576486</v>
      </c>
      <c r="H49">
        <v>0.48674696353323677</v>
      </c>
      <c r="I49">
        <v>806.2707214966116</v>
      </c>
      <c r="J49">
        <v>385.97221270388957</v>
      </c>
      <c r="K49">
        <v>4.9608329594061605E-2</v>
      </c>
      <c r="L49">
        <v>154545.5120654646</v>
      </c>
      <c r="M49">
        <v>9.7580004574298246E-2</v>
      </c>
      <c r="N49">
        <v>0.53677039714905472</v>
      </c>
      <c r="O49">
        <v>231.20428264317587</v>
      </c>
      <c r="P49">
        <v>1729.9907068291723</v>
      </c>
    </row>
    <row r="50" spans="1:16" x14ac:dyDescent="0.25">
      <c r="A50">
        <v>59</v>
      </c>
      <c r="B50">
        <v>1.185111782490432</v>
      </c>
      <c r="C50">
        <v>291.82701522341154</v>
      </c>
      <c r="D50">
        <v>31.623066738730586</v>
      </c>
      <c r="E50">
        <v>9.5847172887876822E-2</v>
      </c>
      <c r="F50">
        <v>100000</v>
      </c>
      <c r="G50">
        <v>2.6375471810802842</v>
      </c>
      <c r="H50">
        <v>0.47960261039357049</v>
      </c>
      <c r="I50">
        <v>802.7191915937351</v>
      </c>
      <c r="J50">
        <v>300.99876491682954</v>
      </c>
      <c r="K50">
        <v>4.1586963608203555E-2</v>
      </c>
      <c r="L50">
        <v>158648.17618875444</v>
      </c>
      <c r="M50">
        <v>0.10941923984294738</v>
      </c>
      <c r="N50">
        <v>0.53351175656686378</v>
      </c>
      <c r="O50">
        <v>225.83714162877354</v>
      </c>
      <c r="P50">
        <v>1232.5516146122754</v>
      </c>
    </row>
    <row r="51" spans="1:16" x14ac:dyDescent="0.25">
      <c r="A51">
        <v>60</v>
      </c>
      <c r="B51">
        <v>1.1830353128235591</v>
      </c>
      <c r="C51">
        <v>290.59067002198708</v>
      </c>
      <c r="D51">
        <v>37.902030309110586</v>
      </c>
      <c r="E51">
        <v>9.9477505209657646E-2</v>
      </c>
      <c r="F51">
        <v>100000</v>
      </c>
      <c r="G51">
        <v>2.9933045781587033</v>
      </c>
      <c r="H51">
        <v>0.484165682867785</v>
      </c>
      <c r="I51">
        <v>808.86121297364832</v>
      </c>
      <c r="J51">
        <v>248.39505898059159</v>
      </c>
      <c r="K51">
        <v>4.7748547687613489E-2</v>
      </c>
      <c r="L51">
        <v>154870.84920712697</v>
      </c>
      <c r="M51">
        <v>0.11340736758429143</v>
      </c>
      <c r="N51">
        <v>0.51855574788572611</v>
      </c>
      <c r="O51">
        <v>228.06926272819462</v>
      </c>
      <c r="P51">
        <v>1151.4305541862777</v>
      </c>
    </row>
    <row r="52" spans="1:16" x14ac:dyDescent="0.25">
      <c r="A52">
        <v>61</v>
      </c>
      <c r="B52">
        <v>1.1869766889967901</v>
      </c>
      <c r="C52">
        <v>290.0235473706191</v>
      </c>
      <c r="D52">
        <v>29.417434009077549</v>
      </c>
      <c r="E52">
        <v>0.10158789381132523</v>
      </c>
      <c r="F52">
        <v>100000</v>
      </c>
      <c r="G52">
        <v>5.5806560039015238</v>
      </c>
      <c r="H52">
        <v>0.48985361599906913</v>
      </c>
      <c r="I52">
        <v>788.70948875204601</v>
      </c>
      <c r="J52">
        <v>292.91826988348481</v>
      </c>
      <c r="K52">
        <v>6.1265248387094809E-2</v>
      </c>
      <c r="L52">
        <v>149034.77522756814</v>
      </c>
      <c r="M52">
        <v>0.10539737366312664</v>
      </c>
      <c r="N52">
        <v>0.52710752612830247</v>
      </c>
      <c r="O52">
        <v>226.46841226066672</v>
      </c>
      <c r="P52">
        <v>1414.8742327828004</v>
      </c>
    </row>
    <row r="53" spans="1:16" x14ac:dyDescent="0.25">
      <c r="A53">
        <v>62</v>
      </c>
      <c r="B53">
        <v>1.1830898236718601</v>
      </c>
      <c r="C53">
        <v>291.78690733155673</v>
      </c>
      <c r="D53">
        <v>35.177283754190171</v>
      </c>
      <c r="E53">
        <v>0.10185471843018126</v>
      </c>
      <c r="F53">
        <v>100000</v>
      </c>
      <c r="G53">
        <v>5.4397081032452261</v>
      </c>
      <c r="H53">
        <v>0.48205674462971831</v>
      </c>
      <c r="I53">
        <v>798.01577811377695</v>
      </c>
      <c r="J53">
        <v>310.73886445858875</v>
      </c>
      <c r="K53">
        <v>4.6692273858176009E-2</v>
      </c>
      <c r="L53">
        <v>157269.67646735269</v>
      </c>
      <c r="M53">
        <v>9.9240177794513995E-2</v>
      </c>
      <c r="N53">
        <v>0.52454075850800741</v>
      </c>
      <c r="O53">
        <v>230.82939628775731</v>
      </c>
      <c r="P53">
        <v>1431.0796292925297</v>
      </c>
    </row>
    <row r="54" spans="1:16" x14ac:dyDescent="0.25">
      <c r="A54">
        <v>63</v>
      </c>
      <c r="B54">
        <v>1.1841388125730323</v>
      </c>
      <c r="C54">
        <v>290.50070897780597</v>
      </c>
      <c r="D54">
        <v>45.83272025435501</v>
      </c>
      <c r="E54">
        <v>0.10000582576110047</v>
      </c>
      <c r="F54">
        <v>100000</v>
      </c>
      <c r="G54">
        <v>5.3077791277816821</v>
      </c>
      <c r="H54">
        <v>0.4854435073470203</v>
      </c>
      <c r="I54">
        <v>800.54172870123955</v>
      </c>
      <c r="J54">
        <v>343.18694026096568</v>
      </c>
      <c r="K54">
        <v>4.3486920636574708E-2</v>
      </c>
      <c r="L54">
        <v>154732.35242059655</v>
      </c>
      <c r="M54">
        <v>9.8181893369608503E-2</v>
      </c>
      <c r="N54">
        <v>0.50538960846967229</v>
      </c>
      <c r="O54">
        <v>233.9462871688394</v>
      </c>
      <c r="P54">
        <v>1605.269539738707</v>
      </c>
    </row>
    <row r="55" spans="1:16" x14ac:dyDescent="0.25">
      <c r="A55">
        <v>64</v>
      </c>
      <c r="B55">
        <v>1.1826803690941177</v>
      </c>
      <c r="C55">
        <v>291.91720223137287</v>
      </c>
      <c r="D55">
        <v>31.246225583163749</v>
      </c>
      <c r="E55">
        <v>9.4007363637526292E-2</v>
      </c>
      <c r="F55">
        <v>100000</v>
      </c>
      <c r="G55">
        <v>2.8785597318165737</v>
      </c>
      <c r="H55">
        <v>0.47999661784055148</v>
      </c>
      <c r="I55">
        <v>793.10011292898935</v>
      </c>
      <c r="J55">
        <v>358.44529659058776</v>
      </c>
      <c r="K55">
        <v>3.9031360535332217E-2</v>
      </c>
      <c r="L55">
        <v>167966.18928001463</v>
      </c>
      <c r="M55">
        <v>0.10425924328557352</v>
      </c>
      <c r="N55">
        <v>0.53180790695988112</v>
      </c>
      <c r="O55">
        <v>225.87612576418184</v>
      </c>
      <c r="P55">
        <v>1450.1793578652942</v>
      </c>
    </row>
    <row r="56" spans="1:16" x14ac:dyDescent="0.25">
      <c r="A56">
        <v>68</v>
      </c>
      <c r="B56">
        <v>1.1857534489337771</v>
      </c>
      <c r="C56">
        <v>290.0841635523131</v>
      </c>
      <c r="D56">
        <v>32.088283011919749</v>
      </c>
      <c r="E56">
        <v>9.9028248046046652E-2</v>
      </c>
      <c r="F56">
        <v>100000</v>
      </c>
      <c r="G56">
        <v>3.5476475060874328</v>
      </c>
      <c r="H56">
        <v>0.48725903838281992</v>
      </c>
      <c r="I56">
        <v>788.8163854808937</v>
      </c>
      <c r="J56">
        <v>372.91590789227405</v>
      </c>
      <c r="K56">
        <v>4.3668050256914559E-2</v>
      </c>
      <c r="L56">
        <v>164921.1089575915</v>
      </c>
      <c r="M56">
        <v>0.10925503144567542</v>
      </c>
      <c r="N56">
        <v>0.51282510120447389</v>
      </c>
      <c r="O56">
        <v>225.9178491556728</v>
      </c>
      <c r="P56">
        <v>1621.6673645483606</v>
      </c>
    </row>
    <row r="57" spans="1:16" x14ac:dyDescent="0.25">
      <c r="A57">
        <v>69</v>
      </c>
      <c r="B57">
        <v>1.1842351937687596</v>
      </c>
      <c r="C57">
        <v>290.20417724977733</v>
      </c>
      <c r="D57">
        <v>41.138876345579718</v>
      </c>
      <c r="E57">
        <v>9.4094464303609363E-2</v>
      </c>
      <c r="F57">
        <v>100000</v>
      </c>
      <c r="G57">
        <v>4.7817726025707969</v>
      </c>
      <c r="H57">
        <v>0.48514582706319043</v>
      </c>
      <c r="I57">
        <v>807.95803692782329</v>
      </c>
      <c r="J57">
        <v>363.38852224455445</v>
      </c>
      <c r="K57">
        <v>4.7505795508652415E-2</v>
      </c>
      <c r="L57">
        <v>168527.28713077406</v>
      </c>
      <c r="M57">
        <v>0.10635992502547245</v>
      </c>
      <c r="N57">
        <v>0.52429896246273899</v>
      </c>
      <c r="O57">
        <v>227.24830973446223</v>
      </c>
      <c r="P57">
        <v>1736.6673217146235</v>
      </c>
    </row>
    <row r="58" spans="1:16" x14ac:dyDescent="0.25">
      <c r="A58">
        <v>70</v>
      </c>
      <c r="B58">
        <v>1.1841763029494066</v>
      </c>
      <c r="C58">
        <v>290.27844074056986</v>
      </c>
      <c r="D58">
        <v>41.314779339696628</v>
      </c>
      <c r="E58">
        <v>9.905447222527336E-2</v>
      </c>
      <c r="F58">
        <v>100000</v>
      </c>
      <c r="G58">
        <v>3.0407667096714475</v>
      </c>
      <c r="H58">
        <v>0.48929114374752702</v>
      </c>
      <c r="I58">
        <v>794.38829889069518</v>
      </c>
      <c r="J58">
        <v>332.05755393872619</v>
      </c>
      <c r="K58">
        <v>5.4421175754162734E-2</v>
      </c>
      <c r="L58">
        <v>155536.47067642637</v>
      </c>
      <c r="M58">
        <v>0.10460653010577602</v>
      </c>
      <c r="N58">
        <v>0.52574594605488389</v>
      </c>
      <c r="O58">
        <v>229.55107298883505</v>
      </c>
      <c r="P58">
        <v>1436.5738962757678</v>
      </c>
    </row>
    <row r="59" spans="1:16" x14ac:dyDescent="0.25">
      <c r="A59">
        <v>72</v>
      </c>
      <c r="B59">
        <v>1.1839969905188263</v>
      </c>
      <c r="C59">
        <v>290.51168852511518</v>
      </c>
      <c r="D59">
        <v>42.243811742341734</v>
      </c>
      <c r="E59">
        <v>9.9784281463172628E-2</v>
      </c>
      <c r="F59">
        <v>100000</v>
      </c>
      <c r="G59">
        <v>4.7302119070458266</v>
      </c>
      <c r="H59">
        <v>0.48004133298338225</v>
      </c>
      <c r="I59">
        <v>808.26752888793817</v>
      </c>
      <c r="J59">
        <v>297.06176666576494</v>
      </c>
      <c r="K59">
        <v>5.8663488346134232E-2</v>
      </c>
      <c r="L59">
        <v>163279.43423280615</v>
      </c>
      <c r="M59">
        <v>0.1057832013123914</v>
      </c>
      <c r="N59">
        <v>0.51037245595634262</v>
      </c>
      <c r="O59">
        <v>229.68377611746106</v>
      </c>
      <c r="P59">
        <v>1502.1489992306379</v>
      </c>
    </row>
    <row r="60" spans="1:16" x14ac:dyDescent="0.25">
      <c r="A60">
        <v>73</v>
      </c>
      <c r="B60">
        <v>1.1855770553826048</v>
      </c>
      <c r="C60">
        <v>291.54936185486235</v>
      </c>
      <c r="D60">
        <v>41.949279267618216</v>
      </c>
      <c r="E60">
        <v>9.6116186056914618E-2</v>
      </c>
      <c r="F60">
        <v>100000</v>
      </c>
      <c r="G60">
        <v>4.8019210769434544</v>
      </c>
      <c r="H60">
        <v>0.4800961263809102</v>
      </c>
      <c r="I60">
        <v>792.97022591369944</v>
      </c>
      <c r="J60">
        <v>372.70768926802134</v>
      </c>
      <c r="K60">
        <v>4.1523001390772779E-2</v>
      </c>
      <c r="L60">
        <v>155179.18124556763</v>
      </c>
      <c r="M60">
        <v>0.10727329099900246</v>
      </c>
      <c r="N60">
        <v>0.52174924519898602</v>
      </c>
      <c r="O60">
        <v>231.36094110772473</v>
      </c>
      <c r="P60">
        <v>1603.5885452179282</v>
      </c>
    </row>
    <row r="61" spans="1:16" x14ac:dyDescent="0.25">
      <c r="A61">
        <v>74</v>
      </c>
      <c r="B61">
        <v>1.1867391010655428</v>
      </c>
      <c r="C61">
        <v>290.84770778093809</v>
      </c>
      <c r="D61">
        <v>41.100420900968516</v>
      </c>
      <c r="E61">
        <v>9.4412061947689196E-2</v>
      </c>
      <c r="F61">
        <v>100000</v>
      </c>
      <c r="G61">
        <v>4.3761999261814015</v>
      </c>
      <c r="H61">
        <v>0.48330496089380109</v>
      </c>
      <c r="I61">
        <v>800.99975514096184</v>
      </c>
      <c r="J61">
        <v>302.96139216104365</v>
      </c>
      <c r="K61">
        <v>4.6709532983626768E-2</v>
      </c>
      <c r="L61">
        <v>166766.13801479319</v>
      </c>
      <c r="M61">
        <v>0.10440863122572769</v>
      </c>
      <c r="N61">
        <v>0.53049308843471332</v>
      </c>
      <c r="O61">
        <v>229.40494189152528</v>
      </c>
      <c r="P61">
        <v>1497.7934504625664</v>
      </c>
    </row>
    <row r="62" spans="1:16" x14ac:dyDescent="0.25">
      <c r="A62">
        <v>75</v>
      </c>
      <c r="B62">
        <v>1.1870464103747846</v>
      </c>
      <c r="C62">
        <v>290.22357688612101</v>
      </c>
      <c r="D62">
        <v>32.695466049090491</v>
      </c>
      <c r="E62">
        <v>9.9008751392579392E-2</v>
      </c>
      <c r="F62">
        <v>100000</v>
      </c>
      <c r="G62">
        <v>3.7002969622742872</v>
      </c>
      <c r="H62">
        <v>0.4887805145052076</v>
      </c>
      <c r="I62">
        <v>805.05636380969213</v>
      </c>
      <c r="J62">
        <v>329.80270735841611</v>
      </c>
      <c r="K62">
        <v>4.801509355449967E-2</v>
      </c>
      <c r="L62">
        <v>155514.42473651766</v>
      </c>
      <c r="M62">
        <v>0.1058522475296771</v>
      </c>
      <c r="N62">
        <v>0.51242302114556815</v>
      </c>
      <c r="O62">
        <v>227.01566385598016</v>
      </c>
      <c r="P62">
        <v>1456.8084740338891</v>
      </c>
    </row>
    <row r="63" spans="1:16" x14ac:dyDescent="0.25">
      <c r="A63">
        <v>76</v>
      </c>
      <c r="B63">
        <v>1.1856199881393736</v>
      </c>
      <c r="C63">
        <v>290.47484811468985</v>
      </c>
      <c r="D63">
        <v>39.232710484223418</v>
      </c>
      <c r="E63">
        <v>9.5577383531499416E-2</v>
      </c>
      <c r="F63">
        <v>100000</v>
      </c>
      <c r="G63">
        <v>3.2327850229315636</v>
      </c>
      <c r="H63">
        <v>0.48726221587190049</v>
      </c>
      <c r="I63">
        <v>798.3167268978118</v>
      </c>
      <c r="J63">
        <v>301.54399409122584</v>
      </c>
      <c r="K63">
        <v>4.7956804446013725E-2</v>
      </c>
      <c r="L63">
        <v>158596.12041252706</v>
      </c>
      <c r="M63">
        <v>0.10384985339309792</v>
      </c>
      <c r="N63">
        <v>0.52854805954770712</v>
      </c>
      <c r="O63">
        <v>226.95338602090402</v>
      </c>
      <c r="P63">
        <v>1373.8940815548922</v>
      </c>
    </row>
    <row r="64" spans="1:16" x14ac:dyDescent="0.25">
      <c r="A64">
        <v>78</v>
      </c>
      <c r="B64">
        <v>1.1838293033943352</v>
      </c>
      <c r="C64">
        <v>290.80770057379868</v>
      </c>
      <c r="D64">
        <v>38.005181950046698</v>
      </c>
      <c r="E64">
        <v>9.3194112630156326E-2</v>
      </c>
      <c r="F64">
        <v>100000</v>
      </c>
      <c r="G64">
        <v>3.732504022608683</v>
      </c>
      <c r="H64">
        <v>0.48817203094400974</v>
      </c>
      <c r="I64">
        <v>790.95284102035862</v>
      </c>
      <c r="J64">
        <v>302.95694932011833</v>
      </c>
      <c r="K64">
        <v>4.3462863644308292E-2</v>
      </c>
      <c r="L64">
        <v>166231.29488071662</v>
      </c>
      <c r="M64">
        <v>0.10448890625593517</v>
      </c>
      <c r="N64">
        <v>0.52475128863284837</v>
      </c>
      <c r="O64">
        <v>230.18030349894772</v>
      </c>
      <c r="P64">
        <v>1431.663008728814</v>
      </c>
    </row>
    <row r="65" spans="1:16" x14ac:dyDescent="0.25">
      <c r="A65">
        <v>81</v>
      </c>
      <c r="B65">
        <v>1.1847706599581183</v>
      </c>
      <c r="C65">
        <v>291.30020378406692</v>
      </c>
      <c r="D65">
        <v>40.566697071274987</v>
      </c>
      <c r="E65">
        <v>9.2664736197040173E-2</v>
      </c>
      <c r="F65">
        <v>100000</v>
      </c>
      <c r="G65">
        <v>4.674194748345684</v>
      </c>
      <c r="H65">
        <v>0.48061953636868793</v>
      </c>
      <c r="I65">
        <v>802.05496963422922</v>
      </c>
      <c r="J65">
        <v>364.32274868783804</v>
      </c>
      <c r="K65">
        <v>5.6689317314813123E-2</v>
      </c>
      <c r="L65">
        <v>156359.34260340268</v>
      </c>
      <c r="M65">
        <v>0.10681913188817137</v>
      </c>
      <c r="N65">
        <v>0.5261682485586392</v>
      </c>
      <c r="O65">
        <v>228.19439659883705</v>
      </c>
      <c r="P65">
        <v>1599.2979587343798</v>
      </c>
    </row>
    <row r="66" spans="1:16" x14ac:dyDescent="0.25">
      <c r="A66">
        <v>83</v>
      </c>
      <c r="B66">
        <v>1.1853984275808076</v>
      </c>
      <c r="C66">
        <v>290.45754940099738</v>
      </c>
      <c r="D66">
        <v>38.817505183373882</v>
      </c>
      <c r="E66">
        <v>9.4416664198918129E-2</v>
      </c>
      <c r="F66">
        <v>100000</v>
      </c>
      <c r="G66">
        <v>3.8126402534353154</v>
      </c>
      <c r="H66">
        <v>0.48800216864497897</v>
      </c>
      <c r="I66">
        <v>804.49891601461957</v>
      </c>
      <c r="J66">
        <v>352.69148332838307</v>
      </c>
      <c r="K66">
        <v>4.2605008938684588E-2</v>
      </c>
      <c r="L66">
        <v>165006.68650057647</v>
      </c>
      <c r="M66">
        <v>0.10720501243139417</v>
      </c>
      <c r="N66">
        <v>0.52487032639588282</v>
      </c>
      <c r="O66">
        <v>227.08332013695053</v>
      </c>
      <c r="P66">
        <v>1601.033326597586</v>
      </c>
    </row>
    <row r="67" spans="1:16" x14ac:dyDescent="0.25">
      <c r="A67">
        <v>85</v>
      </c>
      <c r="B67">
        <v>1.1866542628338048</v>
      </c>
      <c r="C67">
        <v>290.33775505714618</v>
      </c>
      <c r="D67">
        <v>38.043976523282566</v>
      </c>
      <c r="E67">
        <v>9.7659172666860111E-2</v>
      </c>
      <c r="F67">
        <v>100000</v>
      </c>
      <c r="G67">
        <v>3.7984958482894959</v>
      </c>
      <c r="H67">
        <v>0.48822791632994694</v>
      </c>
      <c r="I67">
        <v>791.1349538273314</v>
      </c>
      <c r="J67">
        <v>364.0652135848058</v>
      </c>
      <c r="K67">
        <v>5.429159305338857E-2</v>
      </c>
      <c r="L67">
        <v>166009.62551581167</v>
      </c>
      <c r="M67">
        <v>0.10685320225891637</v>
      </c>
      <c r="N67">
        <v>0.51587754696031984</v>
      </c>
      <c r="O67">
        <v>229.18000872741098</v>
      </c>
      <c r="P67">
        <v>1626.5472300109031</v>
      </c>
    </row>
    <row r="68" spans="1:16" x14ac:dyDescent="0.25">
      <c r="A68">
        <v>88</v>
      </c>
      <c r="B68">
        <v>1.1845989943015098</v>
      </c>
      <c r="C68">
        <v>290.65853833693836</v>
      </c>
      <c r="D68">
        <v>37.115261626297837</v>
      </c>
      <c r="E68">
        <v>9.6600788981269572E-2</v>
      </c>
      <c r="F68">
        <v>100000</v>
      </c>
      <c r="G68">
        <v>4.1572141171009793</v>
      </c>
      <c r="H68">
        <v>0.48722254793906405</v>
      </c>
      <c r="I68">
        <v>800.09823779040062</v>
      </c>
      <c r="J68">
        <v>357.40154002966398</v>
      </c>
      <c r="K68">
        <v>4.7547776044972401E-2</v>
      </c>
      <c r="L68">
        <v>165913.24427774531</v>
      </c>
      <c r="M68">
        <v>0.10708583579982202</v>
      </c>
      <c r="N68">
        <v>0.52785126940377058</v>
      </c>
      <c r="O68">
        <v>227.20443916543621</v>
      </c>
      <c r="P68">
        <v>1616.6684424464402</v>
      </c>
    </row>
    <row r="69" spans="1:16" x14ac:dyDescent="0.25">
      <c r="A69">
        <v>91</v>
      </c>
      <c r="B69">
        <v>1.1846116438904937</v>
      </c>
      <c r="C69">
        <v>290.96814966394862</v>
      </c>
      <c r="D69">
        <v>35.998809361059735</v>
      </c>
      <c r="E69">
        <v>9.3634091308436876E-2</v>
      </c>
      <c r="F69">
        <v>100000</v>
      </c>
      <c r="G69">
        <v>4.2249679885689959</v>
      </c>
      <c r="H69">
        <v>0.48166474255195668</v>
      </c>
      <c r="I69">
        <v>797.99835752713318</v>
      </c>
      <c r="J69">
        <v>356.86372246852625</v>
      </c>
      <c r="K69">
        <v>4.7352084731435207E-2</v>
      </c>
      <c r="L69">
        <v>161190.41298442151</v>
      </c>
      <c r="M69">
        <v>0.10414464783863064</v>
      </c>
      <c r="N69">
        <v>0.52218041771642676</v>
      </c>
      <c r="O69">
        <v>227.47148250477966</v>
      </c>
      <c r="P69">
        <v>1572.8270625226942</v>
      </c>
    </row>
    <row r="70" spans="1:16" x14ac:dyDescent="0.25">
      <c r="A70">
        <v>93</v>
      </c>
      <c r="B70">
        <v>1.1854763055774127</v>
      </c>
      <c r="C70">
        <v>291.15935510823039</v>
      </c>
      <c r="D70">
        <v>37.57249674913988</v>
      </c>
      <c r="E70">
        <v>9.455218596182452E-2</v>
      </c>
      <c r="F70">
        <v>100000</v>
      </c>
      <c r="G70">
        <v>3.6092959349867275</v>
      </c>
      <c r="H70">
        <v>0.48301579650551912</v>
      </c>
      <c r="I70">
        <v>791.85281898463279</v>
      </c>
      <c r="J70">
        <v>307.82462978855472</v>
      </c>
      <c r="K70">
        <v>4.4767189190303001E-2</v>
      </c>
      <c r="L70">
        <v>160867.54331555421</v>
      </c>
      <c r="M70">
        <v>0.1040176305707089</v>
      </c>
      <c r="N70">
        <v>0.52089580248991163</v>
      </c>
      <c r="O70">
        <v>228.57435504211705</v>
      </c>
      <c r="P70">
        <v>1381.0783917584267</v>
      </c>
    </row>
    <row r="71" spans="1:16" x14ac:dyDescent="0.25">
      <c r="A71">
        <v>101</v>
      </c>
      <c r="B71">
        <v>1.1858991556011236</v>
      </c>
      <c r="C71">
        <v>290.738449855986</v>
      </c>
      <c r="D71">
        <v>36.235382822004205</v>
      </c>
      <c r="E71">
        <v>9.4163294916399146E-2</v>
      </c>
      <c r="F71">
        <v>100000</v>
      </c>
      <c r="G71">
        <v>4.0148697610261221</v>
      </c>
      <c r="H71">
        <v>0.48625535350738991</v>
      </c>
      <c r="I71">
        <v>797.43554761315386</v>
      </c>
      <c r="J71">
        <v>340.25543511071885</v>
      </c>
      <c r="K71">
        <v>4.6898621963921312E-2</v>
      </c>
      <c r="L71">
        <v>161378.42008453808</v>
      </c>
      <c r="M71">
        <v>0.10539297099521816</v>
      </c>
      <c r="N71">
        <v>0.51961455989296956</v>
      </c>
      <c r="O71">
        <v>227.64167940045809</v>
      </c>
      <c r="P71">
        <v>1525.204749092627</v>
      </c>
    </row>
    <row r="72" spans="1:16" x14ac:dyDescent="0.25">
      <c r="A72">
        <v>103</v>
      </c>
      <c r="B72">
        <v>1.1845356762952526</v>
      </c>
      <c r="C72">
        <v>291.16792700974412</v>
      </c>
      <c r="D72">
        <v>37.581098062722297</v>
      </c>
      <c r="E72">
        <v>9.4712426536161937E-2</v>
      </c>
      <c r="F72">
        <v>100000</v>
      </c>
      <c r="G72">
        <v>4.2361522217896947</v>
      </c>
      <c r="H72">
        <v>0.48661536368253139</v>
      </c>
      <c r="I72">
        <v>796.12277070528148</v>
      </c>
      <c r="J72">
        <v>341.16832032310822</v>
      </c>
      <c r="K72">
        <v>4.5066917557010013E-2</v>
      </c>
      <c r="L72">
        <v>159196.09281646696</v>
      </c>
      <c r="M72">
        <v>0.10489874462414797</v>
      </c>
      <c r="N72">
        <v>0.51883931124237403</v>
      </c>
      <c r="O72">
        <v>228.42618250178384</v>
      </c>
      <c r="P72">
        <v>1508.718352321237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C16"/>
  <sheetViews>
    <sheetView zoomScale="70" zoomScaleNormal="70" workbookViewId="0">
      <selection activeCell="P3" sqref="P3:HC16"/>
    </sheetView>
  </sheetViews>
  <sheetFormatPr defaultRowHeight="15" x14ac:dyDescent="0.25"/>
  <sheetData>
    <row r="1" spans="1:211" x14ac:dyDescent="0.25">
      <c r="P1" s="2" t="s">
        <v>0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 t="s">
        <v>21</v>
      </c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 t="s">
        <v>22</v>
      </c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 t="s">
        <v>25</v>
      </c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 t="s">
        <v>26</v>
      </c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 t="s">
        <v>27</v>
      </c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 t="s">
        <v>28</v>
      </c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 t="s">
        <v>29</v>
      </c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 t="s">
        <v>30</v>
      </c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 t="s">
        <v>31</v>
      </c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 t="s">
        <v>32</v>
      </c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 t="s">
        <v>33</v>
      </c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 t="s">
        <v>34</v>
      </c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</row>
    <row r="2" spans="1:211" x14ac:dyDescent="0.25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30351.252189239978</v>
      </c>
      <c r="AE2">
        <v>118598.24983047199</v>
      </c>
      <c r="AF2">
        <v>191247.38012992049</v>
      </c>
      <c r="AG2">
        <v>48629.576062141416</v>
      </c>
      <c r="AH2">
        <v>187994.23027377939</v>
      </c>
      <c r="AI2">
        <v>22866.566113963127</v>
      </c>
      <c r="AJ2">
        <v>196850.64566811896</v>
      </c>
      <c r="AK2">
        <v>126595.16628153039</v>
      </c>
      <c r="AL2">
        <v>119771.28111365938</v>
      </c>
      <c r="AM2">
        <v>180513.93110018253</v>
      </c>
      <c r="AN2">
        <v>114972.98819188261</v>
      </c>
      <c r="AO2">
        <v>49034.792262973788</v>
      </c>
      <c r="AP2">
        <v>172032.48851112605</v>
      </c>
      <c r="AQ2">
        <v>14990.074882391929</v>
      </c>
      <c r="AR2">
        <v>87765.280921426296</v>
      </c>
      <c r="AS2">
        <v>151995.80384582709</v>
      </c>
      <c r="AT2">
        <v>49135.774448112963</v>
      </c>
      <c r="AU2">
        <v>75721.245014790533</v>
      </c>
      <c r="AV2">
        <v>79448.716694152361</v>
      </c>
      <c r="AW2">
        <v>105314.6400178833</v>
      </c>
      <c r="AX2">
        <v>54071.849461241247</v>
      </c>
      <c r="AY2">
        <v>116235.28338751507</v>
      </c>
      <c r="AZ2">
        <v>41939.801339650629</v>
      </c>
      <c r="BA2">
        <v>15741.784790372849</v>
      </c>
      <c r="BB2">
        <v>179089.24901681946</v>
      </c>
      <c r="BC2">
        <v>22286.589101639747</v>
      </c>
      <c r="BD2">
        <v>130475.34505469847</v>
      </c>
      <c r="BE2">
        <v>180066.77707296371</v>
      </c>
      <c r="BF2">
        <v>46319.335885843757</v>
      </c>
      <c r="BG2">
        <v>189981.10334417628</v>
      </c>
      <c r="BH2">
        <v>169237.48377826071</v>
      </c>
      <c r="BI2">
        <v>88243.250548761367</v>
      </c>
      <c r="BJ2">
        <v>98401.252518997673</v>
      </c>
      <c r="BK2">
        <v>153901.36426307392</v>
      </c>
      <c r="BL2">
        <v>166978.6585664897</v>
      </c>
      <c r="BM2">
        <v>76513.867549308779</v>
      </c>
      <c r="BN2">
        <v>39106.983421652316</v>
      </c>
      <c r="BO2">
        <v>65231.44784221935</v>
      </c>
      <c r="BP2">
        <v>82646.624967725278</v>
      </c>
      <c r="BQ2">
        <v>30535.37092958641</v>
      </c>
      <c r="BR2">
        <v>123966.30352886629</v>
      </c>
      <c r="BS2">
        <v>19881.994776436804</v>
      </c>
      <c r="BT2">
        <v>41009.444397494794</v>
      </c>
      <c r="BU2">
        <v>138503.55394301223</v>
      </c>
      <c r="BV2">
        <v>100891.82058038568</v>
      </c>
      <c r="BW2">
        <v>36615.211346488002</v>
      </c>
      <c r="BX2">
        <v>198280.48951351308</v>
      </c>
      <c r="BY2">
        <v>94278.29211644172</v>
      </c>
      <c r="BZ2">
        <v>803.94349564409254</v>
      </c>
      <c r="CA2">
        <v>85169.868294072148</v>
      </c>
      <c r="CB2">
        <v>57743.471590682508</v>
      </c>
      <c r="CC2">
        <v>150508.50112516785</v>
      </c>
      <c r="CD2">
        <v>178255.8807487626</v>
      </c>
      <c r="CE2">
        <v>164386.29769682599</v>
      </c>
      <c r="CF2">
        <v>35377.37789609289</v>
      </c>
      <c r="CG2">
        <v>21757.180667921068</v>
      </c>
      <c r="CH2">
        <v>2058.6927435498237</v>
      </c>
      <c r="CI2">
        <v>30331.403843323707</v>
      </c>
      <c r="CJ2">
        <v>75481.527064021589</v>
      </c>
      <c r="CK2">
        <v>37626.368341869354</v>
      </c>
      <c r="CL2">
        <v>195906.19818850185</v>
      </c>
      <c r="CM2">
        <v>174423.62410807706</v>
      </c>
      <c r="CN2">
        <v>116300.55047093343</v>
      </c>
      <c r="CO2">
        <v>145882.17951761818</v>
      </c>
      <c r="CP2">
        <v>29000.086471802235</v>
      </c>
      <c r="CQ2">
        <v>51557.999826535226</v>
      </c>
      <c r="CR2">
        <v>5649.3956104807858</v>
      </c>
      <c r="CS2">
        <v>165579.7972142105</v>
      </c>
      <c r="CT2">
        <v>156674.80403632211</v>
      </c>
      <c r="CU2">
        <v>158231.09317008496</v>
      </c>
      <c r="CV2">
        <v>66538.30346850348</v>
      </c>
      <c r="CW2">
        <v>90188.459974126818</v>
      </c>
      <c r="CX2">
        <v>111022.65475462007</v>
      </c>
      <c r="CY2">
        <v>160666.06202105046</v>
      </c>
      <c r="CZ2">
        <v>112797.84789802885</v>
      </c>
      <c r="DA2">
        <v>40716.463738285063</v>
      </c>
      <c r="DB2">
        <v>41518.730303942204</v>
      </c>
      <c r="DC2">
        <v>72937.612847693439</v>
      </c>
      <c r="DD2">
        <v>114703.90899427175</v>
      </c>
      <c r="DE2">
        <v>68836.169721040729</v>
      </c>
      <c r="DF2">
        <v>105645.9345412221</v>
      </c>
      <c r="DG2">
        <v>85097.007579213139</v>
      </c>
      <c r="DH2">
        <v>114602.67646963453</v>
      </c>
      <c r="DI2">
        <v>10009.010285186767</v>
      </c>
      <c r="DJ2">
        <v>109519.99787808085</v>
      </c>
      <c r="DK2">
        <v>41297.084480746271</v>
      </c>
      <c r="DL2">
        <v>192535.65102870704</v>
      </c>
      <c r="DM2">
        <v>186610.46081695365</v>
      </c>
      <c r="DN2">
        <v>198514.44965582705</v>
      </c>
      <c r="DO2">
        <v>167917.22902836703</v>
      </c>
      <c r="DP2">
        <v>81864.659743266588</v>
      </c>
      <c r="DQ2">
        <v>161055.08960100936</v>
      </c>
      <c r="DR2">
        <v>197885.64452045679</v>
      </c>
      <c r="DS2">
        <v>51688.414784087181</v>
      </c>
      <c r="DT2">
        <v>34896.821427278039</v>
      </c>
      <c r="DU2">
        <v>138921.50169545936</v>
      </c>
      <c r="DV2">
        <v>3397.746797653675</v>
      </c>
      <c r="DW2">
        <v>67818.146270855897</v>
      </c>
      <c r="DX2">
        <v>138509.57401189374</v>
      </c>
      <c r="DY2">
        <v>22077.37680684662</v>
      </c>
      <c r="DZ2">
        <v>21947.712867788792</v>
      </c>
      <c r="EA2">
        <v>58115.51184755993</v>
      </c>
      <c r="EB2">
        <v>79775.68392045355</v>
      </c>
      <c r="EC2">
        <v>111804.4411651516</v>
      </c>
      <c r="ED2">
        <v>62190.335540920736</v>
      </c>
      <c r="EE2">
        <v>59116.154584023476</v>
      </c>
      <c r="EF2">
        <v>161588.2054434848</v>
      </c>
      <c r="EG2">
        <v>61923.509398792266</v>
      </c>
      <c r="EH2">
        <v>75163.214431795597</v>
      </c>
      <c r="EI2">
        <v>80207.281136008256</v>
      </c>
      <c r="EJ2">
        <v>168285.5261137023</v>
      </c>
      <c r="EK2">
        <v>81919.436409624104</v>
      </c>
      <c r="EL2">
        <v>144911.75633484698</v>
      </c>
      <c r="EM2">
        <v>131752.66062021352</v>
      </c>
      <c r="EN2">
        <v>81276.338081008435</v>
      </c>
      <c r="EO2">
        <v>190066.14724794007</v>
      </c>
      <c r="EP2">
        <v>129114.18959919596</v>
      </c>
      <c r="EQ2">
        <v>103217.62948927593</v>
      </c>
      <c r="ER2">
        <v>44664.639487493041</v>
      </c>
      <c r="ES2">
        <v>116551.64098747063</v>
      </c>
      <c r="ET2">
        <v>149706.54450365115</v>
      </c>
      <c r="EU2">
        <v>91294.078406769753</v>
      </c>
      <c r="EV2">
        <v>180874.74184243346</v>
      </c>
      <c r="EW2">
        <v>56602.960600383762</v>
      </c>
      <c r="EX2">
        <v>133507.67163170862</v>
      </c>
      <c r="EY2">
        <v>178025.46112220667</v>
      </c>
      <c r="EZ2">
        <v>56276.291397294524</v>
      </c>
      <c r="FA2">
        <v>73611.216832284932</v>
      </c>
      <c r="FB2">
        <v>2844.2342465519905</v>
      </c>
      <c r="FC2">
        <v>58931.80934603596</v>
      </c>
      <c r="FD2">
        <v>196809.2085207286</v>
      </c>
      <c r="FE2">
        <v>152256.5860772171</v>
      </c>
      <c r="FF2">
        <v>116175.69066605234</v>
      </c>
      <c r="FG2">
        <v>121134.68962464428</v>
      </c>
      <c r="FH2">
        <v>53608.769073575495</v>
      </c>
      <c r="FI2">
        <v>101633.31425266076</v>
      </c>
      <c r="FJ2">
        <v>158719.33863776826</v>
      </c>
      <c r="FK2">
        <v>171482.25421535588</v>
      </c>
      <c r="FL2">
        <v>18630.523783862591</v>
      </c>
      <c r="FM2">
        <v>108374.69467453385</v>
      </c>
      <c r="FN2">
        <v>83075.277713945863</v>
      </c>
      <c r="FO2">
        <v>14674.217961432458</v>
      </c>
      <c r="FP2">
        <v>90275.351621804715</v>
      </c>
      <c r="FQ2">
        <v>139778.09193219186</v>
      </c>
      <c r="FR2">
        <v>99851.409626518725</v>
      </c>
      <c r="FS2">
        <v>81386.833167073244</v>
      </c>
      <c r="FT2">
        <v>189014.4471748042</v>
      </c>
      <c r="FU2">
        <v>196929.93176342774</v>
      </c>
      <c r="FV2">
        <v>118288.46066210794</v>
      </c>
      <c r="FW2">
        <v>106397.94247241497</v>
      </c>
      <c r="FX2">
        <v>123014.32202245093</v>
      </c>
      <c r="FY2">
        <v>17830.712929471971</v>
      </c>
      <c r="FZ2">
        <v>36884.970037022111</v>
      </c>
      <c r="GA2">
        <v>56711.941728531834</v>
      </c>
      <c r="GB2">
        <v>3761.7881115221976</v>
      </c>
      <c r="GC2">
        <v>30519.969089992523</v>
      </c>
      <c r="GD2">
        <v>84022.276272257324</v>
      </c>
      <c r="GE2">
        <v>109684.78087243557</v>
      </c>
      <c r="GF2">
        <v>111688.96313098287</v>
      </c>
      <c r="GG2">
        <v>156201.31667809485</v>
      </c>
      <c r="GH2">
        <v>8589.5495684971811</v>
      </c>
      <c r="GI2">
        <v>81148.986802075393</v>
      </c>
      <c r="GJ2">
        <v>11798.305886985301</v>
      </c>
      <c r="GK2">
        <v>62367.444775321957</v>
      </c>
      <c r="GL2">
        <v>120608.75018111277</v>
      </c>
      <c r="GM2">
        <v>103538.636251338</v>
      </c>
      <c r="GN2">
        <v>119287.55367786932</v>
      </c>
      <c r="GO2">
        <v>65925.078986654276</v>
      </c>
      <c r="GP2">
        <v>181859.67279516268</v>
      </c>
      <c r="GQ2">
        <v>154014.37466504765</v>
      </c>
      <c r="GR2">
        <v>115174.78566916227</v>
      </c>
      <c r="GS2">
        <v>86320.023315509796</v>
      </c>
      <c r="GT2">
        <v>146504.916900393</v>
      </c>
      <c r="GU2">
        <v>32588.417073966026</v>
      </c>
      <c r="GV2">
        <v>11923.380268579007</v>
      </c>
      <c r="GW2">
        <v>48662.144038743972</v>
      </c>
      <c r="GX2">
        <v>151714.88716623734</v>
      </c>
      <c r="GY2">
        <v>190249.51496979236</v>
      </c>
      <c r="GZ2">
        <v>69067.018501021856</v>
      </c>
      <c r="HA2">
        <v>136850.35958164977</v>
      </c>
      <c r="HB2">
        <v>158292.80781681681</v>
      </c>
      <c r="HC2">
        <v>7088.0251801633831</v>
      </c>
    </row>
    <row r="3" spans="1:21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2">
        <f>SQRT(SUMXMY2('Coordenadas dos Polos'!$B$3:$O$3,'Coordenadas dos Polos'!$P$2:$AC$2))</f>
        <v>0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>
        <f>SQRT(SUMXMY2('Coordenadas dos Polos'!$B$3:$O$3,'Coordenadas dos Polos'!$AD$2:$AQ$2))</f>
        <v>486766.76155005628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>
        <f>SQRT(SUMXMY2('Coordenadas dos Polos'!$B$3:$O$3,'Coordenadas dos Polos'!$AR$2:$BE$2))</f>
        <v>395999.29287628457</v>
      </c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>
        <f>SQRT(SUMXMY2('Coordenadas dos Polos'!$B$3:$O$3,'Coordenadas dos Polos'!$BF$2:$BS$2))</f>
        <v>413619.98019237816</v>
      </c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>
        <f>SQRT(SUMXMY2('Coordenadas dos Polos'!$B$3:$O$3,'Coordenadas dos Polos'!$BT$2:$CG$2))</f>
        <v>417555.9949453352</v>
      </c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>
        <f>SQRT(SUMXMY2('Coordenadas dos Polos'!$B$3:$O$3,'Coordenadas dos Polos'!$CH$2:$CU$2))</f>
        <v>438382.93148470402</v>
      </c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>
        <f>SQRT(SUMXMY2('Coordenadas dos Polos'!$B$3:$O$3,'Coordenadas dos Polos'!$CV$2:$DI$2))</f>
        <v>348794.67551008286</v>
      </c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>
        <f>SQRT(SUMXMY2('Coordenadas dos Polos'!$B$3:$O$3,'Coordenadas dos Polos'!$DJ$2:$DW$2))</f>
        <v>502788.72800542472</v>
      </c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>
        <f>SQRT(SUMXMY2('Coordenadas dos Polos'!$B$3:$O$3,'Coordenadas dos Polos'!$DX$2:$EK$2))</f>
        <v>356113.71234547527</v>
      </c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>
        <f>SQRT(SUMXMY2('Coordenadas dos Polos'!$B$3:$O$3,'Coordenadas dos Polos'!$EL$2:$EY$2))</f>
        <v>490077.8723771426</v>
      </c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>
        <f>SQRT(SUMXMY2('Coordenadas dos Polos'!$B$3:$O$3,'Coordenadas dos Polos'!$EZ$2:$FM$2))</f>
        <v>426668.97034007701</v>
      </c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>
        <f>SQRT(SUMXMY2('Coordenadas dos Polos'!$B$3:$O$3,'Coordenadas dos Polos'!$FN$2:$GA$2))</f>
        <v>413819.1073413961</v>
      </c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>
        <f>SQRT(SUMXMY2('Coordenadas dos Polos'!$B$3:$O$3,'Coordenadas dos Polos'!$GB$2:$GO$2))</f>
        <v>333825.67662566528</v>
      </c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>
        <f>SQRT(SUMXMY2('Coordenadas dos Polos'!$B$3:$O$3,'Coordenadas dos Polos'!$GP$2:$HC$2))</f>
        <v>458653.49092582997</v>
      </c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</row>
    <row r="4" spans="1:211" x14ac:dyDescent="0.25">
      <c r="A4" t="s">
        <v>1</v>
      </c>
      <c r="B4">
        <v>30351.252189239978</v>
      </c>
      <c r="C4">
        <v>118598.24983047199</v>
      </c>
      <c r="D4">
        <v>191247.38012992049</v>
      </c>
      <c r="E4">
        <v>48629.576062141416</v>
      </c>
      <c r="F4">
        <v>187994.23027377939</v>
      </c>
      <c r="G4">
        <v>22866.566113963127</v>
      </c>
      <c r="H4">
        <v>196850.64566811896</v>
      </c>
      <c r="I4">
        <v>126595.16628153039</v>
      </c>
      <c r="J4">
        <v>119771.28111365938</v>
      </c>
      <c r="K4">
        <v>180513.93110018253</v>
      </c>
      <c r="L4">
        <v>114972.98819188261</v>
      </c>
      <c r="M4">
        <v>49034.792262973788</v>
      </c>
      <c r="N4">
        <v>172032.48851112605</v>
      </c>
      <c r="O4">
        <v>14990.074882391929</v>
      </c>
      <c r="P4" s="2">
        <f>SQRT(SUMXMY2('Coordenadas dos Polos'!$B$4:$O$4,'Coordenadas dos Polos'!$P$2:$AC$2))</f>
        <v>486766.76155005628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>
        <f>SQRT(SUMXMY2('Coordenadas dos Polos'!$B$4:$O$4,'Coordenadas dos Polos'!$AD$2:$AQ$2))</f>
        <v>0</v>
      </c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>
        <f>SQRT(SUMXMY2('Coordenadas dos Polos'!$B$4:$O$4,'Coordenadas dos Polos'!$AR$2:$BE$2))</f>
        <v>362526.73560776439</v>
      </c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>
        <f>SQRT(SUMXMY2('Coordenadas dos Polos'!$B$4:$O$4,'Coordenadas dos Polos'!$BF$2:$BS$2))</f>
        <v>243967.11568925134</v>
      </c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>
        <f>SQRT(SUMXMY2('Coordenadas dos Polos'!$B$4:$O$4,'Coordenadas dos Polos'!$BT$2:$CG$2))</f>
        <v>308144.41263178742</v>
      </c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>
        <f>SQRT(SUMXMY2('Coordenadas dos Polos'!$B$4:$O$4,'Coordenadas dos Polos'!$CH$2:$CU$2))</f>
        <v>350947.33503839525</v>
      </c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>
        <f>SQRT(SUMXMY2('Coordenadas dos Polos'!$B$4:$O$4,'Coordenadas dos Polos'!$CV$2:$DI$2))</f>
        <v>267007.7219710194</v>
      </c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>
        <f>SQRT(SUMXMY2('Coordenadas dos Polos'!$B$4:$O$4,'Coordenadas dos Polos'!$DJ$2:$DW$2))</f>
        <v>367778.92740111332</v>
      </c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>
        <f>SQRT(SUMXMY2('Coordenadas dos Polos'!$B$4:$O$4,'Coordenadas dos Polos'!$DX$2:$EK$2))</f>
        <v>339024.10231271421</v>
      </c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>
        <f>SQRT(SUMXMY2('Coordenadas dos Polos'!$B$4:$O$4,'Coordenadas dos Polos'!$EL$2:$EY$2))</f>
        <v>346267.24641725497</v>
      </c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>
        <f>SQRT(SUMXMY2('Coordenadas dos Polos'!$B$4:$O$4,'Coordenadas dos Polos'!$EZ$2:$FM$2))</f>
        <v>348446.79979635001</v>
      </c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>
        <f>SQRT(SUMXMY2('Coordenadas dos Polos'!$B$4:$O$4,'Coordenadas dos Polos'!$FN$2:$GA$2))</f>
        <v>273541.39641025179</v>
      </c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>
        <f>SQRT(SUMXMY2('Coordenadas dos Polos'!$B$4:$O$4,'Coordenadas dos Polos'!$GB$2:$GO$2))</f>
        <v>344664.44309223222</v>
      </c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>
        <f>SQRT(SUMXMY2('Coordenadas dos Polos'!$B$4:$O$4,'Coordenadas dos Polos'!$GP$2:$HC$2))</f>
        <v>291014.7221396903</v>
      </c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</row>
    <row r="5" spans="1:211" x14ac:dyDescent="0.25">
      <c r="A5" t="s">
        <v>21</v>
      </c>
      <c r="B5">
        <v>87765.280921426296</v>
      </c>
      <c r="C5">
        <v>151995.80384582709</v>
      </c>
      <c r="D5">
        <v>49135.774448112963</v>
      </c>
      <c r="E5">
        <v>75721.245014790533</v>
      </c>
      <c r="F5">
        <v>79448.716694152361</v>
      </c>
      <c r="G5">
        <v>105314.6400178833</v>
      </c>
      <c r="H5">
        <v>54071.849461241247</v>
      </c>
      <c r="I5">
        <v>116235.28338751507</v>
      </c>
      <c r="J5">
        <v>41939.801339650629</v>
      </c>
      <c r="K5">
        <v>15741.784790372849</v>
      </c>
      <c r="L5">
        <v>179089.24901681946</v>
      </c>
      <c r="M5">
        <v>22286.589101639747</v>
      </c>
      <c r="N5">
        <v>130475.34505469847</v>
      </c>
      <c r="O5">
        <v>180066.77707296371</v>
      </c>
      <c r="P5" s="2">
        <f>SQRT(SUMXMY2('Coordenadas dos Polos'!$B$5:$O$5,'Coordenadas dos Polos'!$P$2:$AC$2))</f>
        <v>395999.29287628457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>
        <f>SQRT(SUMXMY2('Coordenadas dos Polos'!$B$5:$O$5,'Coordenadas dos Polos'!$AD$2:$AQ$2))</f>
        <v>362526.73560776439</v>
      </c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>
        <f>SQRT(SUMXMY2('Coordenadas dos Polos'!$B$5:$O$5,'Coordenadas dos Polos'!$AR$2:$BE$2))</f>
        <v>0</v>
      </c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>
        <f>SQRT(SUMXMY2('Coordenadas dos Polos'!$B$5:$O$5,'Coordenadas dos Polos'!$BF$2:$BS$2))</f>
        <v>268915.38295997761</v>
      </c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>
        <f>SQRT(SUMXMY2('Coordenadas dos Polos'!$B$5:$O$5,'Coordenadas dos Polos'!$BT$2:$CG$2))</f>
        <v>311980.50811947626</v>
      </c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>
        <f>SQRT(SUMXMY2('Coordenadas dos Polos'!$B$5:$O$5,'Coordenadas dos Polos'!$CH$2:$CU$2))</f>
        <v>317191.87034946535</v>
      </c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>
        <f>SQRT(SUMXMY2('Coordenadas dos Polos'!$B$5:$O$5,'Coordenadas dos Polos'!$CV$2:$DI$2))</f>
        <v>263169.11304577888</v>
      </c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>
        <f>SQRT(SUMXMY2('Coordenadas dos Polos'!$B$5:$O$5,'Coordenadas dos Polos'!$DJ$2:$DW$2))</f>
        <v>393978.80848000321</v>
      </c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>
        <f>SQRT(SUMXMY2('Coordenadas dos Polos'!$B$5:$O$5,'Coordenadas dos Polos'!$DX$2:$EK$2))</f>
        <v>256007.99286367928</v>
      </c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>
        <f>SQRT(SUMXMY2('Coordenadas dos Polos'!$B$5:$O$5,'Coordenadas dos Polos'!$EL$2:$EY$2))</f>
        <v>197126.64113828595</v>
      </c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>
        <f>SQRT(SUMXMY2('Coordenadas dos Polos'!$B$5:$O$5,'Coordenadas dos Polos'!$EZ$2:$FM$2))</f>
        <v>277948.25508532004</v>
      </c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>
        <f>SQRT(SUMXMY2('Coordenadas dos Polos'!$B$5:$O$5,'Coordenadas dos Polos'!$FN$2:$GA$2))</f>
        <v>302609.28930783708</v>
      </c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>
        <f>SQRT(SUMXMY2('Coordenadas dos Polos'!$B$5:$O$5,'Coordenadas dos Polos'!$GB$2:$GO$2))</f>
        <v>239520.24949881816</v>
      </c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>
        <f>SQRT(SUMXMY2('Coordenadas dos Polos'!$B$5:$O$5,'Coordenadas dos Polos'!$GP$2:$HC$2))</f>
        <v>357614.73730408715</v>
      </c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</row>
    <row r="6" spans="1:211" x14ac:dyDescent="0.25">
      <c r="A6" t="s">
        <v>22</v>
      </c>
      <c r="B6">
        <v>46319.335885843757</v>
      </c>
      <c r="C6">
        <v>189981.10334417628</v>
      </c>
      <c r="D6">
        <v>169237.48377826071</v>
      </c>
      <c r="E6">
        <v>88243.250548761367</v>
      </c>
      <c r="F6">
        <v>98401.252518997673</v>
      </c>
      <c r="G6">
        <v>153901.36426307392</v>
      </c>
      <c r="H6">
        <v>166978.6585664897</v>
      </c>
      <c r="I6">
        <v>76513.867549308779</v>
      </c>
      <c r="J6">
        <v>39106.983421652316</v>
      </c>
      <c r="K6">
        <v>65231.44784221935</v>
      </c>
      <c r="L6">
        <v>82646.624967725278</v>
      </c>
      <c r="M6">
        <v>30535.37092958641</v>
      </c>
      <c r="N6">
        <v>123966.30352886629</v>
      </c>
      <c r="O6">
        <v>19881.994776436804</v>
      </c>
      <c r="P6" s="2">
        <f>SQRT(SUMXMY2('Coordenadas dos Polos'!$B$6:$O$6,'Coordenadas dos Polos'!$P$2:$AC$2))</f>
        <v>413619.98019237816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>
        <f>SQRT(SUMXMY2('Coordenadas dos Polos'!$B$6:$O$6,'Coordenadas dos Polos'!$AD$2:$AQ$2))</f>
        <v>243967.11568925134</v>
      </c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>
        <f>SQRT(SUMXMY2('Coordenadas dos Polos'!$B$6:$O$6,'Coordenadas dos Polos'!$AR$2:$BE$2))</f>
        <v>268915.38295997761</v>
      </c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>
        <f>SQRT(SUMXMY2('Coordenadas dos Polos'!$B$6:$O$6,'Coordenadas dos Polos'!$BF$2:$BS$2))</f>
        <v>0</v>
      </c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>
        <f>SQRT(SUMXMY2('Coordenadas dos Polos'!$B$6:$O$6,'Coordenadas dos Polos'!$BT$2:$CG$2))</f>
        <v>306206.89264714794</v>
      </c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>
        <f>SQRT(SUMXMY2('Coordenadas dos Polos'!$B$6:$O$6,'Coordenadas dos Polos'!$CH$2:$CU$2))</f>
        <v>317447.46363465645</v>
      </c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>
        <f>SQRT(SUMXMY2('Coordenadas dos Polos'!$B$6:$O$6,'Coordenadas dos Polos'!$CV$2:$DI$2))</f>
        <v>239147.35639017491</v>
      </c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>
        <f>SQRT(SUMXMY2('Coordenadas dos Polos'!$B$6:$O$6,'Coordenadas dos Polos'!$DJ$2:$DW$2))</f>
        <v>342326.17057449755</v>
      </c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>
        <f>SQRT(SUMXMY2('Coordenadas dos Polos'!$B$6:$O$6,'Coordenadas dos Polos'!$DX$2:$EK$2))</f>
        <v>309909.21961158019</v>
      </c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>
        <f>SQRT(SUMXMY2('Coordenadas dos Polos'!$B$6:$O$6,'Coordenadas dos Polos'!$EL$2:$EY$2))</f>
        <v>315645.60799905384</v>
      </c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>
        <f>SQRT(SUMXMY2('Coordenadas dos Polos'!$B$6:$O$6,'Coordenadas dos Polos'!$EZ$2:$FM$2))</f>
        <v>320251.18220380996</v>
      </c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>
        <f>SQRT(SUMXMY2('Coordenadas dos Polos'!$B$6:$O$6,'Coordenadas dos Polos'!$FN$2:$GA$2))</f>
        <v>282693.07692837011</v>
      </c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>
        <f>SQRT(SUMXMY2('Coordenadas dos Polos'!$B$6:$O$6,'Coordenadas dos Polos'!$GB$2:$GO$2))</f>
        <v>264418.68054576492</v>
      </c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>
        <f>SQRT(SUMXMY2('Coordenadas dos Polos'!$B$6:$O$6,'Coordenadas dos Polos'!$GP$2:$HC$2))</f>
        <v>324929.6051716074</v>
      </c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</row>
    <row r="7" spans="1:211" x14ac:dyDescent="0.25">
      <c r="A7" t="s">
        <v>25</v>
      </c>
      <c r="B7">
        <v>41009.444397494794</v>
      </c>
      <c r="C7">
        <v>138503.55394301223</v>
      </c>
      <c r="D7">
        <v>100891.82058038568</v>
      </c>
      <c r="E7">
        <v>36615.211346488002</v>
      </c>
      <c r="F7">
        <v>198280.48951351308</v>
      </c>
      <c r="G7">
        <v>94278.29211644172</v>
      </c>
      <c r="H7">
        <v>803.94349564409254</v>
      </c>
      <c r="I7">
        <v>85169.868294072148</v>
      </c>
      <c r="J7">
        <v>57743.471590682508</v>
      </c>
      <c r="K7">
        <v>150508.50112516785</v>
      </c>
      <c r="L7">
        <v>178255.8807487626</v>
      </c>
      <c r="M7">
        <v>164386.29769682599</v>
      </c>
      <c r="N7">
        <v>35377.37789609289</v>
      </c>
      <c r="O7">
        <v>21757.180667921068</v>
      </c>
      <c r="P7" s="2">
        <f>SQRT(SUMXMY2('Coordenadas dos Polos'!$B$7:$O$7,'Coordenadas dos Polos'!$P$2:$AC$2))</f>
        <v>417555.9949453352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>
        <f>SQRT(SUMXMY2('Coordenadas dos Polos'!$B$7:$O$7,'Coordenadas dos Polos'!$AD$2:$AQ$2))</f>
        <v>308144.41263178742</v>
      </c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>
        <f>SQRT(SUMXMY2('Coordenadas dos Polos'!$B$7:$O$7,'Coordenadas dos Polos'!$AR$2:$BE$2))</f>
        <v>311980.50811947626</v>
      </c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>
        <f>SQRT(SUMXMY2('Coordenadas dos Polos'!$B$7:$O$7,'Coordenadas dos Polos'!$BF$2:$BS$2))</f>
        <v>306206.89264714794</v>
      </c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>
        <f>SQRT(SUMXMY2('Coordenadas dos Polos'!$B$7:$O$7,'Coordenadas dos Polos'!$BT$2:$CG$2))</f>
        <v>0</v>
      </c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>
        <f>SQRT(SUMXMY2('Coordenadas dos Polos'!$B$7:$O$7,'Coordenadas dos Polos'!$CH$2:$CU$2))</f>
        <v>333270.8274857463</v>
      </c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>
        <f>SQRT(SUMXMY2('Coordenadas dos Polos'!$B$7:$O$7,'Coordenadas dos Polos'!$CV$2:$DI$2))</f>
        <v>241556.03102174948</v>
      </c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>
        <f>SQRT(SUMXMY2('Coordenadas dos Polos'!$B$7:$O$7,'Coordenadas dos Polos'!$DJ$2:$DW$2))</f>
        <v>341382.39211339859</v>
      </c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>
        <f>SQRT(SUMXMY2('Coordenadas dos Polos'!$B$7:$O$7,'Coordenadas dos Polos'!$DX$2:$EK$2))</f>
        <v>325856.88898849802</v>
      </c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>
        <f>SQRT(SUMXMY2('Coordenadas dos Polos'!$B$7:$O$7,'Coordenadas dos Polos'!$EL$2:$EY$2))</f>
        <v>316516.47323226254</v>
      </c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>
        <f>SQRT(SUMXMY2('Coordenadas dos Polos'!$B$7:$O$7,'Coordenadas dos Polos'!$EZ$2:$FM$2))</f>
        <v>207711.74018495687</v>
      </c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>
        <f>SQRT(SUMXMY2('Coordenadas dos Polos'!$B$7:$O$7,'Coordenadas dos Polos'!$FN$2:$GA$2))</f>
        <v>342041.25711296091</v>
      </c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>
        <f>SQRT(SUMXMY2('Coordenadas dos Polos'!$B$7:$O$7,'Coordenadas dos Polos'!$GB$2:$GO$2))</f>
        <v>236596.86609946928</v>
      </c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>
        <f>SQRT(SUMXMY2('Coordenadas dos Polos'!$B$7:$O$7,'Coordenadas dos Polos'!$GP$2:$HC$2))</f>
        <v>262888.85088417889</v>
      </c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</row>
    <row r="8" spans="1:211" x14ac:dyDescent="0.25">
      <c r="A8" t="s">
        <v>26</v>
      </c>
      <c r="B8">
        <v>2058.6927435498237</v>
      </c>
      <c r="C8">
        <v>30331.403843323707</v>
      </c>
      <c r="D8">
        <v>75481.527064021589</v>
      </c>
      <c r="E8">
        <v>37626.368341869354</v>
      </c>
      <c r="F8">
        <v>195906.19818850185</v>
      </c>
      <c r="G8">
        <v>174423.62410807706</v>
      </c>
      <c r="H8">
        <v>116300.55047093343</v>
      </c>
      <c r="I8">
        <v>145882.17951761818</v>
      </c>
      <c r="J8">
        <v>29000.086471802235</v>
      </c>
      <c r="K8">
        <v>51557.999826535226</v>
      </c>
      <c r="L8">
        <v>5649.3956104807858</v>
      </c>
      <c r="M8">
        <v>165579.7972142105</v>
      </c>
      <c r="N8">
        <v>156674.80403632211</v>
      </c>
      <c r="O8">
        <v>158231.09317008496</v>
      </c>
      <c r="P8" s="2">
        <f>SQRT(SUMXMY2('Coordenadas dos Polos'!$B$8:$O$8,'Coordenadas dos Polos'!$P$2:$AC$2))</f>
        <v>438382.93148470402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>
        <f>SQRT(SUMXMY2('Coordenadas dos Polos'!$B$8:$O$8,'Coordenadas dos Polos'!$AD$2:$AQ$2))</f>
        <v>350947.33503839525</v>
      </c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>
        <f>SQRT(SUMXMY2('Coordenadas dos Polos'!$B$8:$O$8,'Coordenadas dos Polos'!$AR$2:$BE$2))</f>
        <v>317191.87034946535</v>
      </c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>
        <f>SQRT(SUMXMY2('Coordenadas dos Polos'!$B$8:$O$8,'Coordenadas dos Polos'!$BF$2:$BS$2))</f>
        <v>317447.46363465645</v>
      </c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>
        <f>SQRT(SUMXMY2('Coordenadas dos Polos'!$B$8:$O$8,'Coordenadas dos Polos'!$BT$2:$CG$2))</f>
        <v>333270.8274857463</v>
      </c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>
        <f>SQRT(SUMXMY2('Coordenadas dos Polos'!$B$8:$O$8,'Coordenadas dos Polos'!$CH$2:$CU$2))</f>
        <v>0</v>
      </c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>
        <f>SQRT(SUMXMY2('Coordenadas dos Polos'!$B$8:$O$8,'Coordenadas dos Polos'!$CV$2:$DI$2))</f>
        <v>328177.6588229803</v>
      </c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>
        <f>SQRT(SUMXMY2('Coordenadas dos Polos'!$B$8:$O$8,'Coordenadas dos Polos'!$DJ$2:$DW$2))</f>
        <v>332848.42275301425</v>
      </c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>
        <f>SQRT(SUMXMY2('Coordenadas dos Polos'!$B$8:$O$8,'Coordenadas dos Polos'!$DX$2:$EK$2))</f>
        <v>292578.76118891826</v>
      </c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>
        <f>SQRT(SUMXMY2('Coordenadas dos Polos'!$B$8:$O$8,'Coordenadas dos Polos'!$EL$2:$EY$2))</f>
        <v>359368.3295780113</v>
      </c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>
        <f>SQRT(SUMXMY2('Coordenadas dos Polos'!$B$8:$O$8,'Coordenadas dos Polos'!$EZ$2:$FM$2))</f>
        <v>244474.31317365551</v>
      </c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>
        <f>SQRT(SUMXMY2('Coordenadas dos Polos'!$B$8:$O$8,'Coordenadas dos Polos'!$FN$2:$GA$2))</f>
        <v>338346.13994788518</v>
      </c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>
        <f>SQRT(SUMXMY2('Coordenadas dos Polos'!$B$8:$O$8,'Coordenadas dos Polos'!$GB$2:$GO$2))</f>
        <v>236390.87838495383</v>
      </c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>
        <f>SQRT(SUMXMY2('Coordenadas dos Polos'!$B$8:$O$8,'Coordenadas dos Polos'!$GP$2:$HC$2))</f>
        <v>395556.33873961907</v>
      </c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</row>
    <row r="9" spans="1:211" x14ac:dyDescent="0.25">
      <c r="A9" t="s">
        <v>27</v>
      </c>
      <c r="B9">
        <v>66538.30346850348</v>
      </c>
      <c r="C9">
        <v>90188.459974126818</v>
      </c>
      <c r="D9">
        <v>111022.65475462007</v>
      </c>
      <c r="E9">
        <v>160666.06202105046</v>
      </c>
      <c r="F9">
        <v>112797.84789802885</v>
      </c>
      <c r="G9">
        <v>40716.463738285063</v>
      </c>
      <c r="H9">
        <v>41518.730303942204</v>
      </c>
      <c r="I9">
        <v>72937.612847693439</v>
      </c>
      <c r="J9">
        <v>114703.90899427175</v>
      </c>
      <c r="K9">
        <v>68836.169721040729</v>
      </c>
      <c r="L9">
        <v>105645.9345412221</v>
      </c>
      <c r="M9">
        <v>85097.007579213139</v>
      </c>
      <c r="N9">
        <v>114602.67646963453</v>
      </c>
      <c r="O9">
        <v>10009.010285186767</v>
      </c>
      <c r="P9" s="2">
        <f>SQRT(SUMXMY2('Coordenadas dos Polos'!$B$9:$O$9,'Coordenadas dos Polos'!$P$2:$AC$2))</f>
        <v>348794.67551008286</v>
      </c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>
        <f>SQRT(SUMXMY2('Coordenadas dos Polos'!$B$9:$O$9,'Coordenadas dos Polos'!$AD$2:$AQ$2))</f>
        <v>267007.7219710194</v>
      </c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>
        <f>SQRT(SUMXMY2('Coordenadas dos Polos'!$B$9:$O$9,'Coordenadas dos Polos'!$AR$2:$BE$2))</f>
        <v>263169.11304577888</v>
      </c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>
        <f>SQRT(SUMXMY2('Coordenadas dos Polos'!$B$9:$O$9,'Coordenadas dos Polos'!$BF$2:$BS$2))</f>
        <v>239147.35639017491</v>
      </c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>
        <f>SQRT(SUMXMY2('Coordenadas dos Polos'!$B$9:$O$9,'Coordenadas dos Polos'!$BT$2:$CG$2))</f>
        <v>241556.03102174948</v>
      </c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>
        <f>SQRT(SUMXMY2('Coordenadas dos Polos'!$B$9:$O$9,'Coordenadas dos Polos'!$CH$2:$CU$2))</f>
        <v>328177.6588229803</v>
      </c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>
        <f>SQRT(SUMXMY2('Coordenadas dos Polos'!$B$9:$O$9,'Coordenadas dos Polos'!$CV$2:$DI$2))</f>
        <v>0</v>
      </c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>
        <f>SQRT(SUMXMY2('Coordenadas dos Polos'!$B$9:$O$9,'Coordenadas dos Polos'!$DJ$2:$DW$2))</f>
        <v>274407.21503991127</v>
      </c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>
        <f>SQRT(SUMXMY2('Coordenadas dos Polos'!$B$9:$O$9,'Coordenadas dos Polos'!$DX$2:$EK$2))</f>
        <v>215137.72652518118</v>
      </c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>
        <f>SQRT(SUMXMY2('Coordenadas dos Polos'!$B$9:$O$9,'Coordenadas dos Polos'!$EL$2:$EY$2))</f>
        <v>229110.54338185117</v>
      </c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>
        <f>SQRT(SUMXMY2('Coordenadas dos Polos'!$B$9:$O$9,'Coordenadas dos Polos'!$EZ$2:$FM$2))</f>
        <v>289486.09307698597</v>
      </c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>
        <f>SQRT(SUMXMY2('Coordenadas dos Polos'!$B$9:$O$9,'Coordenadas dos Polos'!$FN$2:$GA$2))</f>
        <v>245488.81393139614</v>
      </c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>
        <f>SQRT(SUMXMY2('Coordenadas dos Polos'!$B$9:$O$9,'Coordenadas dos Polos'!$GB$2:$GO$2))</f>
        <v>199155.74691009487</v>
      </c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>
        <f>SQRT(SUMXMY2('Coordenadas dos Polos'!$B$9:$O$9,'Coordenadas dos Polos'!$GP$2:$HC$2))</f>
        <v>218241.96028212205</v>
      </c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</row>
    <row r="10" spans="1:211" x14ac:dyDescent="0.25">
      <c r="A10" t="s">
        <v>28</v>
      </c>
      <c r="B10">
        <v>109519.99787808085</v>
      </c>
      <c r="C10">
        <v>41297.084480746271</v>
      </c>
      <c r="D10">
        <v>192535.65102870704</v>
      </c>
      <c r="E10">
        <v>186610.46081695365</v>
      </c>
      <c r="F10">
        <v>198514.44965582705</v>
      </c>
      <c r="G10">
        <v>167917.22902836703</v>
      </c>
      <c r="H10">
        <v>81864.659743266588</v>
      </c>
      <c r="I10">
        <v>161055.08960100936</v>
      </c>
      <c r="J10">
        <v>197885.64452045679</v>
      </c>
      <c r="K10">
        <v>51688.414784087181</v>
      </c>
      <c r="L10">
        <v>34896.821427278039</v>
      </c>
      <c r="M10">
        <v>138921.50169545936</v>
      </c>
      <c r="N10">
        <v>3397.746797653675</v>
      </c>
      <c r="O10">
        <v>67818.146270855897</v>
      </c>
      <c r="P10" s="2">
        <f>SQRT(SUMXMY2('Coordenadas dos Polos'!$B$10:$O$10,'Coordenadas dos Polos'!$P$2:$AC$2))</f>
        <v>502788.72800542472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>
        <f>SQRT(SUMXMY2('Coordenadas dos Polos'!$B$10:$O$10,'Coordenadas dos Polos'!$AD$2:$AQ$2))</f>
        <v>367778.92740111332</v>
      </c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>
        <f>SQRT(SUMXMY2('Coordenadas dos Polos'!$B$10:$O$10,'Coordenadas dos Polos'!$AR$2:$BE$2))</f>
        <v>393978.80848000321</v>
      </c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>
        <f>SQRT(SUMXMY2('Coordenadas dos Polos'!$B$10:$O$10,'Coordenadas dos Polos'!$BF$2:$BS$2))</f>
        <v>342326.17057449755</v>
      </c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>
        <f>SQRT(SUMXMY2('Coordenadas dos Polos'!$B$10:$O$10,'Coordenadas dos Polos'!$BT$2:$CG$2))</f>
        <v>341382.39211339859</v>
      </c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>
        <f>SQRT(SUMXMY2('Coordenadas dos Polos'!$B$10:$O$10,'Coordenadas dos Polos'!$CH$2:$CU$2))</f>
        <v>332848.42275301425</v>
      </c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>
        <f>SQRT(SUMXMY2('Coordenadas dos Polos'!$B$10:$O$10,'Coordenadas dos Polos'!$CV$2:$DI$2))</f>
        <v>274407.21503991127</v>
      </c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>
        <f>SQRT(SUMXMY2('Coordenadas dos Polos'!$B$10:$O$10,'Coordenadas dos Polos'!$DJ$2:$DW$2))</f>
        <v>0</v>
      </c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>
        <f>SQRT(SUMXMY2('Coordenadas dos Polos'!$B$10:$O$10,'Coordenadas dos Polos'!$DX$2:$EK$2))</f>
        <v>329734.7171555633</v>
      </c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>
        <f>SQRT(SUMXMY2('Coordenadas dos Polos'!$B$10:$O$10,'Coordenadas dos Polos'!$EL$2:$EY$2))</f>
        <v>308613.30422214244</v>
      </c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>
        <f>SQRT(SUMXMY2('Coordenadas dos Polos'!$B$10:$O$10,'Coordenadas dos Polos'!$EZ$2:$FM$2))</f>
        <v>317430.64611298032</v>
      </c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>
        <f>SQRT(SUMXMY2('Coordenadas dos Polos'!$B$10:$O$10,'Coordenadas dos Polos'!$FN$2:$GA$2))</f>
        <v>277578.4303791268</v>
      </c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>
        <f>SQRT(SUMXMY2('Coordenadas dos Polos'!$B$10:$O$10,'Coordenadas dos Polos'!$GB$2:$GO$2))</f>
        <v>324343.74489837809</v>
      </c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>
        <f>SQRT(SUMXMY2('Coordenadas dos Polos'!$B$10:$O$10,'Coordenadas dos Polos'!$GP$2:$HC$2))</f>
        <v>350296.10888365057</v>
      </c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</row>
    <row r="11" spans="1:211" x14ac:dyDescent="0.25">
      <c r="A11" t="s">
        <v>29</v>
      </c>
      <c r="B11">
        <v>138509.57401189374</v>
      </c>
      <c r="C11">
        <v>22077.37680684662</v>
      </c>
      <c r="D11">
        <v>21947.712867788792</v>
      </c>
      <c r="E11">
        <v>58115.51184755993</v>
      </c>
      <c r="F11">
        <v>79775.68392045355</v>
      </c>
      <c r="G11">
        <v>111804.4411651516</v>
      </c>
      <c r="H11">
        <v>62190.335540920736</v>
      </c>
      <c r="I11">
        <v>59116.154584023476</v>
      </c>
      <c r="J11">
        <v>161588.2054434848</v>
      </c>
      <c r="K11">
        <v>61923.509398792266</v>
      </c>
      <c r="L11">
        <v>75163.214431795597</v>
      </c>
      <c r="M11">
        <v>80207.281136008256</v>
      </c>
      <c r="N11">
        <v>168285.5261137023</v>
      </c>
      <c r="O11">
        <v>81919.436409624104</v>
      </c>
      <c r="P11" s="2">
        <f>SQRT(SUMXMY2('Coordenadas dos Polos'!$B$11:$O$11,'Coordenadas dos Polos'!$P$2:$AC$2))</f>
        <v>356113.71234547527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>
        <f>SQRT(SUMXMY2('Coordenadas dos Polos'!$B$11:$O$11,'Coordenadas dos Polos'!$AD$2:$AQ$2))</f>
        <v>339024.10231271421</v>
      </c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>
        <f>SQRT(SUMXMY2('Coordenadas dos Polos'!$B$11:$O$11,'Coordenadas dos Polos'!$AR$2:$BE$2))</f>
        <v>256007.99286367928</v>
      </c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>
        <f>SQRT(SUMXMY2('Coordenadas dos Polos'!$B$11:$O$11,'Coordenadas dos Polos'!$BF$2:$BS$2))</f>
        <v>309909.21961158019</v>
      </c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>
        <f>SQRT(SUMXMY2('Coordenadas dos Polos'!$B$11:$O$11,'Coordenadas dos Polos'!$BT$2:$CG$2))</f>
        <v>325856.88898849802</v>
      </c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>
        <f>SQRT(SUMXMY2('Coordenadas dos Polos'!$B$11:$O$11,'Coordenadas dos Polos'!$CH$2:$CU$2))</f>
        <v>292578.76118891826</v>
      </c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>
        <f>SQRT(SUMXMY2('Coordenadas dos Polos'!$B$11:$O$11,'Coordenadas dos Polos'!$CV$2:$DI$2))</f>
        <v>215137.72652518118</v>
      </c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>
        <f>SQRT(SUMXMY2('Coordenadas dos Polos'!$B$11:$O$11,'Coordenadas dos Polos'!$DJ$2:$DW$2))</f>
        <v>329734.7171555633</v>
      </c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>
        <f>SQRT(SUMXMY2('Coordenadas dos Polos'!$B$11:$O$11,'Coordenadas dos Polos'!$DX$2:$EK$2))</f>
        <v>0</v>
      </c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>
        <f>SQRT(SUMXMY2('Coordenadas dos Polos'!$B$11:$O$11,'Coordenadas dos Polos'!$EL$2:$EY$2))</f>
        <v>249592.22881056601</v>
      </c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>
        <f>SQRT(SUMXMY2('Coordenadas dos Polos'!$B$11:$O$11,'Coordenadas dos Polos'!$EZ$2:$FM$2))</f>
        <v>289003.9310022649</v>
      </c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>
        <f>SQRT(SUMXMY2('Coordenadas dos Polos'!$B$11:$O$11,'Coordenadas dos Polos'!$FN$2:$GA$2))</f>
        <v>280722.99702987145</v>
      </c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>
        <f>SQRT(SUMXMY2('Coordenadas dos Polos'!$B$11:$O$11,'Coordenadas dos Polos'!$GB$2:$GO$2))</f>
        <v>242471.43070440224</v>
      </c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>
        <f>SQRT(SUMXMY2('Coordenadas dos Polos'!$B$11:$O$11,'Coordenadas dos Polos'!$GP$2:$HC$2))</f>
        <v>260091.61608968172</v>
      </c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</row>
    <row r="12" spans="1:211" x14ac:dyDescent="0.25">
      <c r="A12" t="s">
        <v>30</v>
      </c>
      <c r="B12">
        <v>144911.75633484698</v>
      </c>
      <c r="C12">
        <v>131752.66062021352</v>
      </c>
      <c r="D12">
        <v>81276.338081008435</v>
      </c>
      <c r="E12">
        <v>190066.14724794007</v>
      </c>
      <c r="F12">
        <v>129114.18959919596</v>
      </c>
      <c r="G12">
        <v>103217.62948927593</v>
      </c>
      <c r="H12">
        <v>44664.639487493041</v>
      </c>
      <c r="I12">
        <v>116551.64098747063</v>
      </c>
      <c r="J12">
        <v>149706.54450365115</v>
      </c>
      <c r="K12">
        <v>91294.078406769753</v>
      </c>
      <c r="L12">
        <v>180874.74184243346</v>
      </c>
      <c r="M12">
        <v>56602.960600383762</v>
      </c>
      <c r="N12">
        <v>133507.67163170862</v>
      </c>
      <c r="O12">
        <v>178025.46112220667</v>
      </c>
      <c r="P12" s="2">
        <f>SQRT(SUMXMY2('Coordenadas dos Polos'!$B$12:$O$12,'Coordenadas dos Polos'!$P$2:$AC$2))</f>
        <v>490077.8723771426</v>
      </c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>
        <f>SQRT(SUMXMY2('Coordenadas dos Polos'!$B$12:$O$12,'Coordenadas dos Polos'!$AD$2:$AQ$2))</f>
        <v>346267.24641725497</v>
      </c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>
        <f>SQRT(SUMXMY2('Coordenadas dos Polos'!$B$12:$O$12,'Coordenadas dos Polos'!$AR$2:$BE$2))</f>
        <v>197126.64113828595</v>
      </c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>
        <f>SQRT(SUMXMY2('Coordenadas dos Polos'!$B$12:$O$12,'Coordenadas dos Polos'!$BF$2:$BS$2))</f>
        <v>315645.60799905384</v>
      </c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>
        <f>SQRT(SUMXMY2('Coordenadas dos Polos'!$B$12:$O$12,'Coordenadas dos Polos'!$BT$2:$CG$2))</f>
        <v>316516.47323226254</v>
      </c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>
        <f>SQRT(SUMXMY2('Coordenadas dos Polos'!$B$12:$O$12,'Coordenadas dos Polos'!$CH$2:$CU$2))</f>
        <v>359368.3295780113</v>
      </c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>
        <f>SQRT(SUMXMY2('Coordenadas dos Polos'!$B$12:$O$12,'Coordenadas dos Polos'!$CV$2:$DI$2))</f>
        <v>229110.54338185117</v>
      </c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>
        <f>SQRT(SUMXMY2('Coordenadas dos Polos'!$B$12:$O$12,'Coordenadas dos Polos'!$DJ$2:$DW$2))</f>
        <v>308613.30422214244</v>
      </c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>
        <f>SQRT(SUMXMY2('Coordenadas dos Polos'!$B$12:$O$12,'Coordenadas dos Polos'!$DX$2:$EK$2))</f>
        <v>249592.22881056601</v>
      </c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>
        <f>SQRT(SUMXMY2('Coordenadas dos Polos'!$B$12:$O$12,'Coordenadas dos Polos'!$EL$2:$EY$2))</f>
        <v>0</v>
      </c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>
        <f>SQRT(SUMXMY2('Coordenadas dos Polos'!$B$12:$O$12,'Coordenadas dos Polos'!$EZ$2:$FM$2))</f>
        <v>296284.55383690045</v>
      </c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>
        <f>SQRT(SUMXMY2('Coordenadas dos Polos'!$B$12:$O$12,'Coordenadas dos Polos'!$FN$2:$GA$2))</f>
        <v>280874.8256204655</v>
      </c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>
        <f>SQRT(SUMXMY2('Coordenadas dos Polos'!$B$12:$O$12,'Coordenadas dos Polos'!$GB$2:$GO$2))</f>
        <v>284191.54192790174</v>
      </c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>
        <f>SQRT(SUMXMY2('Coordenadas dos Polos'!$B$12:$O$12,'Coordenadas dos Polos'!$GP$2:$HC$2))</f>
        <v>288644.63654527982</v>
      </c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</row>
    <row r="13" spans="1:211" x14ac:dyDescent="0.25">
      <c r="A13" t="s">
        <v>31</v>
      </c>
      <c r="B13">
        <v>56276.291397294524</v>
      </c>
      <c r="C13">
        <v>73611.216832284932</v>
      </c>
      <c r="D13">
        <v>2844.2342465519905</v>
      </c>
      <c r="E13">
        <v>58931.80934603596</v>
      </c>
      <c r="F13">
        <v>196809.2085207286</v>
      </c>
      <c r="G13">
        <v>152256.5860772171</v>
      </c>
      <c r="H13">
        <v>116175.69066605234</v>
      </c>
      <c r="I13">
        <v>121134.68962464428</v>
      </c>
      <c r="J13">
        <v>53608.769073575495</v>
      </c>
      <c r="K13">
        <v>101633.31425266076</v>
      </c>
      <c r="L13">
        <v>158719.33863776826</v>
      </c>
      <c r="M13">
        <v>171482.25421535588</v>
      </c>
      <c r="N13">
        <v>18630.523783862591</v>
      </c>
      <c r="O13">
        <v>108374.69467453385</v>
      </c>
      <c r="P13" s="2">
        <f>SQRT(SUMXMY2('Coordenadas dos Polos'!$B$13:$O$13,'Coordenadas dos Polos'!$P$2:$AC$2))</f>
        <v>426668.97034007701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>
        <f>SQRT(SUMXMY2('Coordenadas dos Polos'!$B$13:$O$13,'Coordenadas dos Polos'!$AD$2:$AQ$2))</f>
        <v>348446.79979635001</v>
      </c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>
        <f>SQRT(SUMXMY2('Coordenadas dos Polos'!$B$13:$O$13,'Coordenadas dos Polos'!$AR$2:$BE$2))</f>
        <v>277948.25508532004</v>
      </c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>
        <f>SQRT(SUMXMY2('Coordenadas dos Polos'!$B$13:$O$13,'Coordenadas dos Polos'!$BF$2:$BS$2))</f>
        <v>320251.18220380996</v>
      </c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>
        <f>SQRT(SUMXMY2('Coordenadas dos Polos'!$B$13:$O$13,'Coordenadas dos Polos'!$BT$2:$CG$2))</f>
        <v>207711.74018495687</v>
      </c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>
        <f>SQRT(SUMXMY2('Coordenadas dos Polos'!$B$13:$O$13,'Coordenadas dos Polos'!$CH$2:$CU$2))</f>
        <v>244474.31317365551</v>
      </c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>
        <f>SQRT(SUMXMY2('Coordenadas dos Polos'!$B$13:$O$13,'Coordenadas dos Polos'!$CV$2:$DI$2))</f>
        <v>289486.09307698597</v>
      </c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>
        <f>SQRT(SUMXMY2('Coordenadas dos Polos'!$B$13:$O$13,'Coordenadas dos Polos'!$DJ$2:$DW$2))</f>
        <v>317430.64611298032</v>
      </c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>
        <f>SQRT(SUMXMY2('Coordenadas dos Polos'!$B$13:$O$13,'Coordenadas dos Polos'!$DX$2:$EK$2))</f>
        <v>289003.9310022649</v>
      </c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>
        <f>SQRT(SUMXMY2('Coordenadas dos Polos'!$B$13:$O$13,'Coordenadas dos Polos'!$EL$2:$EY$2))</f>
        <v>296284.55383690045</v>
      </c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>
        <f>SQRT(SUMXMY2('Coordenadas dos Polos'!$B$13:$O$13,'Coordenadas dos Polos'!$EZ$2:$FM$2))</f>
        <v>0</v>
      </c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>
        <f>SQRT(SUMXMY2('Coordenadas dos Polos'!$B$13:$O$13,'Coordenadas dos Polos'!$FN$2:$GA$2))</f>
        <v>275568.30443398008</v>
      </c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>
        <f>SQRT(SUMXMY2('Coordenadas dos Polos'!$B$13:$O$13,'Coordenadas dos Polos'!$GB$2:$GO$2))</f>
        <v>235600.30056390172</v>
      </c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>
        <f>SQRT(SUMXMY2('Coordenadas dos Polos'!$B$13:$O$13,'Coordenadas dos Polos'!$GP$2:$HC$2))</f>
        <v>353631.18937985285</v>
      </c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</row>
    <row r="14" spans="1:211" x14ac:dyDescent="0.25">
      <c r="A14" t="s">
        <v>32</v>
      </c>
      <c r="B14">
        <v>83075.277713945863</v>
      </c>
      <c r="C14">
        <v>14674.217961432458</v>
      </c>
      <c r="D14">
        <v>90275.351621804715</v>
      </c>
      <c r="E14">
        <v>139778.09193219186</v>
      </c>
      <c r="F14">
        <v>99851.409626518725</v>
      </c>
      <c r="G14">
        <v>81386.833167073244</v>
      </c>
      <c r="H14">
        <v>189014.4471748042</v>
      </c>
      <c r="I14">
        <v>196929.93176342774</v>
      </c>
      <c r="J14">
        <v>118288.46066210794</v>
      </c>
      <c r="K14">
        <v>106397.94247241497</v>
      </c>
      <c r="L14">
        <v>123014.32202245093</v>
      </c>
      <c r="M14">
        <v>17830.712929471971</v>
      </c>
      <c r="N14">
        <v>36884.970037022111</v>
      </c>
      <c r="O14">
        <v>56711.941728531834</v>
      </c>
      <c r="P14" s="2">
        <f>SQRT(SUMXMY2('Coordenadas dos Polos'!$B$14:$O$14,'Coordenadas dos Polos'!$P$2:$AC$2))</f>
        <v>413819.1073413961</v>
      </c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>
        <f>SQRT(SUMXMY2('Coordenadas dos Polos'!$B$14:$O$14,'Coordenadas dos Polos'!$AD$2:$AQ$2))</f>
        <v>273541.39641025179</v>
      </c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>
        <f>SQRT(SUMXMY2('Coordenadas dos Polos'!$B$14:$O$14,'Coordenadas dos Polos'!$AR$2:$BE$2))</f>
        <v>302609.28930783708</v>
      </c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>
        <f>SQRT(SUMXMY2('Coordenadas dos Polos'!$B$14:$O$14,'Coordenadas dos Polos'!$BF$2:$BS$2))</f>
        <v>282693.07692837011</v>
      </c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>
        <f>SQRT(SUMXMY2('Coordenadas dos Polos'!$B$14:$O$14,'Coordenadas dos Polos'!$BT$2:$CG$2))</f>
        <v>342041.25711296091</v>
      </c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>
        <f>SQRT(SUMXMY2('Coordenadas dos Polos'!$B$14:$O$14,'Coordenadas dos Polos'!$CH$2:$CU$2))</f>
        <v>338346.13994788518</v>
      </c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>
        <f>SQRT(SUMXMY2('Coordenadas dos Polos'!$B$14:$O$14,'Coordenadas dos Polos'!$CV$2:$DI$2))</f>
        <v>245488.81393139614</v>
      </c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>
        <f>SQRT(SUMXMY2('Coordenadas dos Polos'!$B$14:$O$14,'Coordenadas dos Polos'!$DJ$2:$DW$2))</f>
        <v>277578.4303791268</v>
      </c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>
        <f>SQRT(SUMXMY2('Coordenadas dos Polos'!$B$14:$O$14,'Coordenadas dos Polos'!$DX$2:$EK$2))</f>
        <v>280722.99702987145</v>
      </c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>
        <f>SQRT(SUMXMY2('Coordenadas dos Polos'!$B$14:$O$14,'Coordenadas dos Polos'!$EL$2:$EY$2))</f>
        <v>280874.8256204655</v>
      </c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>
        <f>SQRT(SUMXMY2('Coordenadas dos Polos'!$B$14:$O$14,'Coordenadas dos Polos'!$EZ$2:$FM$2))</f>
        <v>275568.30443398008</v>
      </c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>
        <f>SQRT(SUMXMY2('Coordenadas dos Polos'!$B$14:$O$14,'Coordenadas dos Polos'!$FN$2:$GA$2))</f>
        <v>0</v>
      </c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>
        <f>SQRT(SUMXMY2('Coordenadas dos Polos'!$B$14:$O$14,'Coordenadas dos Polos'!$GB$2:$GO$2))</f>
        <v>294427.70193772233</v>
      </c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>
        <f>SQRT(SUMXMY2('Coordenadas dos Polos'!$B$14:$O$14,'Coordenadas dos Polos'!$GP$2:$HC$2))</f>
        <v>364665.59629376442</v>
      </c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</row>
    <row r="15" spans="1:211" x14ac:dyDescent="0.25">
      <c r="A15" t="s">
        <v>33</v>
      </c>
      <c r="B15">
        <v>3761.7881115221976</v>
      </c>
      <c r="C15">
        <v>30519.969089992523</v>
      </c>
      <c r="D15">
        <v>84022.276272257324</v>
      </c>
      <c r="E15">
        <v>109684.78087243557</v>
      </c>
      <c r="F15">
        <v>111688.96313098287</v>
      </c>
      <c r="G15">
        <v>156201.31667809485</v>
      </c>
      <c r="H15">
        <v>8589.5495684971811</v>
      </c>
      <c r="I15">
        <v>81148.986802075393</v>
      </c>
      <c r="J15">
        <v>11798.305886985301</v>
      </c>
      <c r="K15">
        <v>62367.444775321957</v>
      </c>
      <c r="L15">
        <v>120608.75018111277</v>
      </c>
      <c r="M15">
        <v>103538.636251338</v>
      </c>
      <c r="N15">
        <v>119287.55367786932</v>
      </c>
      <c r="O15">
        <v>65925.078986654276</v>
      </c>
      <c r="P15" s="2">
        <f>SQRT(SUMXMY2('Coordenadas dos Polos'!$B$15:$O$15,'Coordenadas dos Polos'!$P$2:$AC$2))</f>
        <v>333825.67662566528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>
        <f>SQRT(SUMXMY2('Coordenadas dos Polos'!$B$15:$O$15,'Coordenadas dos Polos'!$AD$2:$AQ$2))</f>
        <v>344664.44309223222</v>
      </c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>
        <f>SQRT(SUMXMY2('Coordenadas dos Polos'!$B$15:$O$15,'Coordenadas dos Polos'!$AR$2:$BE$2))</f>
        <v>239520.24949881816</v>
      </c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>
        <f>SQRT(SUMXMY2('Coordenadas dos Polos'!$B$15:$O$15,'Coordenadas dos Polos'!$BF$2:$BS$2))</f>
        <v>264418.68054576492</v>
      </c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>
        <f>SQRT(SUMXMY2('Coordenadas dos Polos'!$B$15:$O$15,'Coordenadas dos Polos'!$BT$2:$CG$2))</f>
        <v>236596.86609946928</v>
      </c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>
        <f>SQRT(SUMXMY2('Coordenadas dos Polos'!$B$15:$O$15,'Coordenadas dos Polos'!$CH$2:$CU$2))</f>
        <v>236390.87838495383</v>
      </c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>
        <f>SQRT(SUMXMY2('Coordenadas dos Polos'!$B$15:$O$15,'Coordenadas dos Polos'!$CV$2:$DI$2))</f>
        <v>199155.74691009487</v>
      </c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>
        <f>SQRT(SUMXMY2('Coordenadas dos Polos'!$B$15:$O$15,'Coordenadas dos Polos'!$DJ$2:$DW$2))</f>
        <v>324343.74489837809</v>
      </c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>
        <f>SQRT(SUMXMY2('Coordenadas dos Polos'!$B$15:$O$15,'Coordenadas dos Polos'!$DX$2:$EK$2))</f>
        <v>242471.43070440224</v>
      </c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>
        <f>SQRT(SUMXMY2('Coordenadas dos Polos'!$B$15:$O$15,'Coordenadas dos Polos'!$EL$2:$EY$2))</f>
        <v>284191.54192790174</v>
      </c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>
        <f>SQRT(SUMXMY2('Coordenadas dos Polos'!$B$15:$O$15,'Coordenadas dos Polos'!$EZ$2:$FM$2))</f>
        <v>235600.30056390172</v>
      </c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>
        <f>SQRT(SUMXMY2('Coordenadas dos Polos'!$B$15:$O$15,'Coordenadas dos Polos'!$FN$2:$GA$2))</f>
        <v>294427.70193772233</v>
      </c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>
        <f>SQRT(SUMXMY2('Coordenadas dos Polos'!$B$15:$O$15,'Coordenadas dos Polos'!$GB$2:$GO$2))</f>
        <v>0</v>
      </c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>
        <f>SQRT(SUMXMY2('Coordenadas dos Polos'!$B$15:$O$15,'Coordenadas dos Polos'!$GP$2:$HC$2))</f>
        <v>332753.4038906417</v>
      </c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</row>
    <row r="16" spans="1:211" x14ac:dyDescent="0.25">
      <c r="A16" t="s">
        <v>34</v>
      </c>
      <c r="B16">
        <v>181859.67279516268</v>
      </c>
      <c r="C16">
        <v>154014.37466504765</v>
      </c>
      <c r="D16">
        <v>115174.78566916227</v>
      </c>
      <c r="E16">
        <v>86320.023315509796</v>
      </c>
      <c r="F16">
        <v>146504.916900393</v>
      </c>
      <c r="G16">
        <v>32588.417073966026</v>
      </c>
      <c r="H16">
        <v>11923.380268579007</v>
      </c>
      <c r="I16">
        <v>48662.144038743972</v>
      </c>
      <c r="J16">
        <v>151714.88716623734</v>
      </c>
      <c r="K16">
        <v>190249.51496979236</v>
      </c>
      <c r="L16">
        <v>69067.018501021856</v>
      </c>
      <c r="M16">
        <v>136850.35958164977</v>
      </c>
      <c r="N16">
        <v>158292.80781681681</v>
      </c>
      <c r="O16">
        <v>7088.0251801633831</v>
      </c>
      <c r="P16" s="2">
        <f>SQRT(SUMXMY2('Coordenadas dos Polos'!$B$16:$O$16,'Coordenadas dos Polos'!$P$2:$AC$2))</f>
        <v>458653.49092582997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>
        <f>SQRT(SUMXMY2('Coordenadas dos Polos'!$B$16:$O$16,'Coordenadas dos Polos'!$AD$2:$AQ$2))</f>
        <v>291014.7221396903</v>
      </c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>
        <f>SQRT(SUMXMY2('Coordenadas dos Polos'!$B$16:$O$16,'Coordenadas dos Polos'!$AR$2:$BE$2))</f>
        <v>357614.73730408715</v>
      </c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>
        <f>SQRT(SUMXMY2('Coordenadas dos Polos'!$B$16:$O$16,'Coordenadas dos Polos'!$BF$2:$BS$2))</f>
        <v>324929.6051716074</v>
      </c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>
        <f>SQRT(SUMXMY2('Coordenadas dos Polos'!$B$16:$O$16,'Coordenadas dos Polos'!$BT$2:$CG$2))</f>
        <v>262888.85088417889</v>
      </c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>
        <f>SQRT(SUMXMY2('Coordenadas dos Polos'!$B$16:$O$16,'Coordenadas dos Polos'!$CH$2:$CU$2))</f>
        <v>395556.33873961907</v>
      </c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>
        <f>SQRT(SUMXMY2('Coordenadas dos Polos'!$B$16:$O$16,'Coordenadas dos Polos'!$CV$2:$DI$2))</f>
        <v>218241.96028212205</v>
      </c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>
        <f>SQRT(SUMXMY2('Coordenadas dos Polos'!$B$16:$O$16,'Coordenadas dos Polos'!$DJ$2:$DW$2))</f>
        <v>350296.10888365057</v>
      </c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>
        <f>SQRT(SUMXMY2('Coordenadas dos Polos'!$B$16:$O$16,'Coordenadas dos Polos'!$DX$2:$EK$2))</f>
        <v>260091.61608968172</v>
      </c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>
        <f>SQRT(SUMXMY2('Coordenadas dos Polos'!$B$16:$O$16,'Coordenadas dos Polos'!$EL$2:$EY$2))</f>
        <v>288644.63654527982</v>
      </c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>
        <f>SQRT(SUMXMY2('Coordenadas dos Polos'!$B$16:$O$16,'Coordenadas dos Polos'!$EZ$2:$FM$2))</f>
        <v>353631.18937985285</v>
      </c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>
        <f>SQRT(SUMXMY2('Coordenadas dos Polos'!$B$16:$O$16,'Coordenadas dos Polos'!$FN$2:$GA$2))</f>
        <v>364665.59629376442</v>
      </c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>
        <f>SQRT(SUMXMY2('Coordenadas dos Polos'!$B$16:$O$16,'Coordenadas dos Polos'!$GB$2:$GO$2))</f>
        <v>332753.4038906417</v>
      </c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>
        <f>SQRT(SUMXMY2('Coordenadas dos Polos'!$B$16:$O$16,'Coordenadas dos Polos'!$GP$2:$HC$2))</f>
        <v>0</v>
      </c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</row>
  </sheetData>
  <mergeCells count="210">
    <mergeCell ref="EZ5:FM5"/>
    <mergeCell ref="FN5:GA5"/>
    <mergeCell ref="GB5:GO5"/>
    <mergeCell ref="GP5:HC5"/>
    <mergeCell ref="P6:AC6"/>
    <mergeCell ref="AD6:AQ6"/>
    <mergeCell ref="AR6:BE6"/>
    <mergeCell ref="BF6:BS6"/>
    <mergeCell ref="BT6:CG6"/>
    <mergeCell ref="CH6:CU6"/>
    <mergeCell ref="CV6:DI6"/>
    <mergeCell ref="DJ6:DW6"/>
    <mergeCell ref="DX6:EK6"/>
    <mergeCell ref="EL6:EY6"/>
    <mergeCell ref="EZ6:FM6"/>
    <mergeCell ref="FN6:GA6"/>
    <mergeCell ref="GB6:GO6"/>
    <mergeCell ref="GP6:HC6"/>
    <mergeCell ref="AD5:AQ5"/>
    <mergeCell ref="AR5:BE5"/>
    <mergeCell ref="BF5:BS5"/>
    <mergeCell ref="BT5:CG5"/>
    <mergeCell ref="CH5:CU5"/>
    <mergeCell ref="CV5:DI5"/>
    <mergeCell ref="DJ5:DW5"/>
    <mergeCell ref="DX5:EK5"/>
    <mergeCell ref="EL5:EY5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BT3:CG3"/>
    <mergeCell ref="CH3:CU3"/>
    <mergeCell ref="CV3:DI3"/>
    <mergeCell ref="DJ3:DW3"/>
    <mergeCell ref="DX3:EK3"/>
    <mergeCell ref="EL3:EY3"/>
    <mergeCell ref="EZ3:FM3"/>
    <mergeCell ref="FN3:GA3"/>
    <mergeCell ref="GB3:GO3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P14:AC14"/>
    <mergeCell ref="AD14:AQ14"/>
    <mergeCell ref="AR14:BE14"/>
    <mergeCell ref="BF14:BS14"/>
    <mergeCell ref="BT14:CG14"/>
    <mergeCell ref="CH14:CU14"/>
    <mergeCell ref="CV14:DI14"/>
    <mergeCell ref="DJ14:DW14"/>
    <mergeCell ref="GP16:HC16"/>
    <mergeCell ref="P15:AC15"/>
    <mergeCell ref="AD15:AQ15"/>
    <mergeCell ref="AR15:BE15"/>
    <mergeCell ref="BF15:BS15"/>
    <mergeCell ref="BT15:CG15"/>
    <mergeCell ref="CH15:CU15"/>
    <mergeCell ref="CV15:DI15"/>
    <mergeCell ref="DJ15:DW15"/>
    <mergeCell ref="DX15:EK15"/>
    <mergeCell ref="EL15:EY15"/>
    <mergeCell ref="EZ15:FM15"/>
    <mergeCell ref="FN15:GA15"/>
    <mergeCell ref="GB15:GO15"/>
    <mergeCell ref="GP15:HC15"/>
    <mergeCell ref="GP14:HC14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L13:EY13"/>
    <mergeCell ref="EZ13:FM13"/>
    <mergeCell ref="FN13:GA13"/>
    <mergeCell ref="GB13:GO13"/>
    <mergeCell ref="GP13:HC13"/>
    <mergeCell ref="CH12:CU12"/>
    <mergeCell ref="CV12:DI12"/>
    <mergeCell ref="DJ12:DW12"/>
    <mergeCell ref="DX12:EK12"/>
    <mergeCell ref="DX14:EK14"/>
    <mergeCell ref="EL14:EY14"/>
    <mergeCell ref="EZ14:FM14"/>
    <mergeCell ref="FN14:GA14"/>
    <mergeCell ref="GB14:GO14"/>
    <mergeCell ref="EL12:EY12"/>
    <mergeCell ref="EZ12:FM12"/>
    <mergeCell ref="FN12:GA12"/>
    <mergeCell ref="GB12:GO12"/>
    <mergeCell ref="GP12:HC12"/>
    <mergeCell ref="P11:AC11"/>
    <mergeCell ref="AD11:AQ11"/>
    <mergeCell ref="AR11:BE11"/>
    <mergeCell ref="BF11:BS11"/>
    <mergeCell ref="BT11:CG11"/>
    <mergeCell ref="CH11:CU11"/>
    <mergeCell ref="CV11:DI11"/>
    <mergeCell ref="DJ11:DW11"/>
    <mergeCell ref="DX11:EK11"/>
    <mergeCell ref="EL11:EY11"/>
    <mergeCell ref="EZ11:FM11"/>
    <mergeCell ref="FN11:GA11"/>
    <mergeCell ref="GB11:GO11"/>
    <mergeCell ref="GP11:HC11"/>
    <mergeCell ref="P12:AC12"/>
    <mergeCell ref="AD12:AQ12"/>
    <mergeCell ref="AR12:BE12"/>
    <mergeCell ref="BF12:BS12"/>
    <mergeCell ref="BT12:CG12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CH8:CU8"/>
    <mergeCell ref="CV8:DI8"/>
    <mergeCell ref="DJ8:DW8"/>
    <mergeCell ref="DX8:EK8"/>
    <mergeCell ref="EL10:EY10"/>
    <mergeCell ref="EZ10:FM10"/>
    <mergeCell ref="FN10:GA10"/>
    <mergeCell ref="GB10:GO10"/>
    <mergeCell ref="GP10:HC10"/>
    <mergeCell ref="EL9:EY9"/>
    <mergeCell ref="EZ9:FM9"/>
    <mergeCell ref="FN9:GA9"/>
    <mergeCell ref="GB9:GO9"/>
    <mergeCell ref="GP9:HC9"/>
    <mergeCell ref="EL8:EY8"/>
    <mergeCell ref="EZ8:FM8"/>
    <mergeCell ref="FN8:GA8"/>
    <mergeCell ref="GB8:GO8"/>
    <mergeCell ref="GP8:HC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EL7:EY7"/>
    <mergeCell ref="EZ7:FM7"/>
    <mergeCell ref="FN7:GA7"/>
    <mergeCell ref="GB7:GO7"/>
    <mergeCell ref="GP7:HC7"/>
    <mergeCell ref="P8:AC8"/>
    <mergeCell ref="AD8:AQ8"/>
    <mergeCell ref="AR8:BE8"/>
    <mergeCell ref="BF8:BS8"/>
    <mergeCell ref="BT8:CG8"/>
    <mergeCell ref="P5:AC5"/>
    <mergeCell ref="P3:AC3"/>
    <mergeCell ref="AD3:AQ3"/>
    <mergeCell ref="AR3:BE3"/>
    <mergeCell ref="BF3:BS3"/>
    <mergeCell ref="P1:AC1"/>
    <mergeCell ref="AD1:AQ1"/>
    <mergeCell ref="AR1:BE1"/>
    <mergeCell ref="BF1:BS1"/>
    <mergeCell ref="GP1:HC1"/>
    <mergeCell ref="BT1:CG1"/>
    <mergeCell ref="CH1:CU1"/>
    <mergeCell ref="CV1:DI1"/>
    <mergeCell ref="DJ1:DW1"/>
    <mergeCell ref="DX1:EK1"/>
    <mergeCell ref="EL1:EY1"/>
    <mergeCell ref="EZ1:FM1"/>
    <mergeCell ref="FN1:GA1"/>
    <mergeCell ref="GB1:GO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>
        <v>14</v>
      </c>
    </row>
    <row r="3" spans="1:2" x14ac:dyDescent="0.25">
      <c r="A3" t="s">
        <v>3</v>
      </c>
      <c r="B3">
        <f>MAX('Coordenadas dos Polos'!$P$3:$HC$16)</f>
        <v>502788.72800542472</v>
      </c>
    </row>
    <row r="5" spans="1:2" x14ac:dyDescent="0.25">
      <c r="A5" t="s">
        <v>4</v>
      </c>
      <c r="B5">
        <f>('Cálculos Diversos'!$B$3/SQRT(2*'Cálculos Diversos'!$B$1))^2</f>
        <v>9028446607.4754639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72"/>
  <sheetViews>
    <sheetView zoomScaleNormal="100" workbookViewId="0">
      <selection activeCell="B2" sqref="B2:P72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16" x14ac:dyDescent="0.25">
      <c r="A1" t="s">
        <v>5</v>
      </c>
      <c r="B1" t="s">
        <v>6</v>
      </c>
    </row>
    <row r="2" spans="1:16" x14ac:dyDescent="0.25">
      <c r="A2">
        <v>1</v>
      </c>
      <c r="B2">
        <f>EXP(((-1)/(2*'Cálculos Diversos'!$B$5))*(SQRT(SUMXMY2('Tabela Entrada-Saída'!$B$2:$O$2,'Coordenadas dos Polos'!$P$2:$AC$2)))^2)</f>
        <v>6.27164774412729E-2</v>
      </c>
      <c r="C2">
        <f>EXP(((-1)/(2*'Cálculos Diversos'!$B$5))*(SQRT(SUMXMY2('Tabela Entrada-Saída'!$B$2:$O$2,'Coordenadas dos Polos'!$AD$2:$AQ$2)))^2)</f>
        <v>1.3264238498455911E-5</v>
      </c>
      <c r="D2">
        <f>EXP(((-1)/(2*'Cálculos Diversos'!$B$5))*(SQRT(SUMXMY2('Tabela Entrada-Saída'!$B$2:$O$2,'Coordenadas dos Polos'!$AR$2:$BE$2)))^2)</f>
        <v>1.3870453351073344E-3</v>
      </c>
      <c r="E2">
        <f>EXP(((-1)/(2*'Cálculos Diversos'!$B$5))*(SQRT(SUMXMY2('Tabela Entrada-Saída'!$B$2:$O$2,'Coordenadas dos Polos'!$BF$2:$BS$2)))^2)</f>
        <v>9.1165818654652341E-5</v>
      </c>
      <c r="F2">
        <f>EXP(((-1)/(2*'Cálculos Diversos'!$B$5))*(SQRT(SUMXMY2('Tabela Entrada-Saída'!$B$2:$O$2,'Coordenadas dos Polos'!$BT$2:$CG$2)))^2)</f>
        <v>1.9128041030197858E-3</v>
      </c>
      <c r="G2">
        <f>EXP(((-1)/(2*'Cálculos Diversos'!$B$5))*(SQRT(SUMXMY2('Tabela Entrada-Saída'!$B$2:$O$2,'Coordenadas dos Polos'!$CH$2:$CU$2)))^2)</f>
        <v>1.5214158793250052E-5</v>
      </c>
      <c r="H2">
        <f>EXP(((-1)/(2*'Cálculos Diversos'!$B$5))*(SQRT(SUMXMY2('Tabela Entrada-Saída'!$B$2:$O$2,'Coordenadas dos Polos'!$CV$2:$DI$2)))^2)</f>
        <v>2.7574089931830079E-3</v>
      </c>
      <c r="I2">
        <f>EXP(((-1)/(2*'Cálculos Diversos'!$B$5))*(SQRT(SUMXMY2('Tabela Entrada-Saída'!$B$2:$O$2,'Coordenadas dos Polos'!$DJ$2:$DW$2)))^2)</f>
        <v>1.0619423846982611E-6</v>
      </c>
      <c r="J2">
        <f>EXP(((-1)/(2*'Cálculos Diversos'!$B$5))*(SQRT(SUMXMY2('Tabela Entrada-Saída'!$B$2:$O$2,'Coordenadas dos Polos'!$DX$2:$EK$2)))^2)</f>
        <v>7.3303416770751457E-4</v>
      </c>
      <c r="K2">
        <f>EXP(((-1)/(2*'Cálculos Diversos'!$B$5))*(SQRT(SUMXMY2('Tabela Entrada-Saída'!$B$2:$O$2,'Coordenadas dos Polos'!$EL$2:$EY$2)))^2)</f>
        <v>2.4990563972589227E-5</v>
      </c>
      <c r="L2">
        <f>EXP(((-1)/(2*'Cálculos Diversos'!$B$5))*(SQRT(SUMXMY2('Tabela Entrada-Saída'!$B$2:$O$2,'Coordenadas dos Polos'!$EZ$2:$FM$2)))^2)</f>
        <v>7.9924063766019244E-4</v>
      </c>
      <c r="M2">
        <f>EXP(((-1)/(2*'Cálculos Diversos'!$B$5))*(SQRT(SUMXMY2('Tabela Entrada-Saída'!$B$2:$O$2,'Coordenadas dos Polos'!$FN$2:$GA$2)))^2)</f>
        <v>2.2802703792486209E-4</v>
      </c>
      <c r="N2">
        <f>EXP(((-1)/(2*'Cálculos Diversos'!$B$5))*(SQRT(SUMXMY2('Tabela Entrada-Saída'!$B$2:$O$2,'Coordenadas dos Polos'!$GB$2:$GO$2)))^2)</f>
        <v>6.6131730586622356E-3</v>
      </c>
      <c r="O2">
        <f>EXP(((-1)/(2*'Cálculos Diversos'!$B$5))*(SQRT(SUMXMY2('Tabela Entrada-Saída'!$B$2:$O$2,'Coordenadas dos Polos'!$GP$2:$HC$2)))^2)</f>
        <v>1.3139099261902929E-5</v>
      </c>
      <c r="P2">
        <v>1</v>
      </c>
    </row>
    <row r="3" spans="1:16" x14ac:dyDescent="0.25">
      <c r="A3">
        <v>2</v>
      </c>
      <c r="B3">
        <f>EXP(((-1)/(2*'Cálculos Diversos'!$B$5))*(SQRT(SUMXMY2('Tabela Entrada-Saída'!$B$3:$O$3,'Coordenadas dos Polos'!$P$2:$AC$2)))^2)</f>
        <v>6.2718945868477136E-2</v>
      </c>
      <c r="C3">
        <f>EXP(((-1)/(2*'Cálculos Diversos'!$B$5))*(SQRT(SUMXMY2('Tabela Entrada-Saída'!$B$3:$O$3,'Coordenadas dos Polos'!$AD$2:$AQ$2)))^2)</f>
        <v>1.3176164518956312E-5</v>
      </c>
      <c r="D3">
        <f>EXP(((-1)/(2*'Cálculos Diversos'!$B$5))*(SQRT(SUMXMY2('Tabela Entrada-Saída'!$B$3:$O$3,'Coordenadas dos Polos'!$AR$2:$BE$2)))^2)</f>
        <v>1.3841196315802803E-3</v>
      </c>
      <c r="E3">
        <f>EXP(((-1)/(2*'Cálculos Diversos'!$B$5))*(SQRT(SUMXMY2('Tabela Entrada-Saída'!$B$3:$O$3,'Coordenadas dos Polos'!$BF$2:$BS$2)))^2)</f>
        <v>9.0942581991909307E-5</v>
      </c>
      <c r="F3">
        <f>EXP(((-1)/(2*'Cálculos Diversos'!$B$5))*(SQRT(SUMXMY2('Tabela Entrada-Saída'!$B$3:$O$3,'Coordenadas dos Polos'!$BT$2:$CG$2)))^2)</f>
        <v>1.9064793080100205E-3</v>
      </c>
      <c r="G3">
        <f>EXP(((-1)/(2*'Cálculos Diversos'!$B$5))*(SQRT(SUMXMY2('Tabela Entrada-Saída'!$B$3:$O$3,'Coordenadas dos Polos'!$CH$2:$CU$2)))^2)</f>
        <v>1.5185535399803164E-5</v>
      </c>
      <c r="H3">
        <f>EXP(((-1)/(2*'Cálculos Diversos'!$B$5))*(SQRT(SUMXMY2('Tabela Entrada-Saída'!$B$3:$O$3,'Coordenadas dos Polos'!$CV$2:$DI$2)))^2)</f>
        <v>2.7412439460680685E-3</v>
      </c>
      <c r="I3">
        <f>EXP(((-1)/(2*'Cálculos Diversos'!$B$5))*(SQRT(SUMXMY2('Tabela Entrada-Saída'!$B$3:$O$3,'Coordenadas dos Polos'!$DJ$2:$DW$2)))^2)</f>
        <v>1.0511527722712176E-6</v>
      </c>
      <c r="J3">
        <f>EXP(((-1)/(2*'Cálculos Diversos'!$B$5))*(SQRT(SUMXMY2('Tabela Entrada-Saída'!$B$3:$O$3,'Coordenadas dos Polos'!$DX$2:$EK$2)))^2)</f>
        <v>7.2759918103222133E-4</v>
      </c>
      <c r="K3">
        <f>EXP(((-1)/(2*'Cálculos Diversos'!$B$5))*(SQRT(SUMXMY2('Tabela Entrada-Saída'!$B$3:$O$3,'Coordenadas dos Polos'!$EL$2:$EY$2)))^2)</f>
        <v>2.4814943098148384E-5</v>
      </c>
      <c r="L3">
        <f>EXP(((-1)/(2*'Cálculos Diversos'!$B$5))*(SQRT(SUMXMY2('Tabela Entrada-Saída'!$B$3:$O$3,'Coordenadas dos Polos'!$EZ$2:$FM$2)))^2)</f>
        <v>7.9690655588714339E-4</v>
      </c>
      <c r="M3">
        <f>EXP(((-1)/(2*'Cálculos Diversos'!$B$5))*(SQRT(SUMXMY2('Tabela Entrada-Saída'!$B$3:$O$3,'Coordenadas dos Polos'!$FN$2:$GA$2)))^2)</f>
        <v>2.2646128440333653E-4</v>
      </c>
      <c r="N3">
        <f>EXP(((-1)/(2*'Cálculos Diversos'!$B$5))*(SQRT(SUMXMY2('Tabela Entrada-Saída'!$B$3:$O$3,'Coordenadas dos Polos'!$GB$2:$GO$2)))^2)</f>
        <v>6.6068730584843876E-3</v>
      </c>
      <c r="O3">
        <f>EXP(((-1)/(2*'Cálculos Diversos'!$B$5))*(SQRT(SUMXMY2('Tabela Entrada-Saída'!$B$3:$O$3,'Coordenadas dos Polos'!$GP$2:$HC$2)))^2)</f>
        <v>1.3042645983529389E-5</v>
      </c>
      <c r="P3">
        <v>1</v>
      </c>
    </row>
    <row r="4" spans="1:16" x14ac:dyDescent="0.25">
      <c r="A4">
        <v>3</v>
      </c>
      <c r="B4">
        <f>EXP(((-1)/(2*'Cálculos Diversos'!$B$5))*(SQRT(SUMXMY2('Tabela Entrada-Saída'!$B$4:$O$4,'Coordenadas dos Polos'!$P$2:$AC$2)))^2)</f>
        <v>6.2719976185562423E-2</v>
      </c>
      <c r="C4">
        <f>EXP(((-1)/(2*'Cálculos Diversos'!$B$5))*(SQRT(SUMXMY2('Tabela Entrada-Saída'!$B$4:$O$4,'Coordenadas dos Polos'!$AD$2:$AQ$2)))^2)</f>
        <v>1.3134258617205432E-5</v>
      </c>
      <c r="D4">
        <f>EXP(((-1)/(2*'Cálculos Diversos'!$B$5))*(SQRT(SUMXMY2('Tabela Entrada-Saída'!$B$4:$O$4,'Coordenadas dos Polos'!$AR$2:$BE$2)))^2)</f>
        <v>1.3796361859859296E-3</v>
      </c>
      <c r="E4">
        <f>EXP(((-1)/(2*'Cálculos Diversos'!$B$5))*(SQRT(SUMXMY2('Tabela Entrada-Saída'!$B$4:$O$4,'Coordenadas dos Polos'!$BF$2:$BS$2)))^2)</f>
        <v>9.0791337580759711E-5</v>
      </c>
      <c r="F4">
        <f>EXP(((-1)/(2*'Cálculos Diversos'!$B$5))*(SQRT(SUMXMY2('Tabela Entrada-Saída'!$B$4:$O$4,'Coordenadas dos Polos'!$BT$2:$CG$2)))^2)</f>
        <v>1.9028129952773155E-3</v>
      </c>
      <c r="G4">
        <f>EXP(((-1)/(2*'Cálculos Diversos'!$B$5))*(SQRT(SUMXMY2('Tabela Entrada-Saída'!$B$4:$O$4,'Coordenadas dos Polos'!$CH$2:$CU$2)))^2)</f>
        <v>1.5135824220422395E-5</v>
      </c>
      <c r="H4">
        <f>EXP(((-1)/(2*'Cálculos Diversos'!$B$5))*(SQRT(SUMXMY2('Tabela Entrada-Saída'!$B$4:$O$4,'Coordenadas dos Polos'!$CV$2:$DI$2)))^2)</f>
        <v>2.7346612186955918E-3</v>
      </c>
      <c r="I4">
        <f>EXP(((-1)/(2*'Cálculos Diversos'!$B$5))*(SQRT(SUMXMY2('Tabela Entrada-Saída'!$B$4:$O$4,'Coordenadas dos Polos'!$DJ$2:$DW$2)))^2)</f>
        <v>1.0459589472540524E-6</v>
      </c>
      <c r="J4">
        <f>EXP(((-1)/(2*'Cálculos Diversos'!$B$5))*(SQRT(SUMXMY2('Tabela Entrada-Saída'!$B$4:$O$4,'Coordenadas dos Polos'!$DX$2:$EK$2)))^2)</f>
        <v>7.2520797869486729E-4</v>
      </c>
      <c r="K4">
        <f>EXP(((-1)/(2*'Cálculos Diversos'!$B$5))*(SQRT(SUMXMY2('Tabela Entrada-Saída'!$B$4:$O$4,'Coordenadas dos Polos'!$EL$2:$EY$2)))^2)</f>
        <v>2.470124169953528E-5</v>
      </c>
      <c r="L4">
        <f>EXP(((-1)/(2*'Cálculos Diversos'!$B$5))*(SQRT(SUMXMY2('Tabela Entrada-Saída'!$B$4:$O$4,'Coordenadas dos Polos'!$EZ$2:$FM$2)))^2)</f>
        <v>7.9464652219024957E-4</v>
      </c>
      <c r="M4">
        <f>EXP(((-1)/(2*'Cálculos Diversos'!$B$5))*(SQRT(SUMXMY2('Tabela Entrada-Saída'!$B$4:$O$4,'Coordenadas dos Polos'!$FN$2:$GA$2)))^2)</f>
        <v>2.2552015390116072E-4</v>
      </c>
      <c r="N4">
        <f>EXP(((-1)/(2*'Cálculos Diversos'!$B$5))*(SQRT(SUMXMY2('Tabela Entrada-Saída'!$B$4:$O$4,'Coordenadas dos Polos'!$GB$2:$GO$2)))^2)</f>
        <v>6.5960229042522746E-3</v>
      </c>
      <c r="O4">
        <f>EXP(((-1)/(2*'Cálculos Diversos'!$B$5))*(SQRT(SUMXMY2('Tabela Entrada-Saída'!$B$4:$O$4,'Coordenadas dos Polos'!$GP$2:$HC$2)))^2)</f>
        <v>1.3009152356270975E-5</v>
      </c>
      <c r="P4">
        <v>1</v>
      </c>
    </row>
    <row r="5" spans="1:16" x14ac:dyDescent="0.25">
      <c r="A5">
        <v>4</v>
      </c>
      <c r="B5">
        <f>EXP(((-1)/(2*'Cálculos Diversos'!$B$5))*(SQRT(SUMXMY2('Tabela Entrada-Saída'!$B$5:$O$5,'Coordenadas dos Polos'!$P$2:$AC$2)))^2)</f>
        <v>6.2719949560603797E-2</v>
      </c>
      <c r="C5">
        <f>EXP(((-1)/(2*'Cálculos Diversos'!$B$5))*(SQRT(SUMXMY2('Tabela Entrada-Saída'!$B$5:$O$5,'Coordenadas dos Polos'!$AD$2:$AQ$2)))^2)</f>
        <v>1.314876896701794E-5</v>
      </c>
      <c r="D5">
        <f>EXP(((-1)/(2*'Cálculos Diversos'!$B$5))*(SQRT(SUMXMY2('Tabela Entrada-Saída'!$B$5:$O$5,'Coordenadas dos Polos'!$AR$2:$BE$2)))^2)</f>
        <v>1.3795833125876749E-3</v>
      </c>
      <c r="E5">
        <f>EXP(((-1)/(2*'Cálculos Diversos'!$B$5))*(SQRT(SUMXMY2('Tabela Entrada-Saída'!$B$5:$O$5,'Coordenadas dos Polos'!$BF$2:$BS$2)))^2)</f>
        <v>9.0825039375103071E-5</v>
      </c>
      <c r="F5">
        <f>EXP(((-1)/(2*'Cálculos Diversos'!$B$5))*(SQRT(SUMXMY2('Tabela Entrada-Saída'!$B$5:$O$5,'Coordenadas dos Polos'!$BT$2:$CG$2)))^2)</f>
        <v>1.9036328688154063E-3</v>
      </c>
      <c r="G5">
        <f>EXP(((-1)/(2*'Cálculos Diversos'!$B$5))*(SQRT(SUMXMY2('Tabela Entrada-Saída'!$B$5:$O$5,'Coordenadas dos Polos'!$CH$2:$CU$2)))^2)</f>
        <v>1.5122469735055081E-5</v>
      </c>
      <c r="H5">
        <f>EXP(((-1)/(2*'Cálculos Diversos'!$B$5))*(SQRT(SUMXMY2('Tabela Entrada-Saída'!$B$5:$O$5,'Coordenadas dos Polos'!$CV$2:$DI$2)))^2)</f>
        <v>2.7386194631177788E-3</v>
      </c>
      <c r="I5">
        <f>EXP(((-1)/(2*'Cálculos Diversos'!$B$5))*(SQRT(SUMXMY2('Tabela Entrada-Saída'!$B$5:$O$5,'Coordenadas dos Polos'!$DJ$2:$DW$2)))^2)</f>
        <v>1.0479141947760217E-6</v>
      </c>
      <c r="J5">
        <f>EXP(((-1)/(2*'Cálculos Diversos'!$B$5))*(SQRT(SUMXMY2('Tabela Entrada-Saída'!$B$5:$O$5,'Coordenadas dos Polos'!$DX$2:$EK$2)))^2)</f>
        <v>7.2679864117324304E-4</v>
      </c>
      <c r="K5">
        <f>EXP(((-1)/(2*'Cálculos Diversos'!$B$5))*(SQRT(SUMXMY2('Tabela Entrada-Saída'!$B$5:$O$5,'Coordenadas dos Polos'!$EL$2:$EY$2)))^2)</f>
        <v>2.4745043161032661E-5</v>
      </c>
      <c r="L5">
        <f>EXP(((-1)/(2*'Cálculos Diversos'!$B$5))*(SQRT(SUMXMY2('Tabela Entrada-Saída'!$B$5:$O$5,'Coordenadas dos Polos'!$EZ$2:$FM$2)))^2)</f>
        <v>7.9447127503486971E-4</v>
      </c>
      <c r="M5">
        <f>EXP(((-1)/(2*'Cálculos Diversos'!$B$5))*(SQRT(SUMXMY2('Tabela Entrada-Saída'!$B$5:$O$5,'Coordenadas dos Polos'!$FN$2:$GA$2)))^2)</f>
        <v>2.255151667502185E-4</v>
      </c>
      <c r="N5">
        <f>EXP(((-1)/(2*'Cálculos Diversos'!$B$5))*(SQRT(SUMXMY2('Tabela Entrada-Saída'!$B$5:$O$5,'Coordenadas dos Polos'!$GB$2:$GO$2)))^2)</f>
        <v>6.5924536591291877E-3</v>
      </c>
      <c r="O5">
        <f>EXP(((-1)/(2*'Cálculos Diversos'!$B$5))*(SQRT(SUMXMY2('Tabela Entrada-Saída'!$B$5:$O$5,'Coordenadas dos Polos'!$GP$2:$HC$2)))^2)</f>
        <v>1.3041547122068207E-5</v>
      </c>
      <c r="P5">
        <v>1</v>
      </c>
    </row>
    <row r="6" spans="1:16" x14ac:dyDescent="0.25">
      <c r="A6">
        <v>5</v>
      </c>
      <c r="B6">
        <f>EXP(((-1)/(2*'Cálculos Diversos'!$B$5))*(SQRT(SUMXMY2('Tabela Entrada-Saída'!$B$6:$O$6,'Coordenadas dos Polos'!$P$2:$AC$2)))^2)</f>
        <v>6.2718515806224076E-2</v>
      </c>
      <c r="C6">
        <f>EXP(((-1)/(2*'Cálculos Diversos'!$B$5))*(SQRT(SUMXMY2('Tabela Entrada-Saída'!$B$6:$O$6,'Coordenadas dos Polos'!$AD$2:$AQ$2)))^2)</f>
        <v>1.3184487005248897E-5</v>
      </c>
      <c r="D6">
        <f>EXP(((-1)/(2*'Cálculos Diversos'!$B$5))*(SQRT(SUMXMY2('Tabela Entrada-Saída'!$B$6:$O$6,'Coordenadas dos Polos'!$AR$2:$BE$2)))^2)</f>
        <v>1.3848969855658466E-3</v>
      </c>
      <c r="E6">
        <f>EXP(((-1)/(2*'Cálculos Diversos'!$B$5))*(SQRT(SUMXMY2('Tabela Entrada-Saída'!$B$6:$O$6,'Coordenadas dos Polos'!$BF$2:$BS$2)))^2)</f>
        <v>9.1000381254608507E-5</v>
      </c>
      <c r="F6">
        <f>EXP(((-1)/(2*'Cálculos Diversos'!$B$5))*(SQRT(SUMXMY2('Tabela Entrada-Saída'!$B$6:$O$6,'Coordenadas dos Polos'!$BT$2:$CG$2)))^2)</f>
        <v>1.9076530470930417E-3</v>
      </c>
      <c r="G6">
        <f>EXP(((-1)/(2*'Cálculos Diversos'!$B$5))*(SQRT(SUMXMY2('Tabela Entrada-Saída'!$B$6:$O$6,'Coordenadas dos Polos'!$CH$2:$CU$2)))^2)</f>
        <v>1.5195527396081398E-5</v>
      </c>
      <c r="H6">
        <f>EXP(((-1)/(2*'Cálculos Diversos'!$B$5))*(SQRT(SUMXMY2('Tabela Entrada-Saída'!$B$6:$O$6,'Coordenadas dos Polos'!$CV$2:$DI$2)))^2)</f>
        <v>2.7416663292429721E-3</v>
      </c>
      <c r="I6">
        <f>EXP(((-1)/(2*'Cálculos Diversos'!$B$5))*(SQRT(SUMXMY2('Tabela Entrada-Saída'!$B$6:$O$6,'Coordenadas dos Polos'!$DJ$2:$DW$2)))^2)</f>
        <v>1.0513046686936615E-6</v>
      </c>
      <c r="J6">
        <f>EXP(((-1)/(2*'Cálculos Diversos'!$B$5))*(SQRT(SUMXMY2('Tabela Entrada-Saída'!$B$6:$O$6,'Coordenadas dos Polos'!$DX$2:$EK$2)))^2)</f>
        <v>7.2719664955785016E-4</v>
      </c>
      <c r="K6">
        <f>EXP(((-1)/(2*'Cálculos Diversos'!$B$5))*(SQRT(SUMXMY2('Tabela Entrada-Saída'!$B$6:$O$6,'Coordenadas dos Polos'!$EL$2:$EY$2)))^2)</f>
        <v>2.4813482349297034E-5</v>
      </c>
      <c r="L6">
        <f>EXP(((-1)/(2*'Cálculos Diversos'!$B$5))*(SQRT(SUMXMY2('Tabela Entrada-Saída'!$B$6:$O$6,'Coordenadas dos Polos'!$EZ$2:$FM$2)))^2)</f>
        <v>7.9741558505772026E-4</v>
      </c>
      <c r="M6">
        <f>EXP(((-1)/(2*'Cálculos Diversos'!$B$5))*(SQRT(SUMXMY2('Tabela Entrada-Saída'!$B$6:$O$6,'Coordenadas dos Polos'!$FN$2:$GA$2)))^2)</f>
        <v>2.266988627090094E-4</v>
      </c>
      <c r="N6">
        <f>EXP(((-1)/(2*'Cálculos Diversos'!$B$5))*(SQRT(SUMXMY2('Tabela Entrada-Saída'!$B$6:$O$6,'Coordenadas dos Polos'!$GB$2:$GO$2)))^2)</f>
        <v>6.6095693609967057E-3</v>
      </c>
      <c r="O6">
        <f>EXP(((-1)/(2*'Cálculos Diversos'!$B$5))*(SQRT(SUMXMY2('Tabela Entrada-Saída'!$B$6:$O$6,'Coordenadas dos Polos'!$GP$2:$HC$2)))^2)</f>
        <v>1.3041000489932274E-5</v>
      </c>
      <c r="P6">
        <v>1</v>
      </c>
    </row>
    <row r="7" spans="1:16" x14ac:dyDescent="0.25">
      <c r="A7">
        <v>6</v>
      </c>
      <c r="B7">
        <f>EXP(((-1)/(2*'Cálculos Diversos'!$B$5))*(SQRT(SUMXMY2('Tabela Entrada-Saída'!$B$7:$O$7,'Coordenadas dos Polos'!$P$2:$AC$2)))^2)</f>
        <v>6.2719904904894444E-2</v>
      </c>
      <c r="C7">
        <f>EXP(((-1)/(2*'Cálculos Diversos'!$B$5))*(SQRT(SUMXMY2('Tabela Entrada-Saída'!$B$7:$O$7,'Coordenadas dos Polos'!$AD$2:$AQ$2)))^2)</f>
        <v>1.3122314555414709E-5</v>
      </c>
      <c r="D7">
        <f>EXP(((-1)/(2*'Cálculos Diversos'!$B$5))*(SQRT(SUMXMY2('Tabela Entrada-Saída'!$B$7:$O$7,'Coordenadas dos Polos'!$AR$2:$BE$2)))^2)</f>
        <v>1.38088430683187E-3</v>
      </c>
      <c r="E7">
        <f>EXP(((-1)/(2*'Cálculos Diversos'!$B$5))*(SQRT(SUMXMY2('Tabela Entrada-Saída'!$B$7:$O$7,'Coordenadas dos Polos'!$BF$2:$BS$2)))^2)</f>
        <v>9.0803573046893186E-5</v>
      </c>
      <c r="F7">
        <f>EXP(((-1)/(2*'Cálculos Diversos'!$B$5))*(SQRT(SUMXMY2('Tabela Entrada-Saída'!$B$7:$O$7,'Coordenadas dos Polos'!$BT$2:$CG$2)))^2)</f>
        <v>1.9026098472382815E-3</v>
      </c>
      <c r="G7">
        <f>EXP(((-1)/(2*'Cálculos Diversos'!$B$5))*(SQRT(SUMXMY2('Tabela Entrada-Saída'!$B$7:$O$7,'Coordenadas dos Polos'!$CH$2:$CU$2)))^2)</f>
        <v>1.514898929327949E-5</v>
      </c>
      <c r="H7">
        <f>EXP(((-1)/(2*'Cálculos Diversos'!$B$5))*(SQRT(SUMXMY2('Tabela Entrada-Saída'!$B$7:$O$7,'Coordenadas dos Polos'!$CV$2:$DI$2)))^2)</f>
        <v>2.7315665482076693E-3</v>
      </c>
      <c r="I7">
        <f>EXP(((-1)/(2*'Cálculos Diversos'!$B$5))*(SQRT(SUMXMY2('Tabela Entrada-Saída'!$B$7:$O$7,'Coordenadas dos Polos'!$DJ$2:$DW$2)))^2)</f>
        <v>1.0440061353194362E-6</v>
      </c>
      <c r="J7">
        <f>EXP(((-1)/(2*'Cálculos Diversos'!$B$5))*(SQRT(SUMXMY2('Tabela Entrada-Saída'!$B$7:$O$7,'Coordenadas dos Polos'!$DX$2:$EK$2)))^2)</f>
        <v>7.2397158667094773E-4</v>
      </c>
      <c r="K7">
        <f>EXP(((-1)/(2*'Cálculos Diversos'!$B$5))*(SQRT(SUMXMY2('Tabela Entrada-Saída'!$B$7:$O$7,'Coordenadas dos Polos'!$EL$2:$EY$2)))^2)</f>
        <v>2.4683436166234244E-5</v>
      </c>
      <c r="L7">
        <f>EXP(((-1)/(2*'Cálculos Diversos'!$B$5))*(SQRT(SUMXMY2('Tabela Entrada-Saída'!$B$7:$O$7,'Coordenadas dos Polos'!$EZ$2:$FM$2)))^2)</f>
        <v>7.9495855339988648E-4</v>
      </c>
      <c r="M7">
        <f>EXP(((-1)/(2*'Cálculos Diversos'!$B$5))*(SQRT(SUMXMY2('Tabela Entrada-Saída'!$B$7:$O$7,'Coordenadas dos Polos'!$FN$2:$GA$2)))^2)</f>
        <v>2.2540858810387985E-4</v>
      </c>
      <c r="N7">
        <f>EXP(((-1)/(2*'Cálculos Diversos'!$B$5))*(SQRT(SUMXMY2('Tabela Entrada-Saída'!$B$7:$O$7,'Coordenadas dos Polos'!$GB$2:$GO$2)))^2)</f>
        <v>6.5989441595372357E-3</v>
      </c>
      <c r="O7">
        <f>EXP(((-1)/(2*'Cálculos Diversos'!$B$5))*(SQRT(SUMXMY2('Tabela Entrada-Saída'!$B$7:$O$7,'Coordenadas dos Polos'!$GP$2:$HC$2)))^2)</f>
        <v>1.2987482667633837E-5</v>
      </c>
      <c r="P7">
        <v>1</v>
      </c>
    </row>
    <row r="8" spans="1:16" x14ac:dyDescent="0.25">
      <c r="A8">
        <v>7</v>
      </c>
      <c r="B8">
        <f>EXP(((-1)/(2*'Cálculos Diversos'!$B$5))*(SQRT(SUMXMY2('Tabela Entrada-Saída'!$B$8:$O$8,'Coordenadas dos Polos'!$P$2:$AC$2)))^2)</f>
        <v>6.2719087820387584E-2</v>
      </c>
      <c r="C8">
        <f>EXP(((-1)/(2*'Cálculos Diversos'!$B$5))*(SQRT(SUMXMY2('Tabela Entrada-Saída'!$B$8:$O$8,'Coordenadas dos Polos'!$AD$2:$AQ$2)))^2)</f>
        <v>1.3173657755830594E-5</v>
      </c>
      <c r="D8">
        <f>EXP(((-1)/(2*'Cálculos Diversos'!$B$5))*(SQRT(SUMXMY2('Tabela Entrada-Saída'!$B$8:$O$8,'Coordenadas dos Polos'!$AR$2:$BE$2)))^2)</f>
        <v>1.3824956342521309E-3</v>
      </c>
      <c r="E8">
        <f>EXP(((-1)/(2*'Cálculos Diversos'!$B$5))*(SQRT(SUMXMY2('Tabela Entrada-Saída'!$B$8:$O$8,'Coordenadas dos Polos'!$BF$2:$BS$2)))^2)</f>
        <v>9.0957123291324202E-5</v>
      </c>
      <c r="F8">
        <f>EXP(((-1)/(2*'Cálculos Diversos'!$B$5))*(SQRT(SUMXMY2('Tabela Entrada-Saída'!$B$8:$O$8,'Coordenadas dos Polos'!$BT$2:$CG$2)))^2)</f>
        <v>1.906428339426391E-3</v>
      </c>
      <c r="G8">
        <f>EXP(((-1)/(2*'Cálculos Diversos'!$B$5))*(SQRT(SUMXMY2('Tabela Entrada-Saída'!$B$8:$O$8,'Coordenadas dos Polos'!$CH$2:$CU$2)))^2)</f>
        <v>1.5166780952834288E-5</v>
      </c>
      <c r="H8">
        <f>EXP(((-1)/(2*'Cálculos Diversos'!$B$5))*(SQRT(SUMXMY2('Tabela Entrada-Saída'!$B$8:$O$8,'Coordenadas dos Polos'!$CV$2:$DI$2)))^2)</f>
        <v>2.740685806917326E-3</v>
      </c>
      <c r="I8">
        <f>EXP(((-1)/(2*'Cálculos Diversos'!$B$5))*(SQRT(SUMXMY2('Tabela Entrada-Saída'!$B$8:$O$8,'Coordenadas dos Polos'!$DJ$2:$DW$2)))^2)</f>
        <v>1.0500961218360161E-6</v>
      </c>
      <c r="J8">
        <f>EXP(((-1)/(2*'Cálculos Diversos'!$B$5))*(SQRT(SUMXMY2('Tabela Entrada-Saída'!$B$8:$O$8,'Coordenadas dos Polos'!$DX$2:$EK$2)))^2)</f>
        <v>7.2683957684542826E-4</v>
      </c>
      <c r="K8">
        <f>EXP(((-1)/(2*'Cálculos Diversos'!$B$5))*(SQRT(SUMXMY2('Tabela Entrada-Saída'!$B$8:$O$8,'Coordenadas dos Polos'!$EL$2:$EY$2)))^2)</f>
        <v>2.477737155844674E-5</v>
      </c>
      <c r="L8">
        <f>EXP(((-1)/(2*'Cálculos Diversos'!$B$5))*(SQRT(SUMXMY2('Tabela Entrada-Saída'!$B$8:$O$8,'Coordenadas dos Polos'!$EZ$2:$FM$2)))^2)</f>
        <v>7.9624444793187984E-4</v>
      </c>
      <c r="M8">
        <f>EXP(((-1)/(2*'Cálculos Diversos'!$B$5))*(SQRT(SUMXMY2('Tabela Entrada-Saída'!$B$8:$O$8,'Coordenadas dos Polos'!$FN$2:$GA$2)))^2)</f>
        <v>2.26292269921535E-4</v>
      </c>
      <c r="N8">
        <f>EXP(((-1)/(2*'Cálculos Diversos'!$B$5))*(SQRT(SUMXMY2('Tabela Entrada-Saída'!$B$8:$O$8,'Coordenadas dos Polos'!$GB$2:$GO$2)))^2)</f>
        <v>6.6037545833758354E-3</v>
      </c>
      <c r="O8">
        <f>EXP(((-1)/(2*'Cálculos Diversos'!$B$5))*(SQRT(SUMXMY2('Tabela Entrada-Saída'!$B$8:$O$8,'Coordenadas dos Polos'!$GP$2:$HC$2)))^2)</f>
        <v>1.3040750175186819E-5</v>
      </c>
      <c r="P8">
        <v>1</v>
      </c>
    </row>
    <row r="9" spans="1:16" x14ac:dyDescent="0.25">
      <c r="A9">
        <v>8</v>
      </c>
      <c r="B9">
        <f>EXP(((-1)/(2*'Cálculos Diversos'!$B$5))*(SQRT(SUMXMY2('Tabela Entrada-Saída'!$B$9:$O$9,'Coordenadas dos Polos'!$P$2:$AC$2)))^2)</f>
        <v>6.2718550473177204E-2</v>
      </c>
      <c r="C9">
        <f>EXP(((-1)/(2*'Cálculos Diversos'!$B$5))*(SQRT(SUMXMY2('Tabela Entrada-Saída'!$B$9:$O$9,'Coordenadas dos Polos'!$AD$2:$AQ$2)))^2)</f>
        <v>1.3191129675413065E-5</v>
      </c>
      <c r="D9">
        <f>EXP(((-1)/(2*'Cálculos Diversos'!$B$5))*(SQRT(SUMXMY2('Tabela Entrada-Saída'!$B$9:$O$9,'Coordenadas dos Polos'!$AR$2:$BE$2)))^2)</f>
        <v>1.3860210982850828E-3</v>
      </c>
      <c r="E9">
        <f>EXP(((-1)/(2*'Cálculos Diversos'!$B$5))*(SQRT(SUMXMY2('Tabela Entrada-Saída'!$B$9:$O$9,'Coordenadas dos Polos'!$BF$2:$BS$2)))^2)</f>
        <v>9.0993441581630556E-5</v>
      </c>
      <c r="F9">
        <f>EXP(((-1)/(2*'Cálculos Diversos'!$B$5))*(SQRT(SUMXMY2('Tabela Entrada-Saída'!$B$9:$O$9,'Coordenadas dos Polos'!$BT$2:$CG$2)))^2)</f>
        <v>1.907859308523416E-3</v>
      </c>
      <c r="G9">
        <f>EXP(((-1)/(2*'Cálculos Diversos'!$B$5))*(SQRT(SUMXMY2('Tabela Entrada-Saída'!$B$9:$O$9,'Coordenadas dos Polos'!$CH$2:$CU$2)))^2)</f>
        <v>1.5198040858129818E-5</v>
      </c>
      <c r="H9">
        <f>EXP(((-1)/(2*'Cálculos Diversos'!$B$5))*(SQRT(SUMXMY2('Tabela Entrada-Saída'!$B$9:$O$9,'Coordenadas dos Polos'!$CV$2:$DI$2)))^2)</f>
        <v>2.7442093644081539E-3</v>
      </c>
      <c r="I9">
        <f>EXP(((-1)/(2*'Cálculos Diversos'!$B$5))*(SQRT(SUMXMY2('Tabela Entrada-Saída'!$B$9:$O$9,'Coordenadas dos Polos'!$DJ$2:$DW$2)))^2)</f>
        <v>1.0530183192604031E-6</v>
      </c>
      <c r="J9">
        <f>EXP(((-1)/(2*'Cálculos Diversos'!$B$5))*(SQRT(SUMXMY2('Tabela Entrada-Saída'!$B$9:$O$9,'Coordenadas dos Polos'!$DX$2:$EK$2)))^2)</f>
        <v>7.2884462718844352E-4</v>
      </c>
      <c r="K9">
        <f>EXP(((-1)/(2*'Cálculos Diversos'!$B$5))*(SQRT(SUMXMY2('Tabela Entrada-Saída'!$B$9:$O$9,'Coordenadas dos Polos'!$EL$2:$EY$2)))^2)</f>
        <v>2.4869934973546852E-5</v>
      </c>
      <c r="L9">
        <f>EXP(((-1)/(2*'Cálculos Diversos'!$B$5))*(SQRT(SUMXMY2('Tabela Entrada-Saída'!$B$9:$O$9,'Coordenadas dos Polos'!$EZ$2:$FM$2)))^2)</f>
        <v>7.9770347595232104E-4</v>
      </c>
      <c r="M9">
        <f>EXP(((-1)/(2*'Cálculos Diversos'!$B$5))*(SQRT(SUMXMY2('Tabela Entrada-Saída'!$B$9:$O$9,'Coordenadas dos Polos'!$FN$2:$GA$2)))^2)</f>
        <v>2.2672118889987113E-4</v>
      </c>
      <c r="N9">
        <f>EXP(((-1)/(2*'Cálculos Diversos'!$B$5))*(SQRT(SUMXMY2('Tabela Entrada-Saída'!$B$9:$O$9,'Coordenadas dos Polos'!$GB$2:$GO$2)))^2)</f>
        <v>6.6086335060775445E-3</v>
      </c>
      <c r="O9">
        <f>EXP(((-1)/(2*'Cálculos Diversos'!$B$5))*(SQRT(SUMXMY2('Tabela Entrada-Saída'!$B$9:$O$9,'Coordenadas dos Polos'!$GP$2:$HC$2)))^2)</f>
        <v>1.3062615877905792E-5</v>
      </c>
      <c r="P9">
        <v>1</v>
      </c>
    </row>
    <row r="10" spans="1:16" x14ac:dyDescent="0.25">
      <c r="A10">
        <v>9</v>
      </c>
      <c r="B10">
        <f>EXP(((-1)/(2*'Cálculos Diversos'!$B$5))*(SQRT(SUMXMY2('Tabela Entrada-Saída'!$B$10:$O$10,'Coordenadas dos Polos'!$P$2:$AC$2)))^2)</f>
        <v>0.33033287435910619</v>
      </c>
      <c r="C10">
        <f>EXP(((-1)/(2*'Cálculos Diversos'!$B$5))*(SQRT(SUMXMY2('Tabela Entrada-Saída'!$B$10:$O$10,'Coordenadas dos Polos'!$AD$2:$AQ$2)))^2)</f>
        <v>1.924609297644897E-5</v>
      </c>
      <c r="D10">
        <f>EXP(((-1)/(2*'Cálculos Diversos'!$B$5))*(SQRT(SUMXMY2('Tabela Entrada-Saída'!$B$10:$O$10,'Coordenadas dos Polos'!$AR$2:$BE$2)))^2)</f>
        <v>9.9976318198157681E-4</v>
      </c>
      <c r="E10">
        <f>EXP(((-1)/(2*'Cálculos Diversos'!$B$5))*(SQRT(SUMXMY2('Tabela Entrada-Saída'!$B$10:$O$10,'Coordenadas dos Polos'!$BF$2:$BS$2)))^2)</f>
        <v>1.9100962295240791E-4</v>
      </c>
      <c r="F10">
        <f>EXP(((-1)/(2*'Cálculos Diversos'!$B$5))*(SQRT(SUMXMY2('Tabela Entrada-Saída'!$B$10:$O$10,'Coordenadas dos Polos'!$BT$2:$CG$2)))^2)</f>
        <v>1.3878212818703786E-3</v>
      </c>
      <c r="G10">
        <f>EXP(((-1)/(2*'Cálculos Diversos'!$B$5))*(SQRT(SUMXMY2('Tabela Entrada-Saída'!$B$10:$O$10,'Coordenadas dos Polos'!$CH$2:$CU$2)))^2)</f>
        <v>7.4876403071899323E-5</v>
      </c>
      <c r="H10">
        <f>EXP(((-1)/(2*'Cálculos Diversos'!$B$5))*(SQRT(SUMXMY2('Tabela Entrada-Saída'!$B$10:$O$10,'Coordenadas dos Polos'!$CV$2:$DI$2)))^2)</f>
        <v>4.4459383026843793E-3</v>
      </c>
      <c r="I10">
        <f>EXP(((-1)/(2*'Cálculos Diversos'!$B$5))*(SQRT(SUMXMY2('Tabela Entrada-Saída'!$B$10:$O$10,'Coordenadas dos Polos'!$DJ$2:$DW$2)))^2)</f>
        <v>3.7095519450785014E-6</v>
      </c>
      <c r="J10">
        <f>EXP(((-1)/(2*'Cálculos Diversos'!$B$5))*(SQRT(SUMXMY2('Tabela Entrada-Saída'!$B$10:$O$10,'Coordenadas dos Polos'!$DX$2:$EK$2)))^2)</f>
        <v>1.651169444115092E-3</v>
      </c>
      <c r="K10">
        <f>EXP(((-1)/(2*'Cálculos Diversos'!$B$5))*(SQRT(SUMXMY2('Tabela Entrada-Saída'!$B$10:$O$10,'Coordenadas dos Polos'!$EL$2:$EY$2)))^2)</f>
        <v>1.7464968113935241E-5</v>
      </c>
      <c r="L10">
        <f>EXP(((-1)/(2*'Cálculos Diversos'!$B$5))*(SQRT(SUMXMY2('Tabela Entrada-Saída'!$B$10:$O$10,'Coordenadas dos Polos'!$EZ$2:$FM$2)))^2)</f>
        <v>7.2071874155336501E-4</v>
      </c>
      <c r="M10">
        <f>EXP(((-1)/(2*'Cálculos Diversos'!$B$5))*(SQRT(SUMXMY2('Tabela Entrada-Saída'!$B$10:$O$10,'Coordenadas dos Polos'!$FN$2:$GA$2)))^2)</f>
        <v>3.0256981936727909E-4</v>
      </c>
      <c r="N10">
        <f>EXP(((-1)/(2*'Cálculos Diversos'!$B$5))*(SQRT(SUMXMY2('Tabela Entrada-Saída'!$B$10:$O$10,'Coordenadas dos Polos'!$GB$2:$GO$2)))^2)</f>
        <v>9.1303820307938946E-3</v>
      </c>
      <c r="O10">
        <f>EXP(((-1)/(2*'Cálculos Diversos'!$B$5))*(SQRT(SUMXMY2('Tabela Entrada-Saída'!$B$10:$O$10,'Coordenadas dos Polos'!$GP$2:$HC$2)))^2)</f>
        <v>3.1668257683834701E-5</v>
      </c>
      <c r="P10">
        <v>1</v>
      </c>
    </row>
    <row r="11" spans="1:16" x14ac:dyDescent="0.25">
      <c r="A11">
        <v>10</v>
      </c>
      <c r="B11">
        <f>EXP(((-1)/(2*'Cálculos Diversos'!$B$5))*(SQRT(SUMXMY2('Tabela Entrada-Saída'!$B$11:$O$11,'Coordenadas dos Polos'!$P$2:$AC$2)))^2)</f>
        <v>7.3691116907708562E-2</v>
      </c>
      <c r="C11">
        <f>EXP(((-1)/(2*'Cálculos Diversos'!$B$5))*(SQRT(SUMXMY2('Tabela Entrada-Saída'!$B$11:$O$11,'Coordenadas dos Polos'!$AD$2:$AQ$2)))^2)</f>
        <v>1.4084558520662732E-5</v>
      </c>
      <c r="D11">
        <f>EXP(((-1)/(2*'Cálculos Diversos'!$B$5))*(SQRT(SUMXMY2('Tabela Entrada-Saída'!$B$11:$O$11,'Coordenadas dos Polos'!$AR$2:$BE$2)))^2)</f>
        <v>1.4025755731443316E-3</v>
      </c>
      <c r="E11">
        <f>EXP(((-1)/(2*'Cálculos Diversos'!$B$5))*(SQRT(SUMXMY2('Tabela Entrada-Saída'!$B$11:$O$11,'Coordenadas dos Polos'!$BF$2:$BS$2)))^2)</f>
        <v>9.9759146441341534E-5</v>
      </c>
      <c r="F11">
        <f>EXP(((-1)/(2*'Cálculos Diversos'!$B$5))*(SQRT(SUMXMY2('Tabela Entrada-Saída'!$B$11:$O$11,'Coordenadas dos Polos'!$BT$2:$CG$2)))^2)</f>
        <v>1.934081444724166E-3</v>
      </c>
      <c r="G11">
        <f>EXP(((-1)/(2*'Cálculos Diversos'!$B$5))*(SQRT(SUMXMY2('Tabela Entrada-Saída'!$B$11:$O$11,'Coordenadas dos Polos'!$CH$2:$CU$2)))^2)</f>
        <v>1.7727594883547243E-5</v>
      </c>
      <c r="H11">
        <f>EXP(((-1)/(2*'Cálculos Diversos'!$B$5))*(SQRT(SUMXMY2('Tabela Entrada-Saída'!$B$11:$O$11,'Coordenadas dos Polos'!$CV$2:$DI$2)))^2)</f>
        <v>2.9553090529622766E-3</v>
      </c>
      <c r="I11">
        <f>EXP(((-1)/(2*'Cálculos Diversos'!$B$5))*(SQRT(SUMXMY2('Tabela Entrada-Saída'!$B$11:$O$11,'Coordenadas dos Polos'!$DJ$2:$DW$2)))^2)</f>
        <v>1.2008991721200961E-6</v>
      </c>
      <c r="J11">
        <f>EXP(((-1)/(2*'Cálculos Diversos'!$B$5))*(SQRT(SUMXMY2('Tabela Entrada-Saída'!$B$11:$O$11,'Coordenadas dos Polos'!$DX$2:$EK$2)))^2)</f>
        <v>8.0529285739343889E-4</v>
      </c>
      <c r="K11">
        <f>EXP(((-1)/(2*'Cálculos Diversos'!$B$5))*(SQRT(SUMXMY2('Tabela Entrada-Saída'!$B$11:$O$11,'Coordenadas dos Polos'!$EL$2:$EY$2)))^2)</f>
        <v>2.5155079426840964E-5</v>
      </c>
      <c r="L11">
        <f>EXP(((-1)/(2*'Cálculos Diversos'!$B$5))*(SQRT(SUMXMY2('Tabela Entrada-Saída'!$B$11:$O$11,'Coordenadas dos Polos'!$EZ$2:$FM$2)))^2)</f>
        <v>8.2119988423722066E-4</v>
      </c>
      <c r="M11">
        <f>EXP(((-1)/(2*'Cálculos Diversos'!$B$5))*(SQRT(SUMXMY2('Tabela Entrada-Saída'!$B$11:$O$11,'Coordenadas dos Polos'!$FN$2:$GA$2)))^2)</f>
        <v>2.4025337738359232E-4</v>
      </c>
      <c r="N11">
        <f>EXP(((-1)/(2*'Cálculos Diversos'!$B$5))*(SQRT(SUMXMY2('Tabela Entrada-Saída'!$B$11:$O$11,'Coordenadas dos Polos'!$GB$2:$GO$2)))^2)</f>
        <v>7.0218864252909012E-3</v>
      </c>
      <c r="O11">
        <f>EXP(((-1)/(2*'Cálculos Diversos'!$B$5))*(SQRT(SUMXMY2('Tabela Entrada-Saída'!$B$11:$O$11,'Coordenadas dos Polos'!$GP$2:$HC$2)))^2)</f>
        <v>1.4505536451320198E-5</v>
      </c>
      <c r="P11">
        <v>1</v>
      </c>
    </row>
    <row r="12" spans="1:16" x14ac:dyDescent="0.25">
      <c r="A12">
        <v>11</v>
      </c>
      <c r="B12">
        <f>EXP(((-1)/(2*'Cálculos Diversos'!$B$5))*(SQRT(SUMXMY2('Tabela Entrada-Saída'!$B$12:$O$12,'Coordenadas dos Polos'!$P$2:$AC$2)))^2)</f>
        <v>0.20213675091363825</v>
      </c>
      <c r="C12">
        <f>EXP(((-1)/(2*'Cálculos Diversos'!$B$5))*(SQRT(SUMXMY2('Tabela Entrada-Saída'!$B$12:$O$12,'Coordenadas dos Polos'!$AD$2:$AQ$2)))^2)</f>
        <v>1.9106761038341934E-5</v>
      </c>
      <c r="D12">
        <f>EXP(((-1)/(2*'Cálculos Diversos'!$B$5))*(SQRT(SUMXMY2('Tabela Entrada-Saída'!$B$12:$O$12,'Coordenadas dos Polos'!$AR$2:$BE$2)))^2)</f>
        <v>1.2848600332085148E-3</v>
      </c>
      <c r="E12">
        <f>EXP(((-1)/(2*'Cálculos Diversos'!$B$5))*(SQRT(SUMXMY2('Tabela Entrada-Saída'!$B$12:$O$12,'Coordenadas dos Polos'!$BF$2:$BS$2)))^2)</f>
        <v>1.6507864321967981E-4</v>
      </c>
      <c r="F12">
        <f>EXP(((-1)/(2*'Cálculos Diversos'!$B$5))*(SQRT(SUMXMY2('Tabela Entrada-Saída'!$B$12:$O$12,'Coordenadas dos Polos'!$BT$2:$CG$2)))^2)</f>
        <v>1.7824820009307693E-3</v>
      </c>
      <c r="G12">
        <f>EXP(((-1)/(2*'Cálculos Diversos'!$B$5))*(SQRT(SUMXMY2('Tabela Entrada-Saída'!$B$12:$O$12,'Coordenadas dos Polos'!$CH$2:$CU$2)))^2)</f>
        <v>4.6929267881347222E-5</v>
      </c>
      <c r="H12">
        <f>EXP(((-1)/(2*'Cálculos Diversos'!$B$5))*(SQRT(SUMXMY2('Tabela Entrada-Saída'!$B$12:$O$12,'Coordenadas dos Polos'!$CV$2:$DI$2)))^2)</f>
        <v>4.2439699834007621E-3</v>
      </c>
      <c r="I12">
        <f>EXP(((-1)/(2*'Cálculos Diversos'!$B$5))*(SQRT(SUMXMY2('Tabela Entrada-Saída'!$B$12:$O$12,'Coordenadas dos Polos'!$DJ$2:$DW$2)))^2)</f>
        <v>2.6556724159021674E-6</v>
      </c>
      <c r="J12">
        <f>EXP(((-1)/(2*'Cálculos Diversos'!$B$5))*(SQRT(SUMXMY2('Tabela Entrada-Saída'!$B$12:$O$12,'Coordenadas dos Polos'!$DX$2:$EK$2)))^2)</f>
        <v>1.3918144526385938E-3</v>
      </c>
      <c r="K12">
        <f>EXP(((-1)/(2*'Cálculos Diversos'!$B$5))*(SQRT(SUMXMY2('Tabela Entrada-Saída'!$B$12:$O$12,'Coordenadas dos Polos'!$EL$2:$EY$2)))^2)</f>
        <v>2.2768348101818776E-5</v>
      </c>
      <c r="L12">
        <f>EXP(((-1)/(2*'Cálculos Diversos'!$B$5))*(SQRT(SUMXMY2('Tabela Entrada-Saída'!$B$12:$O$12,'Coordenadas dos Polos'!$EZ$2:$FM$2)))^2)</f>
        <v>8.5223769924167557E-4</v>
      </c>
      <c r="M12">
        <f>EXP(((-1)/(2*'Cálculos Diversos'!$B$5))*(SQRT(SUMXMY2('Tabela Entrada-Saída'!$B$12:$O$12,'Coordenadas dos Polos'!$FN$2:$GA$2)))^2)</f>
        <v>3.1010176503732485E-4</v>
      </c>
      <c r="N12">
        <f>EXP(((-1)/(2*'Cálculos Diversos'!$B$5))*(SQRT(SUMXMY2('Tabela Entrada-Saída'!$B$12:$O$12,'Coordenadas dos Polos'!$GB$2:$GO$2)))^2)</f>
        <v>9.2092519409219965E-3</v>
      </c>
      <c r="O12">
        <f>EXP(((-1)/(2*'Cálculos Diversos'!$B$5))*(SQRT(SUMXMY2('Tabela Entrada-Saída'!$B$12:$O$12,'Coordenadas dos Polos'!$GP$2:$HC$2)))^2)</f>
        <v>2.6044558155454147E-5</v>
      </c>
      <c r="P12">
        <v>1</v>
      </c>
    </row>
    <row r="13" spans="1:16" x14ac:dyDescent="0.25">
      <c r="A13">
        <v>12</v>
      </c>
      <c r="B13">
        <f>EXP(((-1)/(2*'Cálculos Diversos'!$B$5))*(SQRT(SUMXMY2('Tabela Entrada-Saída'!$B$13:$O$13,'Coordenadas dos Polos'!$P$2:$AC$2)))^2)</f>
        <v>8.5501307382944119E-2</v>
      </c>
      <c r="C13">
        <f>EXP(((-1)/(2*'Cálculos Diversos'!$B$5))*(SQRT(SUMXMY2('Tabela Entrada-Saída'!$B$13:$O$13,'Coordenadas dos Polos'!$AD$2:$AQ$2)))^2)</f>
        <v>1.491129071828305E-5</v>
      </c>
      <c r="D13">
        <f>EXP(((-1)/(2*'Cálculos Diversos'!$B$5))*(SQRT(SUMXMY2('Tabela Entrada-Saída'!$B$13:$O$13,'Coordenadas dos Polos'!$AR$2:$BE$2)))^2)</f>
        <v>1.4142917011689877E-3</v>
      </c>
      <c r="E13">
        <f>EXP(((-1)/(2*'Cálculos Diversos'!$B$5))*(SQRT(SUMXMY2('Tabela Entrada-Saída'!$B$13:$O$13,'Coordenadas dos Polos'!$BF$2:$BS$2)))^2)</f>
        <v>1.0843340730141754E-4</v>
      </c>
      <c r="F13">
        <f>EXP(((-1)/(2*'Cálculos Diversos'!$B$5))*(SQRT(SUMXMY2('Tabela Entrada-Saída'!$B$13:$O$13,'Coordenadas dos Polos'!$BT$2:$CG$2)))^2)</f>
        <v>1.9500219566071625E-3</v>
      </c>
      <c r="G13">
        <f>EXP(((-1)/(2*'Cálculos Diversos'!$B$5))*(SQRT(SUMXMY2('Tabela Entrada-Saída'!$B$13:$O$13,'Coordenadas dos Polos'!$CH$2:$CU$2)))^2)</f>
        <v>2.0495446792634783E-5</v>
      </c>
      <c r="H13">
        <f>EXP(((-1)/(2*'Cálculos Diversos'!$B$5))*(SQRT(SUMXMY2('Tabela Entrada-Saída'!$B$13:$O$13,'Coordenadas dos Polos'!$CV$2:$DI$2)))^2)</f>
        <v>3.1512287138108848E-3</v>
      </c>
      <c r="I13">
        <f>EXP(((-1)/(2*'Cálculos Diversos'!$B$5))*(SQRT(SUMXMY2('Tabela Entrada-Saída'!$B$13:$O$13,'Coordenadas dos Polos'!$DJ$2:$DW$2)))^2)</f>
        <v>1.3528814563803746E-6</v>
      </c>
      <c r="J13">
        <f>EXP(((-1)/(2*'Cálculos Diversos'!$B$5))*(SQRT(SUMXMY2('Tabela Entrada-Saída'!$B$13:$O$13,'Coordenadas dos Polos'!$DX$2:$EK$2)))^2)</f>
        <v>8.7902485176564701E-4</v>
      </c>
      <c r="K13">
        <f>EXP(((-1)/(2*'Cálculos Diversos'!$B$5))*(SQRT(SUMXMY2('Tabela Entrada-Saída'!$B$13:$O$13,'Coordenadas dos Polos'!$EL$2:$EY$2)))^2)</f>
        <v>2.5283513172290891E-5</v>
      </c>
      <c r="L13">
        <f>EXP(((-1)/(2*'Cálculos Diversos'!$B$5))*(SQRT(SUMXMY2('Tabela Entrada-Saída'!$B$13:$O$13,'Coordenadas dos Polos'!$EZ$2:$FM$2)))^2)</f>
        <v>8.4146639318205465E-4</v>
      </c>
      <c r="M13">
        <f>EXP(((-1)/(2*'Cálculos Diversos'!$B$5))*(SQRT(SUMXMY2('Tabela Entrada-Saída'!$B$13:$O$13,'Coordenadas dos Polos'!$FN$2:$GA$2)))^2)</f>
        <v>2.5303909259773719E-4</v>
      </c>
      <c r="N13">
        <f>EXP(((-1)/(2*'Cálculos Diversos'!$B$5))*(SQRT(SUMXMY2('Tabela Entrada-Saída'!$B$13:$O$13,'Coordenadas dos Polos'!$GB$2:$GO$2)))^2)</f>
        <v>7.4132216164056559E-3</v>
      </c>
      <c r="O13">
        <f>EXP(((-1)/(2*'Cálculos Diversos'!$B$5))*(SQRT(SUMXMY2('Tabela Entrada-Saída'!$B$13:$O$13,'Coordenadas dos Polos'!$GP$2:$HC$2)))^2)</f>
        <v>1.59054748212199E-5</v>
      </c>
      <c r="P13">
        <v>1</v>
      </c>
    </row>
    <row r="14" spans="1:16" x14ac:dyDescent="0.25">
      <c r="A14">
        <v>13</v>
      </c>
      <c r="B14">
        <f>EXP(((-1)/(2*'Cálculos Diversos'!$B$5))*(SQRT(SUMXMY2('Tabela Entrada-Saída'!$B$14:$O$14,'Coordenadas dos Polos'!$P$2:$AC$2)))^2)</f>
        <v>0.21255432498704374</v>
      </c>
      <c r="C14">
        <f>EXP(((-1)/(2*'Cálculos Diversos'!$B$5))*(SQRT(SUMXMY2('Tabela Entrada-Saída'!$B$14:$O$14,'Coordenadas dos Polos'!$AD$2:$AQ$2)))^2)</f>
        <v>1.9135374178441899E-5</v>
      </c>
      <c r="D14">
        <f>EXP(((-1)/(2*'Cálculos Diversos'!$B$5))*(SQRT(SUMXMY2('Tabela Entrada-Saída'!$B$14:$O$14,'Coordenadas dos Polos'!$AR$2:$BE$2)))^2)</f>
        <v>1.2625321753670549E-3</v>
      </c>
      <c r="E14">
        <f>EXP(((-1)/(2*'Cálculos Diversos'!$B$5))*(SQRT(SUMXMY2('Tabela Entrada-Saída'!$B$14:$O$14,'Coordenadas dos Polos'!$BF$2:$BS$2)))^2)</f>
        <v>1.6786029767432655E-4</v>
      </c>
      <c r="F14">
        <f>EXP(((-1)/(2*'Cálculos Diversos'!$B$5))*(SQRT(SUMXMY2('Tabela Entrada-Saída'!$B$14:$O$14,'Coordenadas dos Polos'!$BT$2:$CG$2)))^2)</f>
        <v>1.7492186108930415E-3</v>
      </c>
      <c r="G14">
        <f>EXP(((-1)/(2*'Cálculos Diversos'!$B$5))*(SQRT(SUMXMY2('Tabela Entrada-Saída'!$B$14:$O$14,'Coordenadas dos Polos'!$CH$2:$CU$2)))^2)</f>
        <v>4.9179961890042407E-5</v>
      </c>
      <c r="H14">
        <f>EXP(((-1)/(2*'Cálculos Diversos'!$B$5))*(SQRT(SUMXMY2('Tabela Entrada-Saída'!$B$14:$O$14,'Coordenadas dos Polos'!$CV$2:$DI$2)))^2)</f>
        <v>4.2686109932318925E-3</v>
      </c>
      <c r="I14">
        <f>EXP(((-1)/(2*'Cálculos Diversos'!$B$5))*(SQRT(SUMXMY2('Tabela Entrada-Saída'!$B$14:$O$14,'Coordenadas dos Polos'!$DJ$2:$DW$2)))^2)</f>
        <v>2.7317491606683434E-6</v>
      </c>
      <c r="J14">
        <f>EXP(((-1)/(2*'Cálculos Diversos'!$B$5))*(SQRT(SUMXMY2('Tabela Entrada-Saída'!$B$14:$O$14,'Coordenadas dos Polos'!$DX$2:$EK$2)))^2)</f>
        <v>1.4145940478512864E-3</v>
      </c>
      <c r="K14">
        <f>EXP(((-1)/(2*'Cálculos Diversos'!$B$5))*(SQRT(SUMXMY2('Tabela Entrada-Saída'!$B$14:$O$14,'Coordenadas dos Polos'!$EL$2:$EY$2)))^2)</f>
        <v>2.225999909754503E-5</v>
      </c>
      <c r="L14">
        <f>EXP(((-1)/(2*'Cálculos Diversos'!$B$5))*(SQRT(SUMXMY2('Tabela Entrada-Saída'!$B$14:$O$14,'Coordenadas dos Polos'!$EZ$2:$FM$2)))^2)</f>
        <v>8.4341656272481731E-4</v>
      </c>
      <c r="M14">
        <f>EXP(((-1)/(2*'Cálculos Diversos'!$B$5))*(SQRT(SUMXMY2('Tabela Entrada-Saída'!$B$14:$O$14,'Coordenadas dos Polos'!$FN$2:$GA$2)))^2)</f>
        <v>3.0992231580174485E-4</v>
      </c>
      <c r="N14">
        <f>EXP(((-1)/(2*'Cálculos Diversos'!$B$5))*(SQRT(SUMXMY2('Tabela Entrada-Saída'!$B$14:$O$14,'Coordenadas dos Polos'!$GB$2:$GO$2)))^2)</f>
        <v>9.2515356526507112E-3</v>
      </c>
      <c r="O14">
        <f>EXP(((-1)/(2*'Cálculos Diversos'!$B$5))*(SQRT(SUMXMY2('Tabela Entrada-Saída'!$B$14:$O$14,'Coordenadas dos Polos'!$GP$2:$HC$2)))^2)</f>
        <v>2.6514432144220189E-5</v>
      </c>
      <c r="P14">
        <v>1</v>
      </c>
    </row>
    <row r="15" spans="1:16" x14ac:dyDescent="0.25">
      <c r="A15">
        <v>14</v>
      </c>
      <c r="B15">
        <f>EXP(((-1)/(2*'Cálculos Diversos'!$B$5))*(SQRT(SUMXMY2('Tabela Entrada-Saída'!$B$15:$O$15,'Coordenadas dos Polos'!$P$2:$AC$2)))^2)</f>
        <v>0.12343605527269358</v>
      </c>
      <c r="C15">
        <f>EXP(((-1)/(2*'Cálculos Diversos'!$B$5))*(SQRT(SUMXMY2('Tabela Entrada-Saída'!$B$15:$O$15,'Coordenadas dos Polos'!$AD$2:$AQ$2)))^2)</f>
        <v>1.684317008478857E-5</v>
      </c>
      <c r="D15">
        <f>EXP(((-1)/(2*'Cálculos Diversos'!$B$5))*(SQRT(SUMXMY2('Tabela Entrada-Saída'!$B$15:$O$15,'Coordenadas dos Polos'!$AR$2:$BE$2)))^2)</f>
        <v>1.4004236482275318E-3</v>
      </c>
      <c r="E15">
        <f>EXP(((-1)/(2*'Cálculos Diversos'!$B$5))*(SQRT(SUMXMY2('Tabela Entrada-Saída'!$B$15:$O$15,'Coordenadas dos Polos'!$BF$2:$BS$2)))^2)</f>
        <v>1.3153488649619022E-4</v>
      </c>
      <c r="F15">
        <f>EXP(((-1)/(2*'Cálculos Diversos'!$B$5))*(SQRT(SUMXMY2('Tabela Entrada-Saída'!$B$15:$O$15,'Coordenadas dos Polos'!$BT$2:$CG$2)))^2)</f>
        <v>1.9355712998549899E-3</v>
      </c>
      <c r="G15">
        <f>EXP(((-1)/(2*'Cálculos Diversos'!$B$5))*(SQRT(SUMXMY2('Tabela Entrada-Saída'!$B$15:$O$15,'Coordenadas dos Polos'!$CH$2:$CU$2)))^2)</f>
        <v>2.9155186319716018E-5</v>
      </c>
      <c r="H15">
        <f>EXP(((-1)/(2*'Cálculos Diversos'!$B$5))*(SQRT(SUMXMY2('Tabela Entrada-Saída'!$B$15:$O$15,'Coordenadas dos Polos'!$CV$2:$DI$2)))^2)</f>
        <v>3.6303803654738334E-3</v>
      </c>
      <c r="I15">
        <f>EXP(((-1)/(2*'Cálculos Diversos'!$B$5))*(SQRT(SUMXMY2('Tabela Entrada-Saída'!$B$15:$O$15,'Coordenadas dos Polos'!$DJ$2:$DW$2)))^2)</f>
        <v>1.7983002622828886E-6</v>
      </c>
      <c r="J15">
        <f>EXP(((-1)/(2*'Cálculos Diversos'!$B$5))*(SQRT(SUMXMY2('Tabela Entrada-Saída'!$B$15:$O$15,'Coordenadas dos Polos'!$DX$2:$EK$2)))^2)</f>
        <v>1.0760019364949086E-3</v>
      </c>
      <c r="K15">
        <f>EXP(((-1)/(2*'Cálculos Diversos'!$B$5))*(SQRT(SUMXMY2('Tabela Entrada-Saída'!$B$15:$O$15,'Coordenadas dos Polos'!$EL$2:$EY$2)))^2)</f>
        <v>2.4822324529010158E-5</v>
      </c>
      <c r="L15">
        <f>EXP(((-1)/(2*'Cálculos Diversos'!$B$5))*(SQRT(SUMXMY2('Tabela Entrada-Saída'!$B$15:$O$15,'Coordenadas dos Polos'!$EZ$2:$FM$2)))^2)</f>
        <v>8.690896723150234E-4</v>
      </c>
      <c r="M15">
        <f>EXP(((-1)/(2*'Cálculos Diversos'!$B$5))*(SQRT(SUMXMY2('Tabela Entrada-Saída'!$B$15:$O$15,'Coordenadas dos Polos'!$FN$2:$GA$2)))^2)</f>
        <v>2.8076717830276032E-4</v>
      </c>
      <c r="N15">
        <f>EXP(((-1)/(2*'Cálculos Diversos'!$B$5))*(SQRT(SUMXMY2('Tabela Entrada-Saída'!$B$15:$O$15,'Coordenadas dos Polos'!$GB$2:$GO$2)))^2)</f>
        <v>8.3126956195475627E-3</v>
      </c>
      <c r="O15">
        <f>EXP(((-1)/(2*'Cálculos Diversos'!$B$5))*(SQRT(SUMXMY2('Tabela Entrada-Saída'!$B$15:$O$15,'Coordenadas dos Polos'!$GP$2:$HC$2)))^2)</f>
        <v>1.9746837646551392E-5</v>
      </c>
      <c r="P15">
        <v>1</v>
      </c>
    </row>
    <row r="16" spans="1:16" x14ac:dyDescent="0.25">
      <c r="A16">
        <v>15</v>
      </c>
      <c r="B16">
        <f>EXP(((-1)/(2*'Cálculos Diversos'!$B$5))*(SQRT(SUMXMY2('Tabela Entrada-Saída'!$B$16:$O$16,'Coordenadas dos Polos'!$P$2:$AC$2)))^2)</f>
        <v>0.15463267349789039</v>
      </c>
      <c r="C16">
        <f>EXP(((-1)/(2*'Cálculos Diversos'!$B$5))*(SQRT(SUMXMY2('Tabela Entrada-Saída'!$B$16:$O$16,'Coordenadas dos Polos'!$AD$2:$AQ$2)))^2)</f>
        <v>1.7998033306317512E-5</v>
      </c>
      <c r="D16">
        <f>EXP(((-1)/(2*'Cálculos Diversos'!$B$5))*(SQRT(SUMXMY2('Tabela Entrada-Saída'!$B$16:$O$16,'Coordenadas dos Polos'!$AR$2:$BE$2)))^2)</f>
        <v>1.3676131006835654E-3</v>
      </c>
      <c r="E16">
        <f>EXP(((-1)/(2*'Cálculos Diversos'!$B$5))*(SQRT(SUMXMY2('Tabela Entrada-Saída'!$B$16:$O$16,'Coordenadas dos Polos'!$BF$2:$BS$2)))^2)</f>
        <v>1.4682299524327057E-4</v>
      </c>
      <c r="F16">
        <f>EXP(((-1)/(2*'Cálculos Diversos'!$B$5))*(SQRT(SUMXMY2('Tabela Entrada-Saída'!$B$16:$O$16,'Coordenadas dos Polos'!$BT$2:$CG$2)))^2)</f>
        <v>1.8901262719621219E-3</v>
      </c>
      <c r="G16">
        <f>EXP(((-1)/(2*'Cálculos Diversos'!$B$5))*(SQRT(SUMXMY2('Tabela Entrada-Saída'!$B$16:$O$16,'Coordenadas dos Polos'!$CH$2:$CU$2)))^2)</f>
        <v>3.6316750649325599E-5</v>
      </c>
      <c r="H16">
        <f>EXP(((-1)/(2*'Cálculos Diversos'!$B$5))*(SQRT(SUMXMY2('Tabela Entrada-Saída'!$B$16:$O$16,'Coordenadas dos Polos'!$CV$2:$DI$2)))^2)</f>
        <v>3.9302255384624282E-3</v>
      </c>
      <c r="I16">
        <f>EXP(((-1)/(2*'Cálculos Diversos'!$B$5))*(SQRT(SUMXMY2('Tabela Entrada-Saída'!$B$16:$O$16,'Coordenadas dos Polos'!$DJ$2:$DW$2)))^2)</f>
        <v>2.1555517973245747E-6</v>
      </c>
      <c r="J16">
        <f>EXP(((-1)/(2*'Cálculos Diversos'!$B$5))*(SQRT(SUMXMY2('Tabela Entrada-Saída'!$B$16:$O$16,'Coordenadas dos Polos'!$DX$2:$EK$2)))^2)</f>
        <v>1.218173751564703E-3</v>
      </c>
      <c r="K16">
        <f>EXP(((-1)/(2*'Cálculos Diversos'!$B$5))*(SQRT(SUMXMY2('Tabela Entrada-Saída'!$B$16:$O$16,'Coordenadas dos Polos'!$EL$2:$EY$2)))^2)</f>
        <v>2.4234628970637636E-5</v>
      </c>
      <c r="L16">
        <f>EXP(((-1)/(2*'Cálculos Diversos'!$B$5))*(SQRT(SUMXMY2('Tabela Entrada-Saída'!$B$16:$O$16,'Coordenadas dos Polos'!$EZ$2:$FM$2)))^2)</f>
        <v>8.7326828919137935E-4</v>
      </c>
      <c r="M16">
        <f>EXP(((-1)/(2*'Cálculos Diversos'!$B$5))*(SQRT(SUMXMY2('Tabela Entrada-Saída'!$B$16:$O$16,'Coordenadas dos Polos'!$FN$2:$GA$2)))^2)</f>
        <v>2.9692261530004841E-4</v>
      </c>
      <c r="N16">
        <f>EXP(((-1)/(2*'Cálculos Diversos'!$B$5))*(SQRT(SUMXMY2('Tabela Entrada-Saída'!$B$16:$O$16,'Coordenadas dos Polos'!$GB$2:$GO$2)))^2)</f>
        <v>8.797256865777342E-3</v>
      </c>
      <c r="O16">
        <f>EXP(((-1)/(2*'Cálculos Diversos'!$B$5))*(SQRT(SUMXMY2('Tabela Entrada-Saída'!$B$16:$O$16,'Coordenadas dos Polos'!$GP$2:$HC$2)))^2)</f>
        <v>2.252138118705844E-5</v>
      </c>
      <c r="P16">
        <v>1</v>
      </c>
    </row>
    <row r="17" spans="1:16" x14ac:dyDescent="0.25">
      <c r="A17">
        <v>16</v>
      </c>
      <c r="B17">
        <f>EXP(((-1)/(2*'Cálculos Diversos'!$B$5))*(SQRT(SUMXMY2('Tabela Entrada-Saída'!$B$17:$O$17,'Coordenadas dos Polos'!$P$2:$AC$2)))^2)</f>
        <v>0.25954435914684204</v>
      </c>
      <c r="C17">
        <f>EXP(((-1)/(2*'Cálculos Diversos'!$B$5))*(SQRT(SUMXMY2('Tabela Entrada-Saída'!$B$17:$O$17,'Coordenadas dos Polos'!$AD$2:$AQ$2)))^2)</f>
        <v>1.9546955611132026E-5</v>
      </c>
      <c r="D17">
        <f>EXP(((-1)/(2*'Cálculos Diversos'!$B$5))*(SQRT(SUMXMY2('Tabela Entrada-Saída'!$B$17:$O$17,'Coordenadas dos Polos'!$AR$2:$BE$2)))^2)</f>
        <v>1.1632111546877166E-3</v>
      </c>
      <c r="E17">
        <f>EXP(((-1)/(2*'Cálculos Diversos'!$B$5))*(SQRT(SUMXMY2('Tabela Entrada-Saída'!$B$17:$O$17,'Coordenadas dos Polos'!$BF$2:$BS$2)))^2)</f>
        <v>1.80183266302816E-4</v>
      </c>
      <c r="F17">
        <f>EXP(((-1)/(2*'Cálculos Diversos'!$B$5))*(SQRT(SUMXMY2('Tabela Entrada-Saída'!$B$17:$O$17,'Coordenadas dos Polos'!$BT$2:$CG$2)))^2)</f>
        <v>1.6154395096583671E-3</v>
      </c>
      <c r="G17">
        <f>EXP(((-1)/(2*'Cálculos Diversos'!$B$5))*(SQRT(SUMXMY2('Tabela Entrada-Saída'!$B$17:$O$17,'Coordenadas dos Polos'!$CH$2:$CU$2)))^2)</f>
        <v>5.9528173851319215E-5</v>
      </c>
      <c r="H17">
        <f>EXP(((-1)/(2*'Cálculos Diversos'!$B$5))*(SQRT(SUMXMY2('Tabela Entrada-Saída'!$B$17:$O$17,'Coordenadas dos Polos'!$CV$2:$DI$2)))^2)</f>
        <v>4.4234118997377673E-3</v>
      </c>
      <c r="I17">
        <f>EXP(((-1)/(2*'Cálculos Diversos'!$B$5))*(SQRT(SUMXMY2('Tabela Entrada-Saída'!$B$17:$O$17,'Coordenadas dos Polos'!$DJ$2:$DW$2)))^2)</f>
        <v>3.1684026975803772E-6</v>
      </c>
      <c r="J17">
        <f>EXP(((-1)/(2*'Cálculos Diversos'!$B$5))*(SQRT(SUMXMY2('Tabela Entrada-Saída'!$B$17:$O$17,'Coordenadas dos Polos'!$DX$2:$EK$2)))^2)</f>
        <v>1.5381202045803232E-3</v>
      </c>
      <c r="K17">
        <f>EXP(((-1)/(2*'Cálculos Diversos'!$B$5))*(SQRT(SUMXMY2('Tabela Entrada-Saída'!$B$17:$O$17,'Coordenadas dos Polos'!$EL$2:$EY$2)))^2)</f>
        <v>2.0487109392400156E-5</v>
      </c>
      <c r="L17">
        <f>EXP(((-1)/(2*'Cálculos Diversos'!$B$5))*(SQRT(SUMXMY2('Tabela Entrada-Saída'!$B$17:$O$17,'Coordenadas dos Polos'!$EZ$2:$FM$2)))^2)</f>
        <v>8.0266052863564379E-4</v>
      </c>
      <c r="M17">
        <f>EXP(((-1)/(2*'Cálculos Diversos'!$B$5))*(SQRT(SUMXMY2('Tabela Entrada-Saída'!$B$17:$O$17,'Coordenadas dos Polos'!$FN$2:$GA$2)))^2)</f>
        <v>3.124605401912971E-4</v>
      </c>
      <c r="N17">
        <f>EXP(((-1)/(2*'Cálculos Diversos'!$B$5))*(SQRT(SUMXMY2('Tabela Entrada-Saída'!$B$17:$O$17,'Coordenadas dos Polos'!$GB$2:$GO$2)))^2)</f>
        <v>9.3459731706334072E-3</v>
      </c>
      <c r="O17">
        <f>EXP(((-1)/(2*'Cálculos Diversos'!$B$5))*(SQRT(SUMXMY2('Tabela Entrada-Saída'!$B$17:$O$17,'Coordenadas dos Polos'!$GP$2:$HC$2)))^2)</f>
        <v>2.9121765431885044E-5</v>
      </c>
      <c r="P17">
        <v>1</v>
      </c>
    </row>
    <row r="18" spans="1:16" x14ac:dyDescent="0.25">
      <c r="A18">
        <v>17</v>
      </c>
      <c r="B18">
        <f>EXP(((-1)/(2*'Cálculos Diversos'!$B$5))*(SQRT(SUMXMY2('Tabela Entrada-Saída'!$B$18:$O$18,'Coordenadas dos Polos'!$P$2:$AC$2)))^2)</f>
        <v>6.3177738402652492E-2</v>
      </c>
      <c r="C18">
        <f>EXP(((-1)/(2*'Cálculos Diversos'!$B$5))*(SQRT(SUMXMY2('Tabela Entrada-Saída'!$B$18:$O$18,'Coordenadas dos Polos'!$AD$2:$AQ$2)))^2)</f>
        <v>1.312299431524264E-5</v>
      </c>
      <c r="D18">
        <f>EXP(((-1)/(2*'Cálculos Diversos'!$B$5))*(SQRT(SUMXMY2('Tabela Entrada-Saída'!$B$18:$O$18,'Coordenadas dos Polos'!$AR$2:$BE$2)))^2)</f>
        <v>1.3807759780835151E-3</v>
      </c>
      <c r="E18">
        <f>EXP(((-1)/(2*'Cálculos Diversos'!$B$5))*(SQRT(SUMXMY2('Tabela Entrada-Saída'!$B$18:$O$18,'Coordenadas dos Polos'!$BF$2:$BS$2)))^2)</f>
        <v>9.1065594969063488E-5</v>
      </c>
      <c r="F18">
        <f>EXP(((-1)/(2*'Cálculos Diversos'!$B$5))*(SQRT(SUMXMY2('Tabela Entrada-Saída'!$B$18:$O$18,'Coordenadas dos Polos'!$BT$2:$CG$2)))^2)</f>
        <v>1.9013740095114244E-3</v>
      </c>
      <c r="G18">
        <f>EXP(((-1)/(2*'Cálculos Diversos'!$B$5))*(SQRT(SUMXMY2('Tabela Entrada-Saída'!$B$18:$O$18,'Coordenadas dos Polos'!$CH$2:$CU$2)))^2)</f>
        <v>1.5248237258503145E-5</v>
      </c>
      <c r="H18">
        <f>EXP(((-1)/(2*'Cálculos Diversos'!$B$5))*(SQRT(SUMXMY2('Tabela Entrada-Saída'!$B$18:$O$18,'Coordenadas dos Polos'!$CV$2:$DI$2)))^2)</f>
        <v>2.7335111246364263E-3</v>
      </c>
      <c r="I18">
        <f>EXP(((-1)/(2*'Cálculos Diversos'!$B$5))*(SQRT(SUMXMY2('Tabela Entrada-Saída'!$B$18:$O$18,'Coordenadas dos Polos'!$DJ$2:$DW$2)))^2)</f>
        <v>1.0455308212421869E-6</v>
      </c>
      <c r="J18">
        <f>EXP(((-1)/(2*'Cálculos Diversos'!$B$5))*(SQRT(SUMXMY2('Tabela Entrada-Saída'!$B$18:$O$18,'Coordenadas dos Polos'!$DX$2:$EK$2)))^2)</f>
        <v>7.248448797008523E-4</v>
      </c>
      <c r="K18">
        <f>EXP(((-1)/(2*'Cálculos Diversos'!$B$5))*(SQRT(SUMXMY2('Tabela Entrada-Saída'!$B$18:$O$18,'Coordenadas dos Polos'!$EL$2:$EY$2)))^2)</f>
        <v>2.462050306158017E-5</v>
      </c>
      <c r="L18">
        <f>EXP(((-1)/(2*'Cálculos Diversos'!$B$5))*(SQRT(SUMXMY2('Tabela Entrada-Saída'!$B$18:$O$18,'Coordenadas dos Polos'!$EZ$2:$FM$2)))^2)</f>
        <v>7.9551885686938691E-4</v>
      </c>
      <c r="M18">
        <f>EXP(((-1)/(2*'Cálculos Diversos'!$B$5))*(SQRT(SUMXMY2('Tabela Entrada-Saída'!$B$18:$O$18,'Coordenadas dos Polos'!$FN$2:$GA$2)))^2)</f>
        <v>2.2552082344621515E-4</v>
      </c>
      <c r="N18">
        <f>EXP(((-1)/(2*'Cálculos Diversos'!$B$5))*(SQRT(SUMXMY2('Tabela Entrada-Saída'!$B$18:$O$18,'Coordenadas dos Polos'!$GB$2:$GO$2)))^2)</f>
        <v>6.615465639054993E-3</v>
      </c>
      <c r="O18">
        <f>EXP(((-1)/(2*'Cálculos Diversos'!$B$5))*(SQRT(SUMXMY2('Tabela Entrada-Saída'!$B$18:$O$18,'Coordenadas dos Polos'!$GP$2:$HC$2)))^2)</f>
        <v>1.3002457907987336E-5</v>
      </c>
      <c r="P18">
        <v>1</v>
      </c>
    </row>
    <row r="19" spans="1:16" x14ac:dyDescent="0.25">
      <c r="A19">
        <v>18</v>
      </c>
      <c r="B19">
        <f>EXP(((-1)/(2*'Cálculos Diversos'!$B$5))*(SQRT(SUMXMY2('Tabela Entrada-Saída'!$B$19:$O$19,'Coordenadas dos Polos'!$P$2:$AC$2)))^2)</f>
        <v>0.14880207630135378</v>
      </c>
      <c r="C19">
        <f>EXP(((-1)/(2*'Cálculos Diversos'!$B$5))*(SQRT(SUMXMY2('Tabela Entrada-Saída'!$B$19:$O$19,'Coordenadas dos Polos'!$AD$2:$AQ$2)))^2)</f>
        <v>1.7805933426364194E-5</v>
      </c>
      <c r="D19">
        <f>EXP(((-1)/(2*'Cálculos Diversos'!$B$5))*(SQRT(SUMXMY2('Tabela Entrada-Saída'!$B$19:$O$19,'Coordenadas dos Polos'!$AR$2:$BE$2)))^2)</f>
        <v>1.3751325292015622E-3</v>
      </c>
      <c r="E19">
        <f>EXP(((-1)/(2*'Cálculos Diversos'!$B$5))*(SQRT(SUMXMY2('Tabela Entrada-Saída'!$B$19:$O$19,'Coordenadas dos Polos'!$BF$2:$BS$2)))^2)</f>
        <v>1.4421171546403504E-4</v>
      </c>
      <c r="F19">
        <f>EXP(((-1)/(2*'Cálculos Diversos'!$B$5))*(SQRT(SUMXMY2('Tabela Entrada-Saída'!$B$19:$O$19,'Coordenadas dos Polos'!$BT$2:$CG$2)))^2)</f>
        <v>1.9002189462097203E-3</v>
      </c>
      <c r="G19">
        <f>EXP(((-1)/(2*'Cálculos Diversos'!$B$5))*(SQRT(SUMXMY2('Tabela Entrada-Saída'!$B$19:$O$19,'Coordenadas dos Polos'!$CH$2:$CU$2)))^2)</f>
        <v>3.4997485721815542E-5</v>
      </c>
      <c r="H19">
        <f>EXP(((-1)/(2*'Cálculos Diversos'!$B$5))*(SQRT(SUMXMY2('Tabela Entrada-Saída'!$B$19:$O$19,'Coordenadas dos Polos'!$CV$2:$DI$2)))^2)</f>
        <v>3.8776898572196673E-3</v>
      </c>
      <c r="I19">
        <f>EXP(((-1)/(2*'Cálculos Diversos'!$B$5))*(SQRT(SUMXMY2('Tabela Entrada-Saída'!$B$19:$O$19,'Coordenadas dos Polos'!$DJ$2:$DW$2)))^2)</f>
        <v>2.0881551087341061E-6</v>
      </c>
      <c r="J19">
        <f>EXP(((-1)/(2*'Cálculos Diversos'!$B$5))*(SQRT(SUMXMY2('Tabela Entrada-Saída'!$B$19:$O$19,'Coordenadas dos Polos'!$DX$2:$EK$2)))^2)</f>
        <v>1.1914095110485839E-3</v>
      </c>
      <c r="K19">
        <f>EXP(((-1)/(2*'Cálculos Diversos'!$B$5))*(SQRT(SUMXMY2('Tabela Entrada-Saída'!$B$19:$O$19,'Coordenadas dos Polos'!$EL$2:$EY$2)))^2)</f>
        <v>2.4341500154583032E-5</v>
      </c>
      <c r="L19">
        <f>EXP(((-1)/(2*'Cálculos Diversos'!$B$5))*(SQRT(SUMXMY2('Tabela Entrada-Saída'!$B$19:$O$19,'Coordenadas dos Polos'!$EZ$2:$FM$2)))^2)</f>
        <v>8.7345877622891862E-4</v>
      </c>
      <c r="M19">
        <f>EXP(((-1)/(2*'Cálculos Diversos'!$B$5))*(SQRT(SUMXMY2('Tabela Entrada-Saída'!$B$19:$O$19,'Coordenadas dos Polos'!$FN$2:$GA$2)))^2)</f>
        <v>2.9431143579846503E-4</v>
      </c>
      <c r="N19">
        <f>EXP(((-1)/(2*'Cálculos Diversos'!$B$5))*(SQRT(SUMXMY2('Tabela Entrada-Saída'!$B$19:$O$19,'Coordenadas dos Polos'!$GB$2:$GO$2)))^2)</f>
        <v>8.7242747267231129E-3</v>
      </c>
      <c r="O19">
        <f>EXP(((-1)/(2*'Cálculos Diversos'!$B$5))*(SQRT(SUMXMY2('Tabela Entrada-Saída'!$B$19:$O$19,'Coordenadas dos Polos'!$GP$2:$HC$2)))^2)</f>
        <v>2.2004370106047028E-5</v>
      </c>
      <c r="P19">
        <v>1</v>
      </c>
    </row>
    <row r="20" spans="1:16" x14ac:dyDescent="0.25">
      <c r="A20">
        <v>19</v>
      </c>
      <c r="B20">
        <f>EXP(((-1)/(2*'Cálculos Diversos'!$B$5))*(SQRT(SUMXMY2('Tabela Entrada-Saída'!$B$20:$O$20,'Coordenadas dos Polos'!$P$2:$AC$2)))^2)</f>
        <v>0.17746915995835172</v>
      </c>
      <c r="C20">
        <f>EXP(((-1)/(2*'Cálculos Diversos'!$B$5))*(SQRT(SUMXMY2('Tabela Entrada-Saída'!$B$20:$O$20,'Coordenadas dos Polos'!$AD$2:$AQ$2)))^2)</f>
        <v>1.8575317864375491E-5</v>
      </c>
      <c r="D20">
        <f>EXP(((-1)/(2*'Cálculos Diversos'!$B$5))*(SQRT(SUMXMY2('Tabela Entrada-Saída'!$B$20:$O$20,'Coordenadas dos Polos'!$AR$2:$BE$2)))^2)</f>
        <v>1.3289775498053222E-3</v>
      </c>
      <c r="E20">
        <f>EXP(((-1)/(2*'Cálculos Diversos'!$B$5))*(SQRT(SUMXMY2('Tabela Entrada-Saída'!$B$20:$O$20,'Coordenadas dos Polos'!$BF$2:$BS$2)))^2)</f>
        <v>1.5619625109914169E-4</v>
      </c>
      <c r="F20">
        <f>EXP(((-1)/(2*'Cálculos Diversos'!$B$5))*(SQRT(SUMXMY2('Tabela Entrada-Saída'!$B$20:$O$20,'Coordenadas dos Polos'!$BT$2:$CG$2)))^2)</f>
        <v>1.8406073286106361E-3</v>
      </c>
      <c r="G20">
        <f>EXP(((-1)/(2*'Cálculos Diversos'!$B$5))*(SQRT(SUMXMY2('Tabela Entrada-Saída'!$B$20:$O$20,'Coordenadas dos Polos'!$CH$2:$CU$2)))^2)</f>
        <v>4.140840840465121E-5</v>
      </c>
      <c r="H20">
        <f>EXP(((-1)/(2*'Cálculos Diversos'!$B$5))*(SQRT(SUMXMY2('Tabela Entrada-Saída'!$B$20:$O$20,'Coordenadas dos Polos'!$CV$2:$DI$2)))^2)</f>
        <v>4.0902392813191892E-3</v>
      </c>
      <c r="I20">
        <f>EXP(((-1)/(2*'Cálculos Diversos'!$B$5))*(SQRT(SUMXMY2('Tabela Entrada-Saída'!$B$20:$O$20,'Coordenadas dos Polos'!$DJ$2:$DW$2)))^2)</f>
        <v>2.3919149968070523E-6</v>
      </c>
      <c r="J20">
        <f>EXP(((-1)/(2*'Cálculos Diversos'!$B$5))*(SQRT(SUMXMY2('Tabela Entrada-Saída'!$B$20:$O$20,'Coordenadas dos Polos'!$DX$2:$EK$2)))^2)</f>
        <v>1.3019999898370505E-3</v>
      </c>
      <c r="K20">
        <f>EXP(((-1)/(2*'Cálculos Diversos'!$B$5))*(SQRT(SUMXMY2('Tabela Entrada-Saída'!$B$20:$O$20,'Coordenadas dos Polos'!$EL$2:$EY$2)))^2)</f>
        <v>2.3493348417340643E-5</v>
      </c>
      <c r="L20">
        <f>EXP(((-1)/(2*'Cálculos Diversos'!$B$5))*(SQRT(SUMXMY2('Tabela Entrada-Saída'!$B$20:$O$20,'Coordenadas dos Polos'!$EZ$2:$FM$2)))^2)</f>
        <v>8.6478130061703649E-4</v>
      </c>
      <c r="M20">
        <f>EXP(((-1)/(2*'Cálculos Diversos'!$B$5))*(SQRT(SUMXMY2('Tabela Entrada-Saída'!$B$20:$O$20,'Coordenadas dos Polos'!$FN$2:$GA$2)))^2)</f>
        <v>3.0389963803913905E-4</v>
      </c>
      <c r="N20">
        <f>EXP(((-1)/(2*'Cálculos Diversos'!$B$5))*(SQRT(SUMXMY2('Tabela Entrada-Saída'!$B$20:$O$20,'Coordenadas dos Polos'!$GB$2:$GO$2)))^2)</f>
        <v>9.0336273649892461E-3</v>
      </c>
      <c r="O20">
        <f>EXP(((-1)/(2*'Cálculos Diversos'!$B$5))*(SQRT(SUMXMY2('Tabela Entrada-Saída'!$B$20:$O$20,'Coordenadas dos Polos'!$GP$2:$HC$2)))^2)</f>
        <v>2.4233277704430171E-5</v>
      </c>
      <c r="P20">
        <v>1</v>
      </c>
    </row>
    <row r="21" spans="1:16" x14ac:dyDescent="0.25">
      <c r="A21">
        <v>20</v>
      </c>
      <c r="B21">
        <f>EXP(((-1)/(2*'Cálculos Diversos'!$B$5))*(SQRT(SUMXMY2('Tabela Entrada-Saída'!$B$21:$O$21,'Coordenadas dos Polos'!$P$2:$AC$2)))^2)</f>
        <v>0.26500202209811952</v>
      </c>
      <c r="C21">
        <f>EXP(((-1)/(2*'Cálculos Diversos'!$B$5))*(SQRT(SUMXMY2('Tabela Entrada-Saída'!$B$21:$O$21,'Coordenadas dos Polos'!$AD$2:$AQ$2)))^2)</f>
        <v>1.9631625430650895E-5</v>
      </c>
      <c r="D21">
        <f>EXP(((-1)/(2*'Cálculos Diversos'!$B$5))*(SQRT(SUMXMY2('Tabela Entrada-Saída'!$B$21:$O$21,'Coordenadas dos Polos'!$AR$2:$BE$2)))^2)</f>
        <v>1.1539562422297465E-3</v>
      </c>
      <c r="E21">
        <f>EXP(((-1)/(2*'Cálculos Diversos'!$B$5))*(SQRT(SUMXMY2('Tabela Entrada-Saída'!$B$21:$O$21,'Coordenadas dos Polos'!$BF$2:$BS$2)))^2)</f>
        <v>1.8158885324780533E-4</v>
      </c>
      <c r="F21">
        <f>EXP(((-1)/(2*'Cálculos Diversos'!$B$5))*(SQRT(SUMXMY2('Tabela Entrada-Saída'!$B$21:$O$21,'Coordenadas dos Polos'!$BT$2:$CG$2)))^2)</f>
        <v>1.6020575976970508E-3</v>
      </c>
      <c r="G21">
        <f>EXP(((-1)/(2*'Cálculos Diversos'!$B$5))*(SQRT(SUMXMY2('Tabela Entrada-Saída'!$B$21:$O$21,'Coordenadas dos Polos'!$CH$2:$CU$2)))^2)</f>
        <v>6.08751978801612E-5</v>
      </c>
      <c r="H21">
        <f>EXP(((-1)/(2*'Cálculos Diversos'!$B$5))*(SQRT(SUMXMY2('Tabela Entrada-Saída'!$B$21:$O$21,'Coordenadas dos Polos'!$CV$2:$DI$2)))^2)</f>
        <v>4.446903579528266E-3</v>
      </c>
      <c r="I21">
        <f>EXP(((-1)/(2*'Cálculos Diversos'!$B$5))*(SQRT(SUMXMY2('Tabela Entrada-Saída'!$B$21:$O$21,'Coordenadas dos Polos'!$DJ$2:$DW$2)))^2)</f>
        <v>3.2334939982416433E-6</v>
      </c>
      <c r="J21">
        <f>EXP(((-1)/(2*'Cálculos Diversos'!$B$5))*(SQRT(SUMXMY2('Tabela Entrada-Saída'!$B$21:$O$21,'Coordenadas dos Polos'!$DX$2:$EK$2)))^2)</f>
        <v>1.556119126070198E-3</v>
      </c>
      <c r="K21">
        <f>EXP(((-1)/(2*'Cálculos Diversos'!$B$5))*(SQRT(SUMXMY2('Tabela Entrada-Saída'!$B$21:$O$21,'Coordenadas dos Polos'!$EL$2:$EY$2)))^2)</f>
        <v>2.0358785959990393E-5</v>
      </c>
      <c r="L21">
        <f>EXP(((-1)/(2*'Cálculos Diversos'!$B$5))*(SQRT(SUMXMY2('Tabela Entrada-Saída'!$B$21:$O$21,'Coordenadas dos Polos'!$EZ$2:$FM$2)))^2)</f>
        <v>7.9931991027662507E-4</v>
      </c>
      <c r="M21">
        <f>EXP(((-1)/(2*'Cálculos Diversos'!$B$5))*(SQRT(SUMXMY2('Tabela Entrada-Saída'!$B$21:$O$21,'Coordenadas dos Polos'!$FN$2:$GA$2)))^2)</f>
        <v>3.1373935956765755E-4</v>
      </c>
      <c r="N21">
        <f>EXP(((-1)/(2*'Cálculos Diversos'!$B$5))*(SQRT(SUMXMY2('Tabela Entrada-Saída'!$B$21:$O$21,'Coordenadas dos Polos'!$GB$2:$GO$2)))^2)</f>
        <v>9.3543459018617086E-3</v>
      </c>
      <c r="O21">
        <f>EXP(((-1)/(2*'Cálculos Diversos'!$B$5))*(SQRT(SUMXMY2('Tabela Entrada-Saída'!$B$21:$O$21,'Coordenadas dos Polos'!$GP$2:$HC$2)))^2)</f>
        <v>2.9476001917126374E-5</v>
      </c>
      <c r="P21">
        <v>1</v>
      </c>
    </row>
    <row r="22" spans="1:16" x14ac:dyDescent="0.25">
      <c r="A22">
        <v>21</v>
      </c>
      <c r="B22">
        <f>EXP(((-1)/(2*'Cálculos Diversos'!$B$5))*(SQRT(SUMXMY2('Tabela Entrada-Saída'!$B$22:$O$22,'Coordenadas dos Polos'!$P$2:$AC$2)))^2)</f>
        <v>0.13537817437796362</v>
      </c>
      <c r="C22">
        <f>EXP(((-1)/(2*'Cálculos Diversos'!$B$5))*(SQRT(SUMXMY2('Tabela Entrada-Saída'!$B$22:$O$22,'Coordenadas dos Polos'!$AD$2:$AQ$2)))^2)</f>
        <v>1.7346593946529481E-5</v>
      </c>
      <c r="D22">
        <f>EXP(((-1)/(2*'Cálculos Diversos'!$B$5))*(SQRT(SUMXMY2('Tabela Entrada-Saída'!$B$22:$O$22,'Coordenadas dos Polos'!$AR$2:$BE$2)))^2)</f>
        <v>1.3905564426392734E-3</v>
      </c>
      <c r="E22">
        <f>EXP(((-1)/(2*'Cálculos Diversos'!$B$5))*(SQRT(SUMXMY2('Tabela Entrada-Saída'!$B$22:$O$22,'Coordenadas dos Polos'!$BF$2:$BS$2)))^2)</f>
        <v>1.3779134445002073E-4</v>
      </c>
      <c r="F22">
        <f>EXP(((-1)/(2*'Cálculos Diversos'!$B$5))*(SQRT(SUMXMY2('Tabela Entrada-Saída'!$B$22:$O$22,'Coordenadas dos Polos'!$BT$2:$CG$2)))^2)</f>
        <v>1.9217816604021403E-3</v>
      </c>
      <c r="G22">
        <f>EXP(((-1)/(2*'Cálculos Diversos'!$B$5))*(SQRT(SUMXMY2('Tabela Entrada-Saída'!$B$22:$O$22,'Coordenadas dos Polos'!$CH$2:$CU$2)))^2)</f>
        <v>3.1902507534771989E-5</v>
      </c>
      <c r="H22">
        <f>EXP(((-1)/(2*'Cálculos Diversos'!$B$5))*(SQRT(SUMXMY2('Tabela Entrada-Saída'!$B$22:$O$22,'Coordenadas dos Polos'!$CV$2:$DI$2)))^2)</f>
        <v>3.7585497193923243E-3</v>
      </c>
      <c r="I22">
        <f>EXP(((-1)/(2*'Cálculos Diversos'!$B$5))*(SQRT(SUMXMY2('Tabela Entrada-Saída'!$B$22:$O$22,'Coordenadas dos Polos'!$DJ$2:$DW$2)))^2)</f>
        <v>1.9402157946670274E-6</v>
      </c>
      <c r="J22">
        <f>EXP(((-1)/(2*'Cálculos Diversos'!$B$5))*(SQRT(SUMXMY2('Tabela Entrada-Saída'!$B$22:$O$22,'Coordenadas dos Polos'!$DX$2:$EK$2)))^2)</f>
        <v>1.134569465106944E-3</v>
      </c>
      <c r="K22">
        <f>EXP(((-1)/(2*'Cálculos Diversos'!$B$5))*(SQRT(SUMXMY2('Tabela Entrada-Saída'!$B$22:$O$22,'Coordenadas dos Polos'!$EL$2:$EY$2)))^2)</f>
        <v>2.4668392676294579E-5</v>
      </c>
      <c r="L22">
        <f>EXP(((-1)/(2*'Cálculos Diversos'!$B$5))*(SQRT(SUMXMY2('Tabela Entrada-Saída'!$B$22:$O$22,'Coordenadas dos Polos'!$EZ$2:$FM$2)))^2)</f>
        <v>8.725517065395035E-4</v>
      </c>
      <c r="M22">
        <f>EXP(((-1)/(2*'Cálculos Diversos'!$B$5))*(SQRT(SUMXMY2('Tabela Entrada-Saída'!$B$22:$O$22,'Coordenadas dos Polos'!$FN$2:$GA$2)))^2)</f>
        <v>2.8776642174520512E-4</v>
      </c>
      <c r="N22">
        <f>EXP(((-1)/(2*'Cálculos Diversos'!$B$5))*(SQRT(SUMXMY2('Tabela Entrada-Saída'!$B$22:$O$22,'Coordenadas dos Polos'!$GB$2:$GO$2)))^2)</f>
        <v>8.5214577634078817E-3</v>
      </c>
      <c r="O22">
        <f>EXP(((-1)/(2*'Cálculos Diversos'!$B$5))*(SQRT(SUMXMY2('Tabela Entrada-Saída'!$B$22:$O$22,'Coordenadas dos Polos'!$GP$2:$HC$2)))^2)</f>
        <v>2.0884216076157267E-5</v>
      </c>
      <c r="P22">
        <v>1</v>
      </c>
    </row>
    <row r="23" spans="1:16" x14ac:dyDescent="0.25">
      <c r="A23">
        <v>22</v>
      </c>
      <c r="B23">
        <f>EXP(((-1)/(2*'Cálculos Diversos'!$B$5))*(SQRT(SUMXMY2('Tabela Entrada-Saída'!$B$23:$O$23,'Coordenadas dos Polos'!$P$2:$AC$2)))^2)</f>
        <v>0.23574286905332276</v>
      </c>
      <c r="C23">
        <f>EXP(((-1)/(2*'Cálculos Diversos'!$B$5))*(SQRT(SUMXMY2('Tabela Entrada-Saída'!$B$23:$O$23,'Coordenadas dos Polos'!$AD$2:$AQ$2)))^2)</f>
        <v>1.9457642298218542E-5</v>
      </c>
      <c r="D23">
        <f>EXP(((-1)/(2*'Cálculos Diversos'!$B$5))*(SQRT(SUMXMY2('Tabela Entrada-Saída'!$B$23:$O$23,'Coordenadas dos Polos'!$AR$2:$BE$2)))^2)</f>
        <v>1.2166564794952029E-3</v>
      </c>
      <c r="E23">
        <f>EXP(((-1)/(2*'Cálculos Diversos'!$B$5))*(SQRT(SUMXMY2('Tabela Entrada-Saída'!$B$23:$O$23,'Coordenadas dos Polos'!$BF$2:$BS$2)))^2)</f>
        <v>1.7465883574947918E-4</v>
      </c>
      <c r="F23">
        <f>EXP(((-1)/(2*'Cálculos Diversos'!$B$5))*(SQRT(SUMXMY2('Tabela Entrada-Saída'!$B$23:$O$23,'Coordenadas dos Polos'!$BT$2:$CG$2)))^2)</f>
        <v>1.6879332849875721E-3</v>
      </c>
      <c r="G23">
        <f>EXP(((-1)/(2*'Cálculos Diversos'!$B$5))*(SQRT(SUMXMY2('Tabela Entrada-Saída'!$B$23:$O$23,'Coordenadas dos Polos'!$CH$2:$CU$2)))^2)</f>
        <v>5.4376679158020908E-5</v>
      </c>
      <c r="H23">
        <f>EXP(((-1)/(2*'Cálculos Diversos'!$B$5))*(SQRT(SUMXMY2('Tabela Entrada-Saída'!$B$23:$O$23,'Coordenadas dos Polos'!$CV$2:$DI$2)))^2)</f>
        <v>4.3706978108408899E-3</v>
      </c>
      <c r="I23">
        <f>EXP(((-1)/(2*'Cálculos Diversos'!$B$5))*(SQRT(SUMXMY2('Tabela Entrada-Saída'!$B$23:$O$23,'Coordenadas dos Polos'!$DJ$2:$DW$2)))^2)</f>
        <v>2.9672670933773213E-6</v>
      </c>
      <c r="J23">
        <f>EXP(((-1)/(2*'Cálculos Diversos'!$B$5))*(SQRT(SUMXMY2('Tabela Entrada-Saída'!$B$23:$O$23,'Coordenadas dos Polos'!$DX$2:$EK$2)))^2)</f>
        <v>1.4855836834027417E-3</v>
      </c>
      <c r="K23">
        <f>EXP(((-1)/(2*'Cálculos Diversos'!$B$5))*(SQRT(SUMXMY2('Tabela Entrada-Saída'!$B$23:$O$23,'Coordenadas dos Polos'!$EL$2:$EY$2)))^2)</f>
        <v>2.1491097824565124E-5</v>
      </c>
      <c r="L23">
        <f>EXP(((-1)/(2*'Cálculos Diversos'!$B$5))*(SQRT(SUMXMY2('Tabela Entrada-Saída'!$B$23:$O$23,'Coordenadas dos Polos'!$EZ$2:$FM$2)))^2)</f>
        <v>8.2643496765250784E-4</v>
      </c>
      <c r="M23">
        <f>EXP(((-1)/(2*'Cálculos Diversos'!$B$5))*(SQRT(SUMXMY2('Tabela Entrada-Saída'!$B$23:$O$23,'Coordenadas dos Polos'!$FN$2:$GA$2)))^2)</f>
        <v>3.1318721341247431E-4</v>
      </c>
      <c r="N23">
        <f>EXP(((-1)/(2*'Cálculos Diversos'!$B$5))*(SQRT(SUMXMY2('Tabela Entrada-Saída'!$B$23:$O$23,'Coordenadas dos Polos'!$GB$2:$GO$2)))^2)</f>
        <v>9.3306566651285318E-3</v>
      </c>
      <c r="O23">
        <f>EXP(((-1)/(2*'Cálculos Diversos'!$B$5))*(SQRT(SUMXMY2('Tabela Entrada-Saída'!$B$23:$O$23,'Coordenadas dos Polos'!$GP$2:$HC$2)))^2)</f>
        <v>2.7977664212246341E-5</v>
      </c>
      <c r="P23">
        <v>1</v>
      </c>
    </row>
    <row r="24" spans="1:16" x14ac:dyDescent="0.25">
      <c r="A24">
        <v>23</v>
      </c>
      <c r="B24">
        <f>EXP(((-1)/(2*'Cálculos Diversos'!$B$5))*(SQRT(SUMXMY2('Tabela Entrada-Saída'!$B$24:$O$24,'Coordenadas dos Polos'!$P$2:$AC$2)))^2)</f>
        <v>0.1339195656911675</v>
      </c>
      <c r="C24">
        <f>EXP(((-1)/(2*'Cálculos Diversos'!$B$5))*(SQRT(SUMXMY2('Tabela Entrada-Saída'!$B$24:$O$24,'Coordenadas dos Polos'!$AD$2:$AQ$2)))^2)</f>
        <v>1.727572395162873E-5</v>
      </c>
      <c r="D24">
        <f>EXP(((-1)/(2*'Cálculos Diversos'!$B$5))*(SQRT(SUMXMY2('Tabela Entrada-Saída'!$B$24:$O$24,'Coordenadas dos Polos'!$AR$2:$BE$2)))^2)</f>
        <v>1.3908860110319425E-3</v>
      </c>
      <c r="E24">
        <f>EXP(((-1)/(2*'Cálculos Diversos'!$B$5))*(SQRT(SUMXMY2('Tabela Entrada-Saída'!$B$24:$O$24,'Coordenadas dos Polos'!$BF$2:$BS$2)))^2)</f>
        <v>1.3700373649490314E-4</v>
      </c>
      <c r="F24">
        <f>EXP(((-1)/(2*'Cálculos Diversos'!$B$5))*(SQRT(SUMXMY2('Tabela Entrada-Saída'!$B$24:$O$24,'Coordenadas dos Polos'!$BT$2:$CG$2)))^2)</f>
        <v>1.9229961984178904E-3</v>
      </c>
      <c r="G24">
        <f>EXP(((-1)/(2*'Cálculos Diversos'!$B$5))*(SQRT(SUMXMY2('Tabela Entrada-Saída'!$B$24:$O$24,'Coordenadas dos Polos'!$CH$2:$CU$2)))^2)</f>
        <v>3.154549655824012E-5</v>
      </c>
      <c r="H24">
        <f>EXP(((-1)/(2*'Cálculos Diversos'!$B$5))*(SQRT(SUMXMY2('Tabela Entrada-Saída'!$B$24:$O$24,'Coordenadas dos Polos'!$CV$2:$DI$2)))^2)</f>
        <v>3.7413714831135182E-3</v>
      </c>
      <c r="I24">
        <f>EXP(((-1)/(2*'Cálculos Diversos'!$B$5))*(SQRT(SUMXMY2('Tabela Entrada-Saída'!$B$24:$O$24,'Coordenadas dos Polos'!$DJ$2:$DW$2)))^2)</f>
        <v>1.9206994806787147E-6</v>
      </c>
      <c r="J24">
        <f>EXP(((-1)/(2*'Cálculos Diversos'!$B$5))*(SQRT(SUMXMY2('Tabela Entrada-Saída'!$B$24:$O$24,'Coordenadas dos Polos'!$DX$2:$EK$2)))^2)</f>
        <v>1.1265677562056671E-3</v>
      </c>
      <c r="K24">
        <f>EXP(((-1)/(2*'Cálculos Diversos'!$B$5))*(SQRT(SUMXMY2('Tabela Entrada-Saída'!$B$24:$O$24,'Coordenadas dos Polos'!$EL$2:$EY$2)))^2)</f>
        <v>2.4659894069593333E-5</v>
      </c>
      <c r="L24">
        <f>EXP(((-1)/(2*'Cálculos Diversos'!$B$5))*(SQRT(SUMXMY2('Tabela Entrada-Saída'!$B$24:$O$24,'Coordenadas dos Polos'!$EZ$2:$FM$2)))^2)</f>
        <v>8.7182200922977142E-4</v>
      </c>
      <c r="M24">
        <f>EXP(((-1)/(2*'Cálculos Diversos'!$B$5))*(SQRT(SUMXMY2('Tabela Entrada-Saída'!$B$24:$O$24,'Coordenadas dos Polos'!$FN$2:$GA$2)))^2)</f>
        <v>2.8675287714016398E-4</v>
      </c>
      <c r="N24">
        <f>EXP(((-1)/(2*'Cálculos Diversos'!$B$5))*(SQRT(SUMXMY2('Tabela Entrada-Saída'!$B$24:$O$24,'Coordenadas dos Polos'!$GB$2:$GO$2)))^2)</f>
        <v>8.4947691585773692E-3</v>
      </c>
      <c r="O24">
        <f>EXP(((-1)/(2*'Cálculos Diversos'!$B$5))*(SQRT(SUMXMY2('Tabela Entrada-Saída'!$B$24:$O$24,'Coordenadas dos Polos'!$GP$2:$HC$2)))^2)</f>
        <v>2.0733498263610384E-5</v>
      </c>
      <c r="P24">
        <v>1</v>
      </c>
    </row>
    <row r="25" spans="1:16" x14ac:dyDescent="0.25">
      <c r="A25">
        <v>24</v>
      </c>
      <c r="B25">
        <f>EXP(((-1)/(2*'Cálculos Diversos'!$B$5))*(SQRT(SUMXMY2('Tabela Entrada-Saída'!$B$25:$O$25,'Coordenadas dos Polos'!$P$2:$AC$2)))^2)</f>
        <v>0.10557782129057851</v>
      </c>
      <c r="C25">
        <f>EXP(((-1)/(2*'Cálculos Diversos'!$B$5))*(SQRT(SUMXMY2('Tabela Entrada-Saída'!$B$25:$O$25,'Coordenadas dos Polos'!$AD$2:$AQ$2)))^2)</f>
        <v>1.601145292038661E-5</v>
      </c>
      <c r="D25">
        <f>EXP(((-1)/(2*'Cálculos Diversos'!$B$5))*(SQRT(SUMXMY2('Tabela Entrada-Saída'!$B$25:$O$25,'Coordenadas dos Polos'!$AR$2:$BE$2)))^2)</f>
        <v>1.4128876729804351E-3</v>
      </c>
      <c r="E25">
        <f>EXP(((-1)/(2*'Cálculos Diversos'!$B$5))*(SQRT(SUMXMY2('Tabela Entrada-Saída'!$B$25:$O$25,'Coordenadas dos Polos'!$BF$2:$BS$2)))^2)</f>
        <v>1.2134635615718903E-4</v>
      </c>
      <c r="F25">
        <f>EXP(((-1)/(2*'Cálculos Diversos'!$B$5))*(SQRT(SUMXMY2('Tabela Entrada-Saída'!$B$25:$O$25,'Coordenadas dos Polos'!$BT$2:$CG$2)))^2)</f>
        <v>1.9495655353946257E-3</v>
      </c>
      <c r="G25">
        <f>EXP(((-1)/(2*'Cálculos Diversos'!$B$5))*(SQRT(SUMXMY2('Tabela Entrada-Saída'!$B$25:$O$25,'Coordenadas dos Polos'!$CH$2:$CU$2)))^2)</f>
        <v>2.5099328969277872E-5</v>
      </c>
      <c r="H25">
        <f>EXP(((-1)/(2*'Cálculos Diversos'!$B$5))*(SQRT(SUMXMY2('Tabela Entrada-Saída'!$B$25:$O$25,'Coordenadas dos Polos'!$CV$2:$DI$2)))^2)</f>
        <v>3.421639224593626E-3</v>
      </c>
      <c r="I25">
        <f>EXP(((-1)/(2*'Cálculos Diversos'!$B$5))*(SQRT(SUMXMY2('Tabela Entrada-Saída'!$B$25:$O$25,'Coordenadas dos Polos'!$DJ$2:$DW$2)))^2)</f>
        <v>1.5898791404939502E-6</v>
      </c>
      <c r="J25">
        <f>EXP(((-1)/(2*'Cálculos Diversos'!$B$5))*(SQRT(SUMXMY2('Tabela Entrada-Saída'!$B$25:$O$25,'Coordenadas dos Polos'!$DX$2:$EK$2)))^2)</f>
        <v>9.8692609403383557E-4</v>
      </c>
      <c r="K25">
        <f>EXP(((-1)/(2*'Cálculos Diversos'!$B$5))*(SQRT(SUMXMY2('Tabela Entrada-Saída'!$B$25:$O$25,'Coordenadas dos Polos'!$EL$2:$EY$2)))^2)</f>
        <v>2.5089493806350793E-5</v>
      </c>
      <c r="L25">
        <f>EXP(((-1)/(2*'Cálculos Diversos'!$B$5))*(SQRT(SUMXMY2('Tabela Entrada-Saída'!$B$25:$O$25,'Coordenadas dos Polos'!$EZ$2:$FM$2)))^2)</f>
        <v>8.606478777671905E-4</v>
      </c>
      <c r="M25">
        <f>EXP(((-1)/(2*'Cálculos Diversos'!$B$5))*(SQRT(SUMXMY2('Tabela Entrada-Saída'!$B$25:$O$25,'Coordenadas dos Polos'!$FN$2:$GA$2)))^2)</f>
        <v>2.6913802020775098E-4</v>
      </c>
      <c r="N25">
        <f>EXP(((-1)/(2*'Cálculos Diversos'!$B$5))*(SQRT(SUMXMY2('Tabela Entrada-Saída'!$B$25:$O$25,'Coordenadas dos Polos'!$GB$2:$GO$2)))^2)</f>
        <v>7.9436730842481693E-3</v>
      </c>
      <c r="O25">
        <f>EXP(((-1)/(2*'Cálculos Diversos'!$B$5))*(SQRT(SUMXMY2('Tabela Entrada-Saída'!$B$25:$O$25,'Coordenadas dos Polos'!$GP$2:$HC$2)))^2)</f>
        <v>1.7997259047354711E-5</v>
      </c>
      <c r="P25">
        <v>1</v>
      </c>
    </row>
    <row r="26" spans="1:16" x14ac:dyDescent="0.25">
      <c r="A26">
        <v>25</v>
      </c>
      <c r="B26">
        <f>EXP(((-1)/(2*'Cálculos Diversos'!$B$5))*(SQRT(SUMXMY2('Tabela Entrada-Saída'!$B$26:$O$26,'Coordenadas dos Polos'!$P$2:$AC$2)))^2)</f>
        <v>0.10999891013169692</v>
      </c>
      <c r="C26">
        <f>EXP(((-1)/(2*'Cálculos Diversos'!$B$5))*(SQRT(SUMXMY2('Tabela Entrada-Saída'!$B$26:$O$26,'Coordenadas dos Polos'!$AD$2:$AQ$2)))^2)</f>
        <v>1.6282696097263934E-5</v>
      </c>
      <c r="D26">
        <f>EXP(((-1)/(2*'Cálculos Diversos'!$B$5))*(SQRT(SUMXMY2('Tabela Entrada-Saída'!$B$26:$O$26,'Coordenadas dos Polos'!$AR$2:$BE$2)))^2)</f>
        <v>1.4114912584618985E-3</v>
      </c>
      <c r="E26">
        <f>EXP(((-1)/(2*'Cálculos Diversos'!$B$5))*(SQRT(SUMXMY2('Tabela Entrada-Saída'!$B$26:$O$26,'Coordenadas dos Polos'!$BF$2:$BS$2)))^2)</f>
        <v>1.2407391513420153E-4</v>
      </c>
      <c r="F26">
        <f>EXP(((-1)/(2*'Cálculos Diversos'!$B$5))*(SQRT(SUMXMY2('Tabela Entrada-Saída'!$B$26:$O$26,'Coordenadas dos Polos'!$BT$2:$CG$2)))^2)</f>
        <v>1.9497368179803795E-3</v>
      </c>
      <c r="G26">
        <f>EXP(((-1)/(2*'Cálculos Diversos'!$B$5))*(SQRT(SUMXMY2('Tabela Entrada-Saída'!$B$26:$O$26,'Coordenadas dos Polos'!$CH$2:$CU$2)))^2)</f>
        <v>2.6105121597475058E-5</v>
      </c>
      <c r="H26">
        <f>EXP(((-1)/(2*'Cálculos Diversos'!$B$5))*(SQRT(SUMXMY2('Tabela Entrada-Saída'!$B$26:$O$26,'Coordenadas dos Polos'!$CV$2:$DI$2)))^2)</f>
        <v>3.4878988019892646E-3</v>
      </c>
      <c r="I26">
        <f>EXP(((-1)/(2*'Cálculos Diversos'!$B$5))*(SQRT(SUMXMY2('Tabela Entrada-Saída'!$B$26:$O$26,'Coordenadas dos Polos'!$DJ$2:$DW$2)))^2)</f>
        <v>1.6510538211428621E-6</v>
      </c>
      <c r="J26">
        <f>EXP(((-1)/(2*'Cálculos Diversos'!$B$5))*(SQRT(SUMXMY2('Tabela Entrada-Saída'!$B$26:$O$26,'Coordenadas dos Polos'!$DX$2:$EK$2)))^2)</f>
        <v>1.0147232243066157E-3</v>
      </c>
      <c r="K26">
        <f>EXP(((-1)/(2*'Cálculos Diversos'!$B$5))*(SQRT(SUMXMY2('Tabela Entrada-Saída'!$B$26:$O$26,'Coordenadas dos Polos'!$EL$2:$EY$2)))^2)</f>
        <v>2.5140456655847942E-5</v>
      </c>
      <c r="L26">
        <f>EXP(((-1)/(2*'Cálculos Diversos'!$B$5))*(SQRT(SUMXMY2('Tabela Entrada-Saída'!$B$26:$O$26,'Coordenadas dos Polos'!$EZ$2:$FM$2)))^2)</f>
        <v>8.6412555389320386E-4</v>
      </c>
      <c r="M26">
        <f>EXP(((-1)/(2*'Cálculos Diversos'!$B$5))*(SQRT(SUMXMY2('Tabela Entrada-Saída'!$B$26:$O$26,'Coordenadas dos Polos'!$FN$2:$GA$2)))^2)</f>
        <v>2.7293223475372892E-4</v>
      </c>
      <c r="N26">
        <f>EXP(((-1)/(2*'Cálculos Diversos'!$B$5))*(SQRT(SUMXMY2('Tabela Entrada-Saída'!$B$26:$O$26,'Coordenadas dos Polos'!$GB$2:$GO$2)))^2)</f>
        <v>8.041550699813528E-3</v>
      </c>
      <c r="O26">
        <f>EXP(((-1)/(2*'Cálculos Diversos'!$B$5))*(SQRT(SUMXMY2('Tabela Entrada-Saída'!$B$26:$O$26,'Coordenadas dos Polos'!$GP$2:$HC$2)))^2)</f>
        <v>1.8530426031627162E-5</v>
      </c>
      <c r="P26">
        <v>1</v>
      </c>
    </row>
    <row r="27" spans="1:16" x14ac:dyDescent="0.25">
      <c r="A27">
        <v>26</v>
      </c>
      <c r="B27">
        <f>EXP(((-1)/(2*'Cálculos Diversos'!$B$5))*(SQRT(SUMXMY2('Tabela Entrada-Saída'!$B$27:$O$27,'Coordenadas dos Polos'!$P$2:$AC$2)))^2)</f>
        <v>0.17996170174040296</v>
      </c>
      <c r="C27">
        <f>EXP(((-1)/(2*'Cálculos Diversos'!$B$5))*(SQRT(SUMXMY2('Tabela Entrada-Saída'!$B$27:$O$27,'Coordenadas dos Polos'!$AD$2:$AQ$2)))^2)</f>
        <v>1.8684977079200307E-5</v>
      </c>
      <c r="D27">
        <f>EXP(((-1)/(2*'Cálculos Diversos'!$B$5))*(SQRT(SUMXMY2('Tabela Entrada-Saída'!$B$27:$O$27,'Coordenadas dos Polos'!$AR$2:$BE$2)))^2)</f>
        <v>1.3266868279728553E-3</v>
      </c>
      <c r="E27">
        <f>EXP(((-1)/(2*'Cálculos Diversos'!$B$5))*(SQRT(SUMXMY2('Tabela Entrada-Saída'!$B$27:$O$27,'Coordenadas dos Polos'!$BF$2:$BS$2)))^2)</f>
        <v>1.5727356199991832E-4</v>
      </c>
      <c r="F27">
        <f>EXP(((-1)/(2*'Cálculos Diversos'!$B$5))*(SQRT(SUMXMY2('Tabela Entrada-Saída'!$B$27:$O$27,'Coordenadas dos Polos'!$BT$2:$CG$2)))^2)</f>
        <v>1.8373306162024147E-3</v>
      </c>
      <c r="G27">
        <f>EXP(((-1)/(2*'Cálculos Diversos'!$B$5))*(SQRT(SUMXMY2('Tabela Entrada-Saída'!$B$27:$O$27,'Coordenadas dos Polos'!$CH$2:$CU$2)))^2)</f>
        <v>4.2008883276181954E-5</v>
      </c>
      <c r="H27">
        <f>EXP(((-1)/(2*'Cálculos Diversos'!$B$5))*(SQRT(SUMXMY2('Tabela Entrada-Saída'!$B$27:$O$27,'Coordenadas dos Polos'!$CV$2:$DI$2)))^2)</f>
        <v>4.1179953781672529E-3</v>
      </c>
      <c r="I27">
        <f>EXP(((-1)/(2*'Cálculos Diversos'!$B$5))*(SQRT(SUMXMY2('Tabela Entrada-Saída'!$B$27:$O$27,'Coordenadas dos Polos'!$DJ$2:$DW$2)))^2)</f>
        <v>2.4299863608614699E-6</v>
      </c>
      <c r="J27">
        <f>EXP(((-1)/(2*'Cálculos Diversos'!$B$5))*(SQRT(SUMXMY2('Tabela Entrada-Saída'!$B$27:$O$27,'Coordenadas dos Polos'!$DX$2:$EK$2)))^2)</f>
        <v>1.316786830669779E-3</v>
      </c>
      <c r="K27">
        <f>EXP(((-1)/(2*'Cálculos Diversos'!$B$5))*(SQRT(SUMXMY2('Tabela Entrada-Saída'!$B$27:$O$27,'Coordenadas dos Polos'!$EL$2:$EY$2)))^2)</f>
        <v>2.3517905053605447E-5</v>
      </c>
      <c r="L27">
        <f>EXP(((-1)/(2*'Cálculos Diversos'!$B$5))*(SQRT(SUMXMY2('Tabela Entrada-Saída'!$B$27:$O$27,'Coordenadas dos Polos'!$EZ$2:$FM$2)))^2)</f>
        <v>8.6498904382103158E-4</v>
      </c>
      <c r="M27">
        <f>EXP(((-1)/(2*'Cálculos Diversos'!$B$5))*(SQRT(SUMXMY2('Tabela Entrada-Saída'!$B$27:$O$27,'Coordenadas dos Polos'!$FN$2:$GA$2)))^2)</f>
        <v>3.0544195928663032E-4</v>
      </c>
      <c r="N27">
        <f>EXP(((-1)/(2*'Cálculos Diversos'!$B$5))*(SQRT(SUMXMY2('Tabela Entrada-Saída'!$B$27:$O$27,'Coordenadas dos Polos'!$GB$2:$GO$2)))^2)</f>
        <v>9.0577877261317531E-3</v>
      </c>
      <c r="O27">
        <f>EXP(((-1)/(2*'Cálculos Diversos'!$B$5))*(SQRT(SUMXMY2('Tabela Entrada-Saída'!$B$27:$O$27,'Coordenadas dos Polos'!$GP$2:$HC$2)))^2)</f>
        <v>2.450968498817217E-5</v>
      </c>
      <c r="P27">
        <v>1</v>
      </c>
    </row>
    <row r="28" spans="1:16" x14ac:dyDescent="0.25">
      <c r="A28">
        <v>27</v>
      </c>
      <c r="B28">
        <f>EXP(((-1)/(2*'Cálculos Diversos'!$B$5))*(SQRT(SUMXMY2('Tabela Entrada-Saída'!$B$28:$O$28,'Coordenadas dos Polos'!$P$2:$AC$2)))^2)</f>
        <v>0.10044115423408057</v>
      </c>
      <c r="C28">
        <f>EXP(((-1)/(2*'Cálculos Diversos'!$B$5))*(SQRT(SUMXMY2('Tabela Entrada-Saída'!$B$28:$O$28,'Coordenadas dos Polos'!$AD$2:$AQ$2)))^2)</f>
        <v>1.5750277981864215E-5</v>
      </c>
      <c r="D28">
        <f>EXP(((-1)/(2*'Cálculos Diversos'!$B$5))*(SQRT(SUMXMY2('Tabela Entrada-Saída'!$B$28:$O$28,'Coordenadas dos Polos'!$AR$2:$BE$2)))^2)</f>
        <v>1.4135051900222263E-3</v>
      </c>
      <c r="E28">
        <f>EXP(((-1)/(2*'Cálculos Diversos'!$B$5))*(SQRT(SUMXMY2('Tabela Entrada-Saída'!$B$28:$O$28,'Coordenadas dos Polos'!$BF$2:$BS$2)))^2)</f>
        <v>1.182142392789776E-4</v>
      </c>
      <c r="F28">
        <f>EXP(((-1)/(2*'Cálculos Diversos'!$B$5))*(SQRT(SUMXMY2('Tabela Entrada-Saída'!$B$28:$O$28,'Coordenadas dos Polos'!$BT$2:$CG$2)))^2)</f>
        <v>1.9510716555740746E-3</v>
      </c>
      <c r="G28">
        <f>EXP(((-1)/(2*'Cálculos Diversos'!$B$5))*(SQRT(SUMXMY2('Tabela Entrada-Saída'!$B$28:$O$28,'Coordenadas dos Polos'!$CH$2:$CU$2)))^2)</f>
        <v>2.3898628562100085E-5</v>
      </c>
      <c r="H28">
        <f>EXP(((-1)/(2*'Cálculos Diversos'!$B$5))*(SQRT(SUMXMY2('Tabela Entrada-Saída'!$B$28:$O$28,'Coordenadas dos Polos'!$CV$2:$DI$2)))^2)</f>
        <v>3.3573348630093589E-3</v>
      </c>
      <c r="I28">
        <f>EXP(((-1)/(2*'Cálculos Diversos'!$B$5))*(SQRT(SUMXMY2('Tabela Entrada-Saída'!$B$28:$O$28,'Coordenadas dos Polos'!$DJ$2:$DW$2)))^2)</f>
        <v>1.529667080158382E-6</v>
      </c>
      <c r="J28">
        <f>EXP(((-1)/(2*'Cálculos Diversos'!$B$5))*(SQRT(SUMXMY2('Tabela Entrada-Saída'!$B$28:$O$28,'Coordenadas dos Polos'!$DX$2:$EK$2)))^2)</f>
        <v>9.6034493378128615E-4</v>
      </c>
      <c r="K28">
        <f>EXP(((-1)/(2*'Cálculos Diversos'!$B$5))*(SQRT(SUMXMY2('Tabela Entrada-Saída'!$B$28:$O$28,'Coordenadas dos Polos'!$EL$2:$EY$2)))^2)</f>
        <v>2.5146327546429032E-5</v>
      </c>
      <c r="L28">
        <f>EXP(((-1)/(2*'Cálculos Diversos'!$B$5))*(SQRT(SUMXMY2('Tabela Entrada-Saída'!$B$28:$O$28,'Coordenadas dos Polos'!$EZ$2:$FM$2)))^2)</f>
        <v>8.5589850881306244E-4</v>
      </c>
      <c r="M28">
        <f>EXP(((-1)/(2*'Cálculos Diversos'!$B$5))*(SQRT(SUMXMY2('Tabela Entrada-Saída'!$B$28:$O$28,'Coordenadas dos Polos'!$FN$2:$GA$2)))^2)</f>
        <v>2.6504982619261096E-4</v>
      </c>
      <c r="N28">
        <f>EXP(((-1)/(2*'Cálculos Diversos'!$B$5))*(SQRT(SUMXMY2('Tabela Entrada-Saída'!$B$28:$O$28,'Coordenadas dos Polos'!$GB$2:$GO$2)))^2)</f>
        <v>7.8171316549835237E-3</v>
      </c>
      <c r="O28">
        <f>EXP(((-1)/(2*'Cálculos Diversos'!$B$5))*(SQRT(SUMXMY2('Tabela Entrada-Saída'!$B$28:$O$28,'Coordenadas dos Polos'!$GP$2:$HC$2)))^2)</f>
        <v>1.7488581434282308E-5</v>
      </c>
      <c r="P28">
        <v>1</v>
      </c>
    </row>
    <row r="29" spans="1:16" x14ac:dyDescent="0.25">
      <c r="A29">
        <v>28</v>
      </c>
      <c r="B29">
        <f>EXP(((-1)/(2*'Cálculos Diversos'!$B$5))*(SQRT(SUMXMY2('Tabela Entrada-Saída'!$B$29:$O$29,'Coordenadas dos Polos'!$P$2:$AC$2)))^2)</f>
        <v>0.15701780280328106</v>
      </c>
      <c r="C29">
        <f>EXP(((-1)/(2*'Cálculos Diversos'!$B$5))*(SQRT(SUMXMY2('Tabela Entrada-Saída'!$B$29:$O$29,'Coordenadas dos Polos'!$AD$2:$AQ$2)))^2)</f>
        <v>1.8045504255165975E-5</v>
      </c>
      <c r="D29">
        <f>EXP(((-1)/(2*'Cálculos Diversos'!$B$5))*(SQRT(SUMXMY2('Tabela Entrada-Saída'!$B$29:$O$29,'Coordenadas dos Polos'!$AR$2:$BE$2)))^2)</f>
        <v>1.3628737175004316E-3</v>
      </c>
      <c r="E29">
        <f>EXP(((-1)/(2*'Cálculos Diversos'!$B$5))*(SQRT(SUMXMY2('Tabela Entrada-Saída'!$B$29:$O$29,'Coordenadas dos Polos'!$BF$2:$BS$2)))^2)</f>
        <v>1.4778766670071341E-4</v>
      </c>
      <c r="F29">
        <f>EXP(((-1)/(2*'Cálculos Diversos'!$B$5))*(SQRT(SUMXMY2('Tabela Entrada-Saída'!$B$29:$O$29,'Coordenadas dos Polos'!$BT$2:$CG$2)))^2)</f>
        <v>1.8842669863116065E-3</v>
      </c>
      <c r="G29">
        <f>EXP(((-1)/(2*'Cálculos Diversos'!$B$5))*(SQRT(SUMXMY2('Tabela Entrada-Saída'!$B$29:$O$29,'Coordenadas dos Polos'!$CH$2:$CU$2)))^2)</f>
        <v>3.6831951622853042E-5</v>
      </c>
      <c r="H29">
        <f>EXP(((-1)/(2*'Cálculos Diversos'!$B$5))*(SQRT(SUMXMY2('Tabela Entrada-Saída'!$B$29:$O$29,'Coordenadas dos Polos'!$CV$2:$DI$2)))^2)</f>
        <v>3.9442546967198419E-3</v>
      </c>
      <c r="I29">
        <f>EXP(((-1)/(2*'Cálculos Diversos'!$B$5))*(SQRT(SUMXMY2('Tabela Entrada-Saída'!$B$29:$O$29,'Coordenadas dos Polos'!$DJ$2:$DW$2)))^2)</f>
        <v>2.1764024328070356E-6</v>
      </c>
      <c r="J29">
        <f>EXP(((-1)/(2*'Cálculos Diversos'!$B$5))*(SQRT(SUMXMY2('Tabela Entrada-Saída'!$B$29:$O$29,'Coordenadas dos Polos'!$DX$2:$EK$2)))^2)</f>
        <v>1.2253291660447375E-3</v>
      </c>
      <c r="K29">
        <f>EXP(((-1)/(2*'Cálculos Diversos'!$B$5))*(SQRT(SUMXMY2('Tabela Entrada-Saída'!$B$29:$O$29,'Coordenadas dos Polos'!$EL$2:$EY$2)))^2)</f>
        <v>2.4118209887799257E-5</v>
      </c>
      <c r="L29">
        <f>EXP(((-1)/(2*'Cálculos Diversos'!$B$5))*(SQRT(SUMXMY2('Tabela Entrada-Saída'!$B$29:$O$29,'Coordenadas dos Polos'!$EZ$2:$FM$2)))^2)</f>
        <v>8.7214422196410513E-4</v>
      </c>
      <c r="M29">
        <f>EXP(((-1)/(2*'Cálculos Diversos'!$B$5))*(SQRT(SUMXMY2('Tabela Entrada-Saída'!$B$29:$O$29,'Coordenadas dos Polos'!$FN$2:$GA$2)))^2)</f>
        <v>2.9748952349981664E-4</v>
      </c>
      <c r="N29">
        <f>EXP(((-1)/(2*'Cálculos Diversos'!$B$5))*(SQRT(SUMXMY2('Tabela Entrada-Saída'!$B$29:$O$29,'Coordenadas dos Polos'!$GB$2:$GO$2)))^2)</f>
        <v>8.823623628588741E-3</v>
      </c>
      <c r="O29">
        <f>EXP(((-1)/(2*'Cálculos Diversos'!$B$5))*(SQRT(SUMXMY2('Tabela Entrada-Saída'!$B$29:$O$29,'Coordenadas dos Polos'!$GP$2:$HC$2)))^2)</f>
        <v>2.2674011864916469E-5</v>
      </c>
      <c r="P29">
        <v>1</v>
      </c>
    </row>
    <row r="30" spans="1:16" x14ac:dyDescent="0.25">
      <c r="A30">
        <v>29</v>
      </c>
      <c r="B30">
        <f>EXP(((-1)/(2*'Cálculos Diversos'!$B$5))*(SQRT(SUMXMY2('Tabela Entrada-Saída'!$B$30:$O$30,'Coordenadas dos Polos'!$P$2:$AC$2)))^2)</f>
        <v>0.16403170522790655</v>
      </c>
      <c r="C30">
        <f>EXP(((-1)/(2*'Cálculos Diversos'!$B$5))*(SQRT(SUMXMY2('Tabela Entrada-Saída'!$B$30:$O$30,'Coordenadas dos Polos'!$AD$2:$AQ$2)))^2)</f>
        <v>1.8240525908228849E-5</v>
      </c>
      <c r="D30">
        <f>EXP(((-1)/(2*'Cálculos Diversos'!$B$5))*(SQRT(SUMXMY2('Tabela Entrada-Saída'!$B$30:$O$30,'Coordenadas dos Polos'!$AR$2:$BE$2)))^2)</f>
        <v>1.3509392285493377E-3</v>
      </c>
      <c r="E30">
        <f>EXP(((-1)/(2*'Cálculos Diversos'!$B$5))*(SQRT(SUMXMY2('Tabela Entrada-Saída'!$B$30:$O$30,'Coordenadas dos Polos'!$BF$2:$BS$2)))^2)</f>
        <v>1.5079288891595591E-4</v>
      </c>
      <c r="F30">
        <f>EXP(((-1)/(2*'Cálculos Diversos'!$B$5))*(SQRT(SUMXMY2('Tabela Entrada-Saída'!$B$30:$O$30,'Coordenadas dos Polos'!$BT$2:$CG$2)))^2)</f>
        <v>1.869754572494043E-3</v>
      </c>
      <c r="G30">
        <f>EXP(((-1)/(2*'Cálculos Diversos'!$B$5))*(SQRT(SUMXMY2('Tabela Entrada-Saída'!$B$30:$O$30,'Coordenadas dos Polos'!$CH$2:$CU$2)))^2)</f>
        <v>3.8378995172691037E-5</v>
      </c>
      <c r="H30">
        <f>EXP(((-1)/(2*'Cálculos Diversos'!$B$5))*(SQRT(SUMXMY2('Tabela Entrada-Saída'!$B$30:$O$30,'Coordenadas dos Polos'!$CV$2:$DI$2)))^2)</f>
        <v>3.9976829086235659E-3</v>
      </c>
      <c r="I30">
        <f>EXP(((-1)/(2*'Cálculos Diversos'!$B$5))*(SQRT(SUMXMY2('Tabela Entrada-Saída'!$B$30:$O$30,'Coordenadas dos Polos'!$DJ$2:$DW$2)))^2)</f>
        <v>2.2509387092324382E-6</v>
      </c>
      <c r="J30">
        <f>EXP(((-1)/(2*'Cálculos Diversos'!$B$5))*(SQRT(SUMXMY2('Tabela Entrada-Saída'!$B$30:$O$30,'Coordenadas dos Polos'!$DX$2:$EK$2)))^2)</f>
        <v>1.2524563705654248E-3</v>
      </c>
      <c r="K30">
        <f>EXP(((-1)/(2*'Cálculos Diversos'!$B$5))*(SQRT(SUMXMY2('Tabela Entrada-Saída'!$B$30:$O$30,'Coordenadas dos Polos'!$EL$2:$EY$2)))^2)</f>
        <v>2.390359392063453E-5</v>
      </c>
      <c r="L30">
        <f>EXP(((-1)/(2*'Cálculos Diversos'!$B$5))*(SQRT(SUMXMY2('Tabela Entrada-Saída'!$B$30:$O$30,'Coordenadas dos Polos'!$EZ$2:$FM$2)))^2)</f>
        <v>8.6956115565211373E-4</v>
      </c>
      <c r="M30">
        <f>EXP(((-1)/(2*'Cálculos Diversos'!$B$5))*(SQRT(SUMXMY2('Tabela Entrada-Saída'!$B$30:$O$30,'Coordenadas dos Polos'!$FN$2:$GA$2)))^2)</f>
        <v>2.9970977055341247E-4</v>
      </c>
      <c r="N30">
        <f>EXP(((-1)/(2*'Cálculos Diversos'!$B$5))*(SQRT(SUMXMY2('Tabela Entrada-Saída'!$B$30:$O$30,'Coordenadas dos Polos'!$GB$2:$GO$2)))^2)</f>
        <v>8.9007122890104474E-3</v>
      </c>
      <c r="O30">
        <f>EXP(((-1)/(2*'Cálculos Diversos'!$B$5))*(SQRT(SUMXMY2('Tabela Entrada-Saída'!$B$30:$O$30,'Coordenadas dos Polos'!$GP$2:$HC$2)))^2)</f>
        <v>2.3229914770760233E-5</v>
      </c>
      <c r="P30">
        <v>1</v>
      </c>
    </row>
    <row r="31" spans="1:16" x14ac:dyDescent="0.25">
      <c r="A31">
        <v>30</v>
      </c>
      <c r="B31">
        <f>EXP(((-1)/(2*'Cálculos Diversos'!$B$5))*(SQRT(SUMXMY2('Tabela Entrada-Saída'!$B$31:$O$31,'Coordenadas dos Polos'!$P$2:$AC$2)))^2)</f>
        <v>0.15672659441838799</v>
      </c>
      <c r="C31">
        <f>EXP(((-1)/(2*'Cálculos Diversos'!$B$5))*(SQRT(SUMXMY2('Tabela Entrada-Saída'!$B$31:$O$31,'Coordenadas dos Polos'!$AD$2:$AQ$2)))^2)</f>
        <v>1.8068908325469209E-5</v>
      </c>
      <c r="D31">
        <f>EXP(((-1)/(2*'Cálculos Diversos'!$B$5))*(SQRT(SUMXMY2('Tabela Entrada-Saída'!$B$31:$O$31,'Coordenadas dos Polos'!$AR$2:$BE$2)))^2)</f>
        <v>1.363478298442126E-3</v>
      </c>
      <c r="E31">
        <f>EXP(((-1)/(2*'Cálculos Diversos'!$B$5))*(SQRT(SUMXMY2('Tabela Entrada-Saída'!$B$31:$O$31,'Coordenadas dos Polos'!$BF$2:$BS$2)))^2)</f>
        <v>1.477132415810966E-4</v>
      </c>
      <c r="F31">
        <f>EXP(((-1)/(2*'Cálculos Diversos'!$B$5))*(SQRT(SUMXMY2('Tabela Entrada-Saída'!$B$31:$O$31,'Coordenadas dos Polos'!$BT$2:$CG$2)))^2)</f>
        <v>1.88605629690048E-3</v>
      </c>
      <c r="G31">
        <f>EXP(((-1)/(2*'Cálculos Diversos'!$B$5))*(SQRT(SUMXMY2('Tabela Entrada-Saída'!$B$31:$O$31,'Coordenadas dos Polos'!$CH$2:$CU$2)))^2)</f>
        <v>3.6752598569380703E-5</v>
      </c>
      <c r="H31">
        <f>EXP(((-1)/(2*'Cálculos Diversos'!$B$5))*(SQRT(SUMXMY2('Tabela Entrada-Saída'!$B$31:$O$31,'Coordenadas dos Polos'!$CV$2:$DI$2)))^2)</f>
        <v>3.9501593880026109E-3</v>
      </c>
      <c r="I31">
        <f>EXP(((-1)/(2*'Cálculos Diversos'!$B$5))*(SQRT(SUMXMY2('Tabela Entrada-Saída'!$B$31:$O$31,'Coordenadas dos Polos'!$DJ$2:$DW$2)))^2)</f>
        <v>2.1806640674645979E-6</v>
      </c>
      <c r="J31">
        <f>EXP(((-1)/(2*'Cálculos Diversos'!$B$5))*(SQRT(SUMXMY2('Tabela Entrada-Saída'!$B$31:$O$31,'Coordenadas dos Polos'!$DX$2:$EK$2)))^2)</f>
        <v>1.2282599039576203E-3</v>
      </c>
      <c r="K31">
        <f>EXP(((-1)/(2*'Cálculos Diversos'!$B$5))*(SQRT(SUMXMY2('Tabela Entrada-Saída'!$B$31:$O$31,'Coordenadas dos Polos'!$EL$2:$EY$2)))^2)</f>
        <v>2.4190378514226114E-5</v>
      </c>
      <c r="L31">
        <f>EXP(((-1)/(2*'Cálculos Diversos'!$B$5))*(SQRT(SUMXMY2('Tabela Entrada-Saída'!$B$31:$O$31,'Coordenadas dos Polos'!$EZ$2:$FM$2)))^2)</f>
        <v>8.7244443145209638E-4</v>
      </c>
      <c r="M31">
        <f>EXP(((-1)/(2*'Cálculos Diversos'!$B$5))*(SQRT(SUMXMY2('Tabela Entrada-Saída'!$B$31:$O$31,'Coordenadas dos Polos'!$FN$2:$GA$2)))^2)</f>
        <v>2.9770775212188173E-4</v>
      </c>
      <c r="N31">
        <f>EXP(((-1)/(2*'Cálculos Diversos'!$B$5))*(SQRT(SUMXMY2('Tabela Entrada-Saída'!$B$31:$O$31,'Coordenadas dos Polos'!$GB$2:$GO$2)))^2)</f>
        <v>8.8176883620557974E-3</v>
      </c>
      <c r="O31">
        <f>EXP(((-1)/(2*'Cálculos Diversos'!$B$5))*(SQRT(SUMXMY2('Tabela Entrada-Saída'!$B$31:$O$31,'Coordenadas dos Polos'!$GP$2:$HC$2)))^2)</f>
        <v>2.2721697564569016E-5</v>
      </c>
      <c r="P31">
        <v>1</v>
      </c>
    </row>
    <row r="32" spans="1:16" x14ac:dyDescent="0.25">
      <c r="A32">
        <v>31</v>
      </c>
      <c r="B32">
        <f>EXP(((-1)/(2*'Cálculos Diversos'!$B$5))*(SQRT(SUMXMY2('Tabela Entrada-Saída'!$B$32:$O$32,'Coordenadas dos Polos'!$P$2:$AC$2)))^2)</f>
        <v>0.18523994227048385</v>
      </c>
      <c r="C32">
        <f>EXP(((-1)/(2*'Cálculos Diversos'!$B$5))*(SQRT(SUMXMY2('Tabela Entrada-Saída'!$B$32:$O$32,'Coordenadas dos Polos'!$AD$2:$AQ$2)))^2)</f>
        <v>1.8786620427035098E-5</v>
      </c>
      <c r="D32">
        <f>EXP(((-1)/(2*'Cálculos Diversos'!$B$5))*(SQRT(SUMXMY2('Tabela Entrada-Saída'!$B$32:$O$32,'Coordenadas dos Polos'!$AR$2:$BE$2)))^2)</f>
        <v>1.3176599783901847E-3</v>
      </c>
      <c r="E32">
        <f>EXP(((-1)/(2*'Cálculos Diversos'!$B$5))*(SQRT(SUMXMY2('Tabela Entrada-Saída'!$B$32:$O$32,'Coordenadas dos Polos'!$BF$2:$BS$2)))^2)</f>
        <v>1.592008193392016E-4</v>
      </c>
      <c r="F32">
        <f>EXP(((-1)/(2*'Cálculos Diversos'!$B$5))*(SQRT(SUMXMY2('Tabela Entrada-Saída'!$B$32:$O$32,'Coordenadas dos Polos'!$BT$2:$CG$2)))^2)</f>
        <v>1.8244956066499087E-3</v>
      </c>
      <c r="G32">
        <f>EXP(((-1)/(2*'Cálculos Diversos'!$B$5))*(SQRT(SUMXMY2('Tabela Entrada-Saída'!$B$32:$O$32,'Coordenadas dos Polos'!$CH$2:$CU$2)))^2)</f>
        <v>4.320369267668796E-5</v>
      </c>
      <c r="H32">
        <f>EXP(((-1)/(2*'Cálculos Diversos'!$B$5))*(SQRT(SUMXMY2('Tabela Entrada-Saída'!$B$32:$O$32,'Coordenadas dos Polos'!$CV$2:$DI$2)))^2)</f>
        <v>4.148340599296434E-3</v>
      </c>
      <c r="I32">
        <f>EXP(((-1)/(2*'Cálculos Diversos'!$B$5))*(SQRT(SUMXMY2('Tabela Entrada-Saída'!$B$32:$O$32,'Coordenadas dos Polos'!$DJ$2:$DW$2)))^2)</f>
        <v>2.4826339376367959E-6</v>
      </c>
      <c r="J32">
        <f>EXP(((-1)/(2*'Cálculos Diversos'!$B$5))*(SQRT(SUMXMY2('Tabela Entrada-Saída'!$B$32:$O$32,'Coordenadas dos Polos'!$DX$2:$EK$2)))^2)</f>
        <v>1.3347238403368198E-3</v>
      </c>
      <c r="K32">
        <f>EXP(((-1)/(2*'Cálculos Diversos'!$B$5))*(SQRT(SUMXMY2('Tabela Entrada-Saída'!$B$32:$O$32,'Coordenadas dos Polos'!$EL$2:$EY$2)))^2)</f>
        <v>2.3341075043185749E-5</v>
      </c>
      <c r="L32">
        <f>EXP(((-1)/(2*'Cálculos Diversos'!$B$5))*(SQRT(SUMXMY2('Tabela Entrada-Saída'!$B$32:$O$32,'Coordenadas dos Polos'!$EZ$2:$FM$2)))^2)</f>
        <v>8.6258615443353436E-4</v>
      </c>
      <c r="M32">
        <f>EXP(((-1)/(2*'Cálculos Diversos'!$B$5))*(SQRT(SUMXMY2('Tabela Entrada-Saída'!$B$32:$O$32,'Coordenadas dos Polos'!$FN$2:$GA$2)))^2)</f>
        <v>3.0669535474153585E-4</v>
      </c>
      <c r="N32">
        <f>EXP(((-1)/(2*'Cálculos Diversos'!$B$5))*(SQRT(SUMXMY2('Tabela Entrada-Saída'!$B$32:$O$32,'Coordenadas dos Polos'!$GB$2:$GO$2)))^2)</f>
        <v>9.1012319625308601E-3</v>
      </c>
      <c r="O32">
        <f>EXP(((-1)/(2*'Cálculos Diversos'!$B$5))*(SQRT(SUMXMY2('Tabela Entrada-Saída'!$B$32:$O$32,'Coordenadas dos Polos'!$GP$2:$HC$2)))^2)</f>
        <v>2.486882798983295E-5</v>
      </c>
      <c r="P32">
        <v>1</v>
      </c>
    </row>
    <row r="33" spans="1:16" x14ac:dyDescent="0.25">
      <c r="A33">
        <v>32</v>
      </c>
      <c r="B33">
        <f>EXP(((-1)/(2*'Cálculos Diversos'!$B$5))*(SQRT(SUMXMY2('Tabela Entrada-Saída'!$B$33:$O$33,'Coordenadas dos Polos'!$P$2:$AC$2)))^2)</f>
        <v>0.1043291170675969</v>
      </c>
      <c r="C33">
        <f>EXP(((-1)/(2*'Cálculos Diversos'!$B$5))*(SQRT(SUMXMY2('Tabela Entrada-Saída'!$B$33:$O$33,'Coordenadas dos Polos'!$AD$2:$AQ$2)))^2)</f>
        <v>1.5972102230115702E-5</v>
      </c>
      <c r="D33">
        <f>EXP(((-1)/(2*'Cálculos Diversos'!$B$5))*(SQRT(SUMXMY2('Tabela Entrada-Saída'!$B$33:$O$33,'Coordenadas dos Polos'!$AR$2:$BE$2)))^2)</f>
        <v>1.4135732207442933E-3</v>
      </c>
      <c r="E33">
        <f>EXP(((-1)/(2*'Cálculos Diversos'!$B$5))*(SQRT(SUMXMY2('Tabela Entrada-Saída'!$B$33:$O$33,'Coordenadas dos Polos'!$BF$2:$BS$2)))^2)</f>
        <v>1.2063035762965681E-4</v>
      </c>
      <c r="F33">
        <f>EXP(((-1)/(2*'Cálculos Diversos'!$B$5))*(SQRT(SUMXMY2('Tabela Entrada-Saída'!$B$33:$O$33,'Coordenadas dos Polos'!$BT$2:$CG$2)))^2)</f>
        <v>1.9511555820790735E-3</v>
      </c>
      <c r="G33">
        <f>EXP(((-1)/(2*'Cálculos Diversos'!$B$5))*(SQRT(SUMXMY2('Tabela Entrada-Saída'!$B$33:$O$33,'Coordenadas dos Polos'!$CH$2:$CU$2)))^2)</f>
        <v>2.4805817091022993E-5</v>
      </c>
      <c r="H33">
        <f>EXP(((-1)/(2*'Cálculos Diversos'!$B$5))*(SQRT(SUMXMY2('Tabela Entrada-Saída'!$B$33:$O$33,'Coordenadas dos Polos'!$CV$2:$DI$2)))^2)</f>
        <v>3.4115862736452092E-3</v>
      </c>
      <c r="I33">
        <f>EXP(((-1)/(2*'Cálculos Diversos'!$B$5))*(SQRT(SUMXMY2('Tabela Entrada-Saída'!$B$33:$O$33,'Coordenadas dos Polos'!$DJ$2:$DW$2)))^2)</f>
        <v>1.5792923157289394E-6</v>
      </c>
      <c r="J33">
        <f>EXP(((-1)/(2*'Cálculos Diversos'!$B$5))*(SQRT(SUMXMY2('Tabela Entrada-Saída'!$B$33:$O$33,'Coordenadas dos Polos'!$DX$2:$EK$2)))^2)</f>
        <v>9.828835215683453E-4</v>
      </c>
      <c r="K33">
        <f>EXP(((-1)/(2*'Cálculos Diversos'!$B$5))*(SQRT(SUMXMY2('Tabela Entrada-Saída'!$B$33:$O$33,'Coordenadas dos Polos'!$EL$2:$EY$2)))^2)</f>
        <v>2.5156235835362108E-5</v>
      </c>
      <c r="L33">
        <f>EXP(((-1)/(2*'Cálculos Diversos'!$B$5))*(SQRT(SUMXMY2('Tabela Entrada-Saída'!$B$33:$O$33,'Coordenadas dos Polos'!$EZ$2:$FM$2)))^2)</f>
        <v>8.5989247205524755E-4</v>
      </c>
      <c r="M33">
        <f>EXP(((-1)/(2*'Cálculos Diversos'!$B$5))*(SQRT(SUMXMY2('Tabela Entrada-Saída'!$B$33:$O$33,'Coordenadas dos Polos'!$FN$2:$GA$2)))^2)</f>
        <v>2.6846107811756E-4</v>
      </c>
      <c r="N33">
        <f>EXP(((-1)/(2*'Cálculos Diversos'!$B$5))*(SQRT(SUMXMY2('Tabela Entrada-Saída'!$B$33:$O$33,'Coordenadas dos Polos'!$GB$2:$GO$2)))^2)</f>
        <v>7.9124951761986272E-3</v>
      </c>
      <c r="O33">
        <f>EXP(((-1)/(2*'Cálculos Diversos'!$B$5))*(SQRT(SUMXMY2('Tabela Entrada-Saída'!$B$33:$O$33,'Coordenadas dos Polos'!$GP$2:$HC$2)))^2)</f>
        <v>1.7915274663109985E-5</v>
      </c>
      <c r="P33">
        <v>1</v>
      </c>
    </row>
    <row r="34" spans="1:16" x14ac:dyDescent="0.25">
      <c r="A34">
        <v>33</v>
      </c>
      <c r="B34">
        <f>EXP(((-1)/(2*'Cálculos Diversos'!$B$5))*(SQRT(SUMXMY2('Tabela Entrada-Saída'!$B$34:$O$34,'Coordenadas dos Polos'!$P$2:$AC$2)))^2)</f>
        <v>0.1966451817594613</v>
      </c>
      <c r="C34">
        <f>EXP(((-1)/(2*'Cálculos Diversos'!$B$5))*(SQRT(SUMXMY2('Tabela Entrada-Saída'!$B$34:$O$34,'Coordenadas dos Polos'!$AD$2:$AQ$2)))^2)</f>
        <v>1.8944392676740466E-5</v>
      </c>
      <c r="D34">
        <f>EXP(((-1)/(2*'Cálculos Diversos'!$B$5))*(SQRT(SUMXMY2('Tabela Entrada-Saída'!$B$34:$O$34,'Coordenadas dos Polos'!$AR$2:$BE$2)))^2)</f>
        <v>1.295034763869526E-3</v>
      </c>
      <c r="E34">
        <f>EXP(((-1)/(2*'Cálculos Diversos'!$B$5))*(SQRT(SUMXMY2('Tabela Entrada-Saída'!$B$34:$O$34,'Coordenadas dos Polos'!$BF$2:$BS$2)))^2)</f>
        <v>1.6297073661369316E-4</v>
      </c>
      <c r="F34">
        <f>EXP(((-1)/(2*'Cálculos Diversos'!$B$5))*(SQRT(SUMXMY2('Tabela Entrada-Saída'!$B$34:$O$34,'Coordenadas dos Polos'!$BT$2:$CG$2)))^2)</f>
        <v>1.7934426359844367E-3</v>
      </c>
      <c r="G34">
        <f>EXP(((-1)/(2*'Cálculos Diversos'!$B$5))*(SQRT(SUMXMY2('Tabela Entrada-Saída'!$B$34:$O$34,'Coordenadas dos Polos'!$CH$2:$CU$2)))^2)</f>
        <v>4.5701333425809513E-5</v>
      </c>
      <c r="H34">
        <f>EXP(((-1)/(2*'Cálculos Diversos'!$B$5))*(SQRT(SUMXMY2('Tabela Entrada-Saída'!$B$34:$O$34,'Coordenadas dos Polos'!$CV$2:$DI$2)))^2)</f>
        <v>4.2015773149446604E-3</v>
      </c>
      <c r="I34">
        <f>EXP(((-1)/(2*'Cálculos Diversos'!$B$5))*(SQRT(SUMXMY2('Tabela Entrada-Saída'!$B$34:$O$34,'Coordenadas dos Polos'!$DJ$2:$DW$2)))^2)</f>
        <v>2.5864329027031149E-6</v>
      </c>
      <c r="J34">
        <f>EXP(((-1)/(2*'Cálculos Diversos'!$B$5))*(SQRT(SUMXMY2('Tabela Entrada-Saída'!$B$34:$O$34,'Coordenadas dos Polos'!$DX$2:$EK$2)))^2)</f>
        <v>1.3687715506338466E-3</v>
      </c>
      <c r="K34">
        <f>EXP(((-1)/(2*'Cálculos Diversos'!$B$5))*(SQRT(SUMXMY2('Tabela Entrada-Saída'!$B$34:$O$34,'Coordenadas dos Polos'!$EL$2:$EY$2)))^2)</f>
        <v>2.2883721761593933E-5</v>
      </c>
      <c r="L34">
        <f>EXP(((-1)/(2*'Cálculos Diversos'!$B$5))*(SQRT(SUMXMY2('Tabela Entrada-Saída'!$B$34:$O$34,'Coordenadas dos Polos'!$EZ$2:$FM$2)))^2)</f>
        <v>8.5511947696615591E-4</v>
      </c>
      <c r="M34">
        <f>EXP(((-1)/(2*'Cálculos Diversos'!$B$5))*(SQRT(SUMXMY2('Tabela Entrada-Saída'!$B$34:$O$34,'Coordenadas dos Polos'!$FN$2:$GA$2)))^2)</f>
        <v>3.0825865345491036E-4</v>
      </c>
      <c r="N34">
        <f>EXP(((-1)/(2*'Cálculos Diversos'!$B$5))*(SQRT(SUMXMY2('Tabela Entrada-Saída'!$B$34:$O$34,'Coordenadas dos Polos'!$GB$2:$GO$2)))^2)</f>
        <v>9.174105178567267E-3</v>
      </c>
      <c r="O34">
        <f>EXP(((-1)/(2*'Cálculos Diversos'!$B$5))*(SQRT(SUMXMY2('Tabela Entrada-Saída'!$B$34:$O$34,'Coordenadas dos Polos'!$GP$2:$HC$2)))^2)</f>
        <v>2.5567793743148168E-5</v>
      </c>
      <c r="P34">
        <v>1</v>
      </c>
    </row>
    <row r="35" spans="1:16" x14ac:dyDescent="0.25">
      <c r="A35">
        <v>34</v>
      </c>
      <c r="B35">
        <f>EXP(((-1)/(2*'Cálculos Diversos'!$B$5))*(SQRT(SUMXMY2('Tabela Entrada-Saída'!$B$35:$O$35,'Coordenadas dos Polos'!$P$2:$AC$2)))^2)</f>
        <v>0.18712133753257248</v>
      </c>
      <c r="C35">
        <f>EXP(((-1)/(2*'Cálculos Diversos'!$B$5))*(SQRT(SUMXMY2('Tabela Entrada-Saída'!$B$35:$O$35,'Coordenadas dos Polos'!$AD$2:$AQ$2)))^2)</f>
        <v>1.8792576316793793E-5</v>
      </c>
      <c r="D35">
        <f>EXP(((-1)/(2*'Cálculos Diversos'!$B$5))*(SQRT(SUMXMY2('Tabela Entrada-Saída'!$B$35:$O$35,'Coordenadas dos Polos'!$AR$2:$BE$2)))^2)</f>
        <v>1.3134159194618106E-3</v>
      </c>
      <c r="E35">
        <f>EXP(((-1)/(2*'Cálculos Diversos'!$B$5))*(SQRT(SUMXMY2('Tabela Entrada-Saída'!$B$35:$O$35,'Coordenadas dos Polos'!$BF$2:$BS$2)))^2)</f>
        <v>1.5980213279281335E-4</v>
      </c>
      <c r="F35">
        <f>EXP(((-1)/(2*'Cálculos Diversos'!$B$5))*(SQRT(SUMXMY2('Tabela Entrada-Saída'!$B$35:$O$35,'Coordenadas dos Polos'!$BT$2:$CG$2)))^2)</f>
        <v>1.818508921685165E-3</v>
      </c>
      <c r="G35">
        <f>EXP(((-1)/(2*'Cálculos Diversos'!$B$5))*(SQRT(SUMXMY2('Tabela Entrada-Saída'!$B$35:$O$35,'Coordenadas dos Polos'!$CH$2:$CU$2)))^2)</f>
        <v>4.3610733039818642E-5</v>
      </c>
      <c r="H35">
        <f>EXP(((-1)/(2*'Cálculos Diversos'!$B$5))*(SQRT(SUMXMY2('Tabela Entrada-Saída'!$B$35:$O$35,'Coordenadas dos Polos'!$CV$2:$DI$2)))^2)</f>
        <v>4.1520364731921985E-3</v>
      </c>
      <c r="I35">
        <f>EXP(((-1)/(2*'Cálculos Diversos'!$B$5))*(SQRT(SUMXMY2('Tabela Entrada-Saída'!$B$35:$O$35,'Coordenadas dos Polos'!$DJ$2:$DW$2)))^2)</f>
        <v>2.4941964171773007E-6</v>
      </c>
      <c r="J35">
        <f>EXP(((-1)/(2*'Cálculos Diversos'!$B$5))*(SQRT(SUMXMY2('Tabela Entrada-Saída'!$B$35:$O$35,'Coordenadas dos Polos'!$DX$2:$EK$2)))^2)</f>
        <v>1.3374927109416786E-3</v>
      </c>
      <c r="K35">
        <f>EXP(((-1)/(2*'Cálculos Diversos'!$B$5))*(SQRT(SUMXMY2('Tabela Entrada-Saída'!$B$35:$O$35,'Coordenadas dos Polos'!$EL$2:$EY$2)))^2)</f>
        <v>2.3220806491409772E-5</v>
      </c>
      <c r="L35">
        <f>EXP(((-1)/(2*'Cálculos Diversos'!$B$5))*(SQRT(SUMXMY2('Tabela Entrada-Saída'!$B$35:$O$35,'Coordenadas dos Polos'!$EZ$2:$FM$2)))^2)</f>
        <v>8.60959086351449E-4</v>
      </c>
      <c r="M35">
        <f>EXP(((-1)/(2*'Cálculos Diversos'!$B$5))*(SQRT(SUMXMY2('Tabela Entrada-Saída'!$B$35:$O$35,'Coordenadas dos Polos'!$FN$2:$GA$2)))^2)</f>
        <v>3.0665967555237937E-4</v>
      </c>
      <c r="N35">
        <f>EXP(((-1)/(2*'Cálculos Diversos'!$B$5))*(SQRT(SUMXMY2('Tabela Entrada-Saída'!$B$35:$O$35,'Coordenadas dos Polos'!$GB$2:$GO$2)))^2)</f>
        <v>9.1146908182462936E-3</v>
      </c>
      <c r="O35">
        <f>EXP(((-1)/(2*'Cálculos Diversos'!$B$5))*(SQRT(SUMXMY2('Tabela Entrada-Saída'!$B$35:$O$35,'Coordenadas dos Polos'!$GP$2:$HC$2)))^2)</f>
        <v>2.4938259811516171E-5</v>
      </c>
      <c r="P35">
        <v>1</v>
      </c>
    </row>
    <row r="36" spans="1:16" x14ac:dyDescent="0.25">
      <c r="A36">
        <v>35</v>
      </c>
      <c r="B36">
        <f>EXP(((-1)/(2*'Cálculos Diversos'!$B$5))*(SQRT(SUMXMY2('Tabela Entrada-Saída'!$B$36:$O$36,'Coordenadas dos Polos'!$P$2:$AC$2)))^2)</f>
        <v>0.11439821226411849</v>
      </c>
      <c r="C36">
        <f>EXP(((-1)/(2*'Cálculos Diversos'!$B$5))*(SQRT(SUMXMY2('Tabela Entrada-Saída'!$B$36:$O$36,'Coordenadas dos Polos'!$AD$2:$AQ$2)))^2)</f>
        <v>1.6468635887355692E-5</v>
      </c>
      <c r="D36">
        <f>EXP(((-1)/(2*'Cálculos Diversos'!$B$5))*(SQRT(SUMXMY2('Tabela Entrada-Saída'!$B$36:$O$36,'Coordenadas dos Polos'!$AR$2:$BE$2)))^2)</f>
        <v>1.4084187425052498E-3</v>
      </c>
      <c r="E36">
        <f>EXP(((-1)/(2*'Cálculos Diversos'!$B$5))*(SQRT(SUMXMY2('Tabela Entrada-Saída'!$B$36:$O$36,'Coordenadas dos Polos'!$BF$2:$BS$2)))^2)</f>
        <v>1.2659115729424947E-4</v>
      </c>
      <c r="F36">
        <f>EXP(((-1)/(2*'Cálculos Diversos'!$B$5))*(SQRT(SUMXMY2('Tabela Entrada-Saída'!$B$36:$O$36,'Coordenadas dos Polos'!$BT$2:$CG$2)))^2)</f>
        <v>1.9454868592289831E-3</v>
      </c>
      <c r="G36">
        <f>EXP(((-1)/(2*'Cálculos Diversos'!$B$5))*(SQRT(SUMXMY2('Tabela Entrada-Saída'!$B$36:$O$36,'Coordenadas dos Polos'!$CH$2:$CU$2)))^2)</f>
        <v>2.7110108666488832E-5</v>
      </c>
      <c r="H36">
        <f>EXP(((-1)/(2*'Cálculos Diversos'!$B$5))*(SQRT(SUMXMY2('Tabela Entrada-Saída'!$B$36:$O$36,'Coordenadas dos Polos'!$CV$2:$DI$2)))^2)</f>
        <v>3.5346501384640391E-3</v>
      </c>
      <c r="I36">
        <f>EXP(((-1)/(2*'Cálculos Diversos'!$B$5))*(SQRT(SUMXMY2('Tabela Entrada-Saída'!$B$36:$O$36,'Coordenadas dos Polos'!$DJ$2:$DW$2)))^2)</f>
        <v>1.6983170170159277E-6</v>
      </c>
      <c r="J36">
        <f>EXP(((-1)/(2*'Cálculos Diversos'!$B$5))*(SQRT(SUMXMY2('Tabela Entrada-Saída'!$B$36:$O$36,'Coordenadas dos Polos'!$DX$2:$EK$2)))^2)</f>
        <v>1.034359718876208E-3</v>
      </c>
      <c r="K36">
        <f>EXP(((-1)/(2*'Cálculos Diversos'!$B$5))*(SQRT(SUMXMY2('Tabela Entrada-Saída'!$B$36:$O$36,'Coordenadas dos Polos'!$EL$2:$EY$2)))^2)</f>
        <v>2.5026285998831152E-5</v>
      </c>
      <c r="L36">
        <f>EXP(((-1)/(2*'Cálculos Diversos'!$B$5))*(SQRT(SUMXMY2('Tabela Entrada-Saída'!$B$36:$O$36,'Coordenadas dos Polos'!$EZ$2:$FM$2)))^2)</f>
        <v>8.6605412329145441E-4</v>
      </c>
      <c r="M36">
        <f>EXP(((-1)/(2*'Cálculos Diversos'!$B$5))*(SQRT(SUMXMY2('Tabela Entrada-Saída'!$B$36:$O$36,'Coordenadas dos Polos'!$FN$2:$GA$2)))^2)</f>
        <v>2.7554566029350925E-4</v>
      </c>
      <c r="N36">
        <f>EXP(((-1)/(2*'Cálculos Diversos'!$B$5))*(SQRT(SUMXMY2('Tabela Entrada-Saída'!$B$36:$O$36,'Coordenadas dos Polos'!$GB$2:$GO$2)))^2)</f>
        <v>8.1366797491422508E-3</v>
      </c>
      <c r="O36">
        <f>EXP(((-1)/(2*'Cálculos Diversos'!$B$5))*(SQRT(SUMXMY2('Tabela Entrada-Saída'!$B$36:$O$36,'Coordenadas dos Polos'!$GP$2:$HC$2)))^2)</f>
        <v>1.892227889951831E-5</v>
      </c>
      <c r="P36">
        <v>1</v>
      </c>
    </row>
    <row r="37" spans="1:16" x14ac:dyDescent="0.25">
      <c r="A37">
        <v>36</v>
      </c>
      <c r="B37">
        <f>EXP(((-1)/(2*'Cálculos Diversos'!$B$5))*(SQRT(SUMXMY2('Tabela Entrada-Saída'!$B$37:$O$37,'Coordenadas dos Polos'!$P$2:$AC$2)))^2)</f>
        <v>0.18717410978042112</v>
      </c>
      <c r="C37">
        <f>EXP(((-1)/(2*'Cálculos Diversos'!$B$5))*(SQRT(SUMXMY2('Tabela Entrada-Saída'!$B$37:$O$37,'Coordenadas dos Polos'!$AD$2:$AQ$2)))^2)</f>
        <v>1.8818660857159616E-5</v>
      </c>
      <c r="D37">
        <f>EXP(((-1)/(2*'Cálculos Diversos'!$B$5))*(SQRT(SUMXMY2('Tabela Entrada-Saída'!$B$37:$O$37,'Coordenadas dos Polos'!$AR$2:$BE$2)))^2)</f>
        <v>1.3138788745559733E-3</v>
      </c>
      <c r="E37">
        <f>EXP(((-1)/(2*'Cálculos Diversos'!$B$5))*(SQRT(SUMXMY2('Tabela Entrada-Saída'!$B$37:$O$37,'Coordenadas dos Polos'!$BF$2:$BS$2)))^2)</f>
        <v>1.5988527681640787E-4</v>
      </c>
      <c r="F37">
        <f>EXP(((-1)/(2*'Cálculos Diversos'!$B$5))*(SQRT(SUMXMY2('Tabela Entrada-Saída'!$B$37:$O$37,'Coordenadas dos Polos'!$BT$2:$CG$2)))^2)</f>
        <v>1.8195623846507492E-3</v>
      </c>
      <c r="G37">
        <f>EXP(((-1)/(2*'Cálculos Diversos'!$B$5))*(SQRT(SUMXMY2('Tabela Entrada-Saída'!$B$37:$O$37,'Coordenadas dos Polos'!$CH$2:$CU$2)))^2)</f>
        <v>4.3634873156182492E-5</v>
      </c>
      <c r="H37">
        <f>EXP(((-1)/(2*'Cálculos Diversos'!$B$5))*(SQRT(SUMXMY2('Tabela Entrada-Saída'!$B$37:$O$37,'Coordenadas dos Polos'!$CV$2:$DI$2)))^2)</f>
        <v>4.1577042454671205E-3</v>
      </c>
      <c r="I37">
        <f>EXP(((-1)/(2*'Cálculos Diversos'!$B$5))*(SQRT(SUMXMY2('Tabela Entrada-Saída'!$B$37:$O$37,'Coordenadas dos Polos'!$DJ$2:$DW$2)))^2)</f>
        <v>2.5002481427944048E-6</v>
      </c>
      <c r="J37">
        <f>EXP(((-1)/(2*'Cálculos Diversos'!$B$5))*(SQRT(SUMXMY2('Tabela Entrada-Saída'!$B$37:$O$37,'Coordenadas dos Polos'!$DX$2:$EK$2)))^2)</f>
        <v>1.3401127681624706E-3</v>
      </c>
      <c r="K37">
        <f>EXP(((-1)/(2*'Cálculos Diversos'!$B$5))*(SQRT(SUMXMY2('Tabela Entrada-Saída'!$B$37:$O$37,'Coordenadas dos Polos'!$EL$2:$EY$2)))^2)</f>
        <v>2.3257122762786483E-5</v>
      </c>
      <c r="L37">
        <f>EXP(((-1)/(2*'Cálculos Diversos'!$B$5))*(SQRT(SUMXMY2('Tabela Entrada-Saída'!$B$37:$O$37,'Coordenadas dos Polos'!$EZ$2:$FM$2)))^2)</f>
        <v>8.6146788791743292E-4</v>
      </c>
      <c r="M37">
        <f>EXP(((-1)/(2*'Cálculos Diversos'!$B$5))*(SQRT(SUMXMY2('Tabela Entrada-Saída'!$B$37:$O$37,'Coordenadas dos Polos'!$FN$2:$GA$2)))^2)</f>
        <v>3.0709460155022407E-4</v>
      </c>
      <c r="N37">
        <f>EXP(((-1)/(2*'Cálculos Diversos'!$B$5))*(SQRT(SUMXMY2('Tabela Entrada-Saída'!$B$37:$O$37,'Coordenadas dos Polos'!$GB$2:$GO$2)))^2)</f>
        <v>9.1159451686332552E-3</v>
      </c>
      <c r="O37">
        <f>EXP(((-1)/(2*'Cálculos Diversos'!$B$5))*(SQRT(SUMXMY2('Tabela Entrada-Saída'!$B$37:$O$37,'Coordenadas dos Polos'!$GP$2:$HC$2)))^2)</f>
        <v>2.4984556769866546E-5</v>
      </c>
      <c r="P37">
        <v>1</v>
      </c>
    </row>
    <row r="38" spans="1:16" x14ac:dyDescent="0.25">
      <c r="A38">
        <v>37</v>
      </c>
      <c r="B38">
        <f>EXP(((-1)/(2*'Cálculos Diversos'!$B$5))*(SQRT(SUMXMY2('Tabela Entrada-Saída'!$B$38:$O$38,'Coordenadas dos Polos'!$P$2:$AC$2)))^2)</f>
        <v>0.14011123887532245</v>
      </c>
      <c r="C38">
        <f>EXP(((-1)/(2*'Cálculos Diversos'!$B$5))*(SQRT(SUMXMY2('Tabela Entrada-Saída'!$B$38:$O$38,'Coordenadas dos Polos'!$AD$2:$AQ$2)))^2)</f>
        <v>1.7549530698069688E-5</v>
      </c>
      <c r="D38">
        <f>EXP(((-1)/(2*'Cálculos Diversos'!$B$5))*(SQRT(SUMXMY2('Tabela Entrada-Saída'!$B$38:$O$38,'Coordenadas dos Polos'!$AR$2:$BE$2)))^2)</f>
        <v>1.3864583065886567E-3</v>
      </c>
      <c r="E38">
        <f>EXP(((-1)/(2*'Cálculos Diversos'!$B$5))*(SQRT(SUMXMY2('Tabela Entrada-Saída'!$B$38:$O$38,'Coordenadas dos Polos'!$BF$2:$BS$2)))^2)</f>
        <v>1.4022541274960964E-4</v>
      </c>
      <c r="F38">
        <f>EXP(((-1)/(2*'Cálculos Diversos'!$B$5))*(SQRT(SUMXMY2('Tabela Entrada-Saída'!$B$38:$O$38,'Coordenadas dos Polos'!$BT$2:$CG$2)))^2)</f>
        <v>1.9166690221010185E-3</v>
      </c>
      <c r="G38">
        <f>EXP(((-1)/(2*'Cálculos Diversos'!$B$5))*(SQRT(SUMXMY2('Tabela Entrada-Saída'!$B$38:$O$38,'Coordenadas dos Polos'!$CH$2:$CU$2)))^2)</f>
        <v>3.3018119990542101E-5</v>
      </c>
      <c r="H38">
        <f>EXP(((-1)/(2*'Cálculos Diversos'!$B$5))*(SQRT(SUMXMY2('Tabela Entrada-Saída'!$B$38:$O$38,'Coordenadas dos Polos'!$CV$2:$DI$2)))^2)</f>
        <v>3.8087005971754271E-3</v>
      </c>
      <c r="I38">
        <f>EXP(((-1)/(2*'Cálculos Diversos'!$B$5))*(SQRT(SUMXMY2('Tabela Entrada-Saída'!$B$38:$O$38,'Coordenadas dos Polos'!$DJ$2:$DW$2)))^2)</f>
        <v>1.9988449982315045E-6</v>
      </c>
      <c r="J38">
        <f>EXP(((-1)/(2*'Cálculos Diversos'!$B$5))*(SQRT(SUMXMY2('Tabela Entrada-Saída'!$B$38:$O$38,'Coordenadas dos Polos'!$DX$2:$EK$2)))^2)</f>
        <v>1.1576185432489291E-3</v>
      </c>
      <c r="K38">
        <f>EXP(((-1)/(2*'Cálculos Diversos'!$B$5))*(SQRT(SUMXMY2('Tabela Entrada-Saída'!$B$38:$O$38,'Coordenadas dos Polos'!$EL$2:$EY$2)))^2)</f>
        <v>2.4609129850611571E-5</v>
      </c>
      <c r="L38">
        <f>EXP(((-1)/(2*'Cálculos Diversos'!$B$5))*(SQRT(SUMXMY2('Tabela Entrada-Saída'!$B$38:$O$38,'Coordenadas dos Polos'!$EZ$2:$FM$2)))^2)</f>
        <v>8.7411597220542171E-4</v>
      </c>
      <c r="M38">
        <f>EXP(((-1)/(2*'Cálculos Diversos'!$B$5))*(SQRT(SUMXMY2('Tabela Entrada-Saída'!$B$38:$O$38,'Coordenadas dos Polos'!$FN$2:$GA$2)))^2)</f>
        <v>2.908313512193782E-4</v>
      </c>
      <c r="N38">
        <f>EXP(((-1)/(2*'Cálculos Diversos'!$B$5))*(SQRT(SUMXMY2('Tabela Entrada-Saída'!$B$38:$O$38,'Coordenadas dos Polos'!$GB$2:$GO$2)))^2)</f>
        <v>8.6003834873225344E-3</v>
      </c>
      <c r="O38">
        <f>EXP(((-1)/(2*'Cálculos Diversos'!$B$5))*(SQRT(SUMXMY2('Tabela Entrada-Saída'!$B$38:$O$38,'Coordenadas dos Polos'!$GP$2:$HC$2)))^2)</f>
        <v>2.1331596484075277E-5</v>
      </c>
      <c r="P38">
        <v>1</v>
      </c>
    </row>
    <row r="39" spans="1:16" x14ac:dyDescent="0.25">
      <c r="A39">
        <v>38</v>
      </c>
      <c r="B39">
        <f>EXP(((-1)/(2*'Cálculos Diversos'!$B$5))*(SQRT(SUMXMY2('Tabela Entrada-Saída'!$B$39:$O$39,'Coordenadas dos Polos'!$P$2:$AC$2)))^2)</f>
        <v>0.15088616810429345</v>
      </c>
      <c r="C39">
        <f>EXP(((-1)/(2*'Cálculos Diversos'!$B$5))*(SQRT(SUMXMY2('Tabela Entrada-Saída'!$B$39:$O$39,'Coordenadas dos Polos'!$AD$2:$AQ$2)))^2)</f>
        <v>1.7879875529125436E-5</v>
      </c>
      <c r="D39">
        <f>EXP(((-1)/(2*'Cálculos Diversos'!$B$5))*(SQRT(SUMXMY2('Tabela Entrada-Saída'!$B$39:$O$39,'Coordenadas dos Polos'!$AR$2:$BE$2)))^2)</f>
        <v>1.3713605729440057E-3</v>
      </c>
      <c r="E39">
        <f>EXP(((-1)/(2*'Cálculos Diversos'!$B$5))*(SQRT(SUMXMY2('Tabela Entrada-Saída'!$B$39:$O$39,'Coordenadas dos Polos'!$BF$2:$BS$2)))^2)</f>
        <v>1.4512566339518665E-4</v>
      </c>
      <c r="F39">
        <f>EXP(((-1)/(2*'Cálculos Diversos'!$B$5))*(SQRT(SUMXMY2('Tabela Entrada-Saída'!$B$39:$O$39,'Coordenadas dos Polos'!$BT$2:$CG$2)))^2)</f>
        <v>1.896503232922359E-3</v>
      </c>
      <c r="G39">
        <f>EXP(((-1)/(2*'Cálculos Diversos'!$B$5))*(SQRT(SUMXMY2('Tabela Entrada-Saída'!$B$39:$O$39,'Coordenadas dos Polos'!$CH$2:$CU$2)))^2)</f>
        <v>3.542650863748863E-5</v>
      </c>
      <c r="H39">
        <f>EXP(((-1)/(2*'Cálculos Diversos'!$B$5))*(SQRT(SUMXMY2('Tabela Entrada-Saída'!$B$39:$O$39,'Coordenadas dos Polos'!$CV$2:$DI$2)))^2)</f>
        <v>3.8992809261483483E-3</v>
      </c>
      <c r="I39">
        <f>EXP(((-1)/(2*'Cálculos Diversos'!$B$5))*(SQRT(SUMXMY2('Tabela Entrada-Saída'!$B$39:$O$39,'Coordenadas dos Polos'!$DJ$2:$DW$2)))^2)</f>
        <v>2.1138017164308355E-6</v>
      </c>
      <c r="J39">
        <f>EXP(((-1)/(2*'Cálculos Diversos'!$B$5))*(SQRT(SUMXMY2('Tabela Entrada-Saída'!$B$39:$O$39,'Coordenadas dos Polos'!$DX$2:$EK$2)))^2)</f>
        <v>1.202452642787052E-3</v>
      </c>
      <c r="K39">
        <f>EXP(((-1)/(2*'Cálculos Diversos'!$B$5))*(SQRT(SUMXMY2('Tabela Entrada-Saída'!$B$39:$O$39,'Coordenadas dos Polos'!$EL$2:$EY$2)))^2)</f>
        <v>2.431330122591092E-5</v>
      </c>
      <c r="L39">
        <f>EXP(((-1)/(2*'Cálculos Diversos'!$B$5))*(SQRT(SUMXMY2('Tabela Entrada-Saída'!$B$39:$O$39,'Coordenadas dos Polos'!$EZ$2:$FM$2)))^2)</f>
        <v>8.7290362102711533E-4</v>
      </c>
      <c r="M39">
        <f>EXP(((-1)/(2*'Cálculos Diversos'!$B$5))*(SQRT(SUMXMY2('Tabela Entrada-Saída'!$B$39:$O$39,'Coordenadas dos Polos'!$FN$2:$GA$2)))^2)</f>
        <v>2.9511970293036251E-4</v>
      </c>
      <c r="N39">
        <f>EXP(((-1)/(2*'Cálculos Diversos'!$B$5))*(SQRT(SUMXMY2('Tabela Entrada-Saída'!$B$39:$O$39,'Coordenadas dos Polos'!$GB$2:$GO$2)))^2)</f>
        <v>8.7452717863689862E-3</v>
      </c>
      <c r="O39">
        <f>EXP(((-1)/(2*'Cálculos Diversos'!$B$5))*(SQRT(SUMXMY2('Tabela Entrada-Saída'!$B$39:$O$39,'Coordenadas dos Polos'!$GP$2:$HC$2)))^2)</f>
        <v>2.2219047017436679E-5</v>
      </c>
      <c r="P39">
        <v>1</v>
      </c>
    </row>
    <row r="40" spans="1:16" x14ac:dyDescent="0.25">
      <c r="A40">
        <v>39</v>
      </c>
      <c r="B40">
        <f>EXP(((-1)/(2*'Cálculos Diversos'!$B$5))*(SQRT(SUMXMY2('Tabela Entrada-Saída'!$B$40:$O$40,'Coordenadas dos Polos'!$P$2:$AC$2)))^2)</f>
        <v>0.18013504269241465</v>
      </c>
      <c r="C40">
        <f>EXP(((-1)/(2*'Cálculos Diversos'!$B$5))*(SQRT(SUMXMY2('Tabela Entrada-Saída'!$B$40:$O$40,'Coordenadas dos Polos'!$AD$2:$AQ$2)))^2)</f>
        <v>1.8639174587719291E-5</v>
      </c>
      <c r="D40">
        <f>EXP(((-1)/(2*'Cálculos Diversos'!$B$5))*(SQRT(SUMXMY2('Tabela Entrada-Saída'!$B$40:$O$40,'Coordenadas dos Polos'!$AR$2:$BE$2)))^2)</f>
        <v>1.3254833677352937E-3</v>
      </c>
      <c r="E40">
        <f>EXP(((-1)/(2*'Cálculos Diversos'!$B$5))*(SQRT(SUMXMY2('Tabela Entrada-Saída'!$B$40:$O$40,'Coordenadas dos Polos'!$BF$2:$BS$2)))^2)</f>
        <v>1.5718261845425749E-4</v>
      </c>
      <c r="F40">
        <f>EXP(((-1)/(2*'Cálculos Diversos'!$B$5))*(SQRT(SUMXMY2('Tabela Entrada-Saída'!$B$40:$O$40,'Coordenadas dos Polos'!$BT$2:$CG$2)))^2)</f>
        <v>1.834623117057966E-3</v>
      </c>
      <c r="G40">
        <f>EXP(((-1)/(2*'Cálculos Diversos'!$B$5))*(SQRT(SUMXMY2('Tabela Entrada-Saída'!$B$40:$O$40,'Coordenadas dos Polos'!$CH$2:$CU$2)))^2)</f>
        <v>4.2027557743211888E-5</v>
      </c>
      <c r="H40">
        <f>EXP(((-1)/(2*'Cálculos Diversos'!$B$5))*(SQRT(SUMXMY2('Tabela Entrada-Saída'!$B$40:$O$40,'Coordenadas dos Polos'!$CV$2:$DI$2)))^2)</f>
        <v>4.1091038440889301E-3</v>
      </c>
      <c r="I40">
        <f>EXP(((-1)/(2*'Cálculos Diversos'!$B$5))*(SQRT(SUMXMY2('Tabela Entrada-Saída'!$B$40:$O$40,'Coordenadas dos Polos'!$DJ$2:$DW$2)))^2)</f>
        <v>2.4217971127601714E-6</v>
      </c>
      <c r="J40">
        <f>EXP(((-1)/(2*'Cálculos Diversos'!$B$5))*(SQRT(SUMXMY2('Tabela Entrada-Saída'!$B$40:$O$40,'Coordenadas dos Polos'!$DX$2:$EK$2)))^2)</f>
        <v>1.313316314532817E-3</v>
      </c>
      <c r="K40">
        <f>EXP(((-1)/(2*'Cálculos Diversos'!$B$5))*(SQRT(SUMXMY2('Tabela Entrada-Saída'!$B$40:$O$40,'Coordenadas dos Polos'!$EL$2:$EY$2)))^2)</f>
        <v>2.344508451811027E-5</v>
      </c>
      <c r="L40">
        <f>EXP(((-1)/(2*'Cálculos Diversos'!$B$5))*(SQRT(SUMXMY2('Tabela Entrada-Saída'!$B$40:$O$40,'Coordenadas dos Polos'!$EZ$2:$FM$2)))^2)</f>
        <v>8.6413261896397609E-4</v>
      </c>
      <c r="M40">
        <f>EXP(((-1)/(2*'Cálculos Diversos'!$B$5))*(SQRT(SUMXMY2('Tabela Entrada-Saída'!$B$40:$O$40,'Coordenadas dos Polos'!$FN$2:$GA$2)))^2)</f>
        <v>3.0475627163097823E-4</v>
      </c>
      <c r="N40">
        <f>EXP(((-1)/(2*'Cálculos Diversos'!$B$5))*(SQRT(SUMXMY2('Tabela Entrada-Saída'!$B$40:$O$40,'Coordenadas dos Polos'!$GB$2:$GO$2)))^2)</f>
        <v>9.0569255761012938E-3</v>
      </c>
      <c r="O40">
        <f>EXP(((-1)/(2*'Cálculos Diversos'!$B$5))*(SQRT(SUMXMY2('Tabela Entrada-Saída'!$B$40:$O$40,'Coordenadas dos Polos'!$GP$2:$HC$2)))^2)</f>
        <v>2.4444505722936335E-5</v>
      </c>
      <c r="P40">
        <v>1</v>
      </c>
    </row>
    <row r="41" spans="1:16" x14ac:dyDescent="0.25">
      <c r="A41">
        <v>40</v>
      </c>
      <c r="B41">
        <f>EXP(((-1)/(2*'Cálculos Diversos'!$B$5))*(SQRT(SUMXMY2('Tabela Entrada-Saída'!$B$41:$O$41,'Coordenadas dos Polos'!$P$2:$AC$2)))^2)</f>
        <v>0.12541902454296544</v>
      </c>
      <c r="C41">
        <f>EXP(((-1)/(2*'Cálculos Diversos'!$B$5))*(SQRT(SUMXMY2('Tabela Entrada-Saída'!$B$41:$O$41,'Coordenadas dos Polos'!$AD$2:$AQ$2)))^2)</f>
        <v>1.6987421143812815E-5</v>
      </c>
      <c r="D41">
        <f>EXP(((-1)/(2*'Cálculos Diversos'!$B$5))*(SQRT(SUMXMY2('Tabela Entrada-Saída'!$B$41:$O$41,'Coordenadas dos Polos'!$AR$2:$BE$2)))^2)</f>
        <v>1.4013601188066248E-3</v>
      </c>
      <c r="E41">
        <f>EXP(((-1)/(2*'Cálculos Diversos'!$B$5))*(SQRT(SUMXMY2('Tabela Entrada-Saída'!$B$41:$O$41,'Coordenadas dos Polos'!$BF$2:$BS$2)))^2)</f>
        <v>1.3273479731823915E-4</v>
      </c>
      <c r="F41">
        <f>EXP(((-1)/(2*'Cálculos Diversos'!$B$5))*(SQRT(SUMXMY2('Tabela Entrada-Saída'!$B$41:$O$41,'Coordenadas dos Polos'!$BT$2:$CG$2)))^2)</f>
        <v>1.9367293398781739E-3</v>
      </c>
      <c r="G41">
        <f>EXP(((-1)/(2*'Cálculos Diversos'!$B$5))*(SQRT(SUMXMY2('Tabela Entrada-Saída'!$B$41:$O$41,'Coordenadas dos Polos'!$CH$2:$CU$2)))^2)</f>
        <v>2.9650473666870618E-5</v>
      </c>
      <c r="H41">
        <f>EXP(((-1)/(2*'Cálculos Diversos'!$B$5))*(SQRT(SUMXMY2('Tabela Entrada-Saída'!$B$41:$O$41,'Coordenadas dos Polos'!$CV$2:$DI$2)))^2)</f>
        <v>3.6644054566704653E-3</v>
      </c>
      <c r="I41">
        <f>EXP(((-1)/(2*'Cálculos Diversos'!$B$5))*(SQRT(SUMXMY2('Tabela Entrada-Saída'!$B$41:$O$41,'Coordenadas dos Polos'!$DJ$2:$DW$2)))^2)</f>
        <v>1.8326583669272703E-6</v>
      </c>
      <c r="J41">
        <f>EXP(((-1)/(2*'Cálculos Diversos'!$B$5))*(SQRT(SUMXMY2('Tabela Entrada-Saída'!$B$41:$O$41,'Coordenadas dos Polos'!$DX$2:$EK$2)))^2)</f>
        <v>1.091308891249508E-3</v>
      </c>
      <c r="K41">
        <f>EXP(((-1)/(2*'Cálculos Diversos'!$B$5))*(SQRT(SUMXMY2('Tabela Entrada-Saída'!$B$41:$O$41,'Coordenadas dos Polos'!$EL$2:$EY$2)))^2)</f>
        <v>2.4918731369094811E-5</v>
      </c>
      <c r="L41">
        <f>EXP(((-1)/(2*'Cálculos Diversos'!$B$5))*(SQRT(SUMXMY2('Tabela Entrada-Saída'!$B$41:$O$41,'Coordenadas dos Polos'!$EZ$2:$FM$2)))^2)</f>
        <v>8.7152771788417179E-4</v>
      </c>
      <c r="M41">
        <f>EXP(((-1)/(2*'Cálculos Diversos'!$B$5))*(SQRT(SUMXMY2('Tabela Entrada-Saída'!$B$41:$O$41,'Coordenadas dos Polos'!$FN$2:$GA$2)))^2)</f>
        <v>2.8302990657539328E-4</v>
      </c>
      <c r="N41">
        <f>EXP(((-1)/(2*'Cálculos Diversos'!$B$5))*(SQRT(SUMXMY2('Tabela Entrada-Saída'!$B$41:$O$41,'Coordenadas dos Polos'!$GB$2:$GO$2)))^2)</f>
        <v>8.3535736396538173E-3</v>
      </c>
      <c r="O41">
        <f>EXP(((-1)/(2*'Cálculos Diversos'!$B$5))*(SQRT(SUMXMY2('Tabela Entrada-Saída'!$B$41:$O$41,'Coordenadas dos Polos'!$GP$2:$HC$2)))^2)</f>
        <v>2.0024450008643949E-5</v>
      </c>
      <c r="P41">
        <v>1</v>
      </c>
    </row>
    <row r="42" spans="1:16" x14ac:dyDescent="0.25">
      <c r="A42">
        <v>41</v>
      </c>
      <c r="B42">
        <f>EXP(((-1)/(2*'Cálculos Diversos'!$B$5))*(SQRT(SUMXMY2('Tabela Entrada-Saída'!$B$42:$O$42,'Coordenadas dos Polos'!$P$2:$AC$2)))^2)</f>
        <v>0.13666564404515397</v>
      </c>
      <c r="C42">
        <f>EXP(((-1)/(2*'Cálculos Diversos'!$B$5))*(SQRT(SUMXMY2('Tabela Entrada-Saída'!$B$42:$O$42,'Coordenadas dos Polos'!$AD$2:$AQ$2)))^2)</f>
        <v>1.7421610536565729E-5</v>
      </c>
      <c r="D42">
        <f>EXP(((-1)/(2*'Cálculos Diversos'!$B$5))*(SQRT(SUMXMY2('Tabela Entrada-Saída'!$B$42:$O$42,'Coordenadas dos Polos'!$AR$2:$BE$2)))^2)</f>
        <v>1.3897672594752688E-3</v>
      </c>
      <c r="E42">
        <f>EXP(((-1)/(2*'Cálculos Diversos'!$B$5))*(SQRT(SUMXMY2('Tabela Entrada-Saída'!$B$42:$O$42,'Coordenadas dos Polos'!$BF$2:$BS$2)))^2)</f>
        <v>1.385029340822213E-4</v>
      </c>
      <c r="F42">
        <f>EXP(((-1)/(2*'Cálculos Diversos'!$B$5))*(SQRT(SUMXMY2('Tabela Entrada-Saída'!$B$42:$O$42,'Coordenadas dos Polos'!$BT$2:$CG$2)))^2)</f>
        <v>1.9215190542023173E-3</v>
      </c>
      <c r="G42">
        <f>EXP(((-1)/(2*'Cálculos Diversos'!$B$5))*(SQRT(SUMXMY2('Tabela Entrada-Saída'!$B$42:$O$42,'Coordenadas dos Polos'!$CH$2:$CU$2)))^2)</f>
        <v>3.221422280838564E-5</v>
      </c>
      <c r="H42">
        <f>EXP(((-1)/(2*'Cálculos Diversos'!$B$5))*(SQRT(SUMXMY2('Tabela Entrada-Saída'!$B$42:$O$42,'Coordenadas dos Polos'!$CV$2:$DI$2)))^2)</f>
        <v>3.7760689144920004E-3</v>
      </c>
      <c r="I42">
        <f>EXP(((-1)/(2*'Cálculos Diversos'!$B$5))*(SQRT(SUMXMY2('Tabela Entrada-Saída'!$B$42:$O$42,'Coordenadas dos Polos'!$DJ$2:$DW$2)))^2)</f>
        <v>1.9595474986547478E-6</v>
      </c>
      <c r="J42">
        <f>EXP(((-1)/(2*'Cálculos Diversos'!$B$5))*(SQRT(SUMXMY2('Tabela Entrada-Saída'!$B$42:$O$42,'Coordenadas dos Polos'!$DX$2:$EK$2)))^2)</f>
        <v>1.1423018857162981E-3</v>
      </c>
      <c r="K42">
        <f>EXP(((-1)/(2*'Cálculos Diversos'!$B$5))*(SQRT(SUMXMY2('Tabela Entrada-Saída'!$B$42:$O$42,'Coordenadas dos Polos'!$EL$2:$EY$2)))^2)</f>
        <v>2.4678082538282629E-5</v>
      </c>
      <c r="L42">
        <f>EXP(((-1)/(2*'Cálculos Diversos'!$B$5))*(SQRT(SUMXMY2('Tabela Entrada-Saída'!$B$42:$O$42,'Coordenadas dos Polos'!$EZ$2:$FM$2)))^2)</f>
        <v>8.7350156917677315E-4</v>
      </c>
      <c r="M42">
        <f>EXP(((-1)/(2*'Cálculos Diversos'!$B$5))*(SQRT(SUMXMY2('Tabela Entrada-Saída'!$B$42:$O$42,'Coordenadas dos Polos'!$FN$2:$GA$2)))^2)</f>
        <v>2.8900360531986977E-4</v>
      </c>
      <c r="N42">
        <f>EXP(((-1)/(2*'Cálculos Diversos'!$B$5))*(SQRT(SUMXMY2('Tabela Entrada-Saída'!$B$42:$O$42,'Coordenadas dos Polos'!$GB$2:$GO$2)))^2)</f>
        <v>8.5443890962102666E-3</v>
      </c>
      <c r="O42">
        <f>EXP(((-1)/(2*'Cálculos Diversos'!$B$5))*(SQRT(SUMXMY2('Tabela Entrada-Saída'!$B$42:$O$42,'Coordenadas dos Polos'!$GP$2:$HC$2)))^2)</f>
        <v>2.1031481866671397E-5</v>
      </c>
      <c r="P42">
        <v>1</v>
      </c>
    </row>
    <row r="43" spans="1:16" x14ac:dyDescent="0.25">
      <c r="A43">
        <v>42</v>
      </c>
      <c r="B43">
        <f>EXP(((-1)/(2*'Cálculos Diversos'!$B$5))*(SQRT(SUMXMY2('Tabela Entrada-Saída'!$B$43:$O$43,'Coordenadas dos Polos'!$P$2:$AC$2)))^2)</f>
        <v>0.17028167879460732</v>
      </c>
      <c r="C43">
        <f>EXP(((-1)/(2*'Cálculos Diversos'!$B$5))*(SQRT(SUMXMY2('Tabela Entrada-Saída'!$B$43:$O$43,'Coordenadas dos Polos'!$AD$2:$AQ$2)))^2)</f>
        <v>1.8400872760359388E-5</v>
      </c>
      <c r="D43">
        <f>EXP(((-1)/(2*'Cálculos Diversos'!$B$5))*(SQRT(SUMXMY2('Tabela Entrada-Saída'!$B$43:$O$43,'Coordenadas dos Polos'!$AR$2:$BE$2)))^2)</f>
        <v>1.3413418772491236E-3</v>
      </c>
      <c r="E43">
        <f>EXP(((-1)/(2*'Cálculos Diversos'!$B$5))*(SQRT(SUMXMY2('Tabela Entrada-Saída'!$B$43:$O$43,'Coordenadas dos Polos'!$BF$2:$BS$2)))^2)</f>
        <v>1.5331727834595225E-4</v>
      </c>
      <c r="F43">
        <f>EXP(((-1)/(2*'Cálculos Diversos'!$B$5))*(SQRT(SUMXMY2('Tabela Entrada-Saída'!$B$43:$O$43,'Coordenadas dos Polos'!$BT$2:$CG$2)))^2)</f>
        <v>1.8563720320880761E-3</v>
      </c>
      <c r="G43">
        <f>EXP(((-1)/(2*'Cálculos Diversos'!$B$5))*(SQRT(SUMXMY2('Tabela Entrada-Saída'!$B$43:$O$43,'Coordenadas dos Polos'!$CH$2:$CU$2)))^2)</f>
        <v>3.979352241640855E-5</v>
      </c>
      <c r="H43">
        <f>EXP(((-1)/(2*'Cálculos Diversos'!$B$5))*(SQRT(SUMXMY2('Tabela Entrada-Saída'!$B$43:$O$43,'Coordenadas dos Polos'!$CV$2:$DI$2)))^2)</f>
        <v>4.0423821732045156E-3</v>
      </c>
      <c r="I43">
        <f>EXP(((-1)/(2*'Cálculos Diversos'!$B$5))*(SQRT(SUMXMY2('Tabela Entrada-Saída'!$B$43:$O$43,'Coordenadas dos Polos'!$DJ$2:$DW$2)))^2)</f>
        <v>2.3171883629819949E-6</v>
      </c>
      <c r="J43">
        <f>EXP(((-1)/(2*'Cálculos Diversos'!$B$5))*(SQRT(SUMXMY2('Tabela Entrada-Saída'!$B$43:$O$43,'Coordenadas dos Polos'!$DX$2:$EK$2)))^2)</f>
        <v>1.2765112986799195E-3</v>
      </c>
      <c r="K43">
        <f>EXP(((-1)/(2*'Cálculos Diversos'!$B$5))*(SQRT(SUMXMY2('Tabela Entrada-Saída'!$B$43:$O$43,'Coordenadas dos Polos'!$EL$2:$EY$2)))^2)</f>
        <v>2.3728138895253199E-5</v>
      </c>
      <c r="L43">
        <f>EXP(((-1)/(2*'Cálculos Diversos'!$B$5))*(SQRT(SUMXMY2('Tabela Entrada-Saída'!$B$43:$O$43,'Coordenadas dos Polos'!$EZ$2:$FM$2)))^2)</f>
        <v>8.6776236344572079E-4</v>
      </c>
      <c r="M43">
        <f>EXP(((-1)/(2*'Cálculos Diversos'!$B$5))*(SQRT(SUMXMY2('Tabela Entrada-Saída'!$B$43:$O$43,'Coordenadas dos Polos'!$FN$2:$GA$2)))^2)</f>
        <v>3.0179196638841806E-4</v>
      </c>
      <c r="N43">
        <f>EXP(((-1)/(2*'Cálculos Diversos'!$B$5))*(SQRT(SUMXMY2('Tabela Entrada-Saída'!$B$43:$O$43,'Coordenadas dos Polos'!$GB$2:$GO$2)))^2)</f>
        <v>8.9649815613965077E-3</v>
      </c>
      <c r="O43">
        <f>EXP(((-1)/(2*'Cálculos Diversos'!$B$5))*(SQRT(SUMXMY2('Tabela Entrada-Saída'!$B$43:$O$43,'Coordenadas dos Polos'!$GP$2:$HC$2)))^2)</f>
        <v>2.3707416901990847E-5</v>
      </c>
      <c r="P43">
        <v>1</v>
      </c>
    </row>
    <row r="44" spans="1:16" x14ac:dyDescent="0.25">
      <c r="A44">
        <v>43</v>
      </c>
      <c r="B44">
        <f>EXP(((-1)/(2*'Cálculos Diversos'!$B$5))*(SQRT(SUMXMY2('Tabela Entrada-Saída'!$B$44:$O$44,'Coordenadas dos Polos'!$P$2:$AC$2)))^2)</f>
        <v>0.14115711791467461</v>
      </c>
      <c r="C44">
        <f>EXP(((-1)/(2*'Cálculos Diversos'!$B$5))*(SQRT(SUMXMY2('Tabela Entrada-Saída'!$B$44:$O$44,'Coordenadas dos Polos'!$AD$2:$AQ$2)))^2)</f>
        <v>1.7578606444484945E-5</v>
      </c>
      <c r="D44">
        <f>EXP(((-1)/(2*'Cálculos Diversos'!$B$5))*(SQRT(SUMXMY2('Tabela Entrada-Saída'!$B$44:$O$44,'Coordenadas dos Polos'!$AR$2:$BE$2)))^2)</f>
        <v>1.3846581619557832E-3</v>
      </c>
      <c r="E44">
        <f>EXP(((-1)/(2*'Cálculos Diversos'!$B$5))*(SQRT(SUMXMY2('Tabela Entrada-Saída'!$B$44:$O$44,'Coordenadas dos Polos'!$BF$2:$BS$2)))^2)</f>
        <v>1.4062400113418384E-4</v>
      </c>
      <c r="F44">
        <f>EXP(((-1)/(2*'Cálculos Diversos'!$B$5))*(SQRT(SUMXMY2('Tabela Entrada-Saída'!$B$44:$O$44,'Coordenadas dos Polos'!$BT$2:$CG$2)))^2)</f>
        <v>1.9142403199043786E-3</v>
      </c>
      <c r="G44">
        <f>EXP(((-1)/(2*'Cálculos Diversos'!$B$5))*(SQRT(SUMXMY2('Tabela Entrada-Saída'!$B$44:$O$44,'Coordenadas dos Polos'!$CH$2:$CU$2)))^2)</f>
        <v>3.323294432849263E-5</v>
      </c>
      <c r="H44">
        <f>EXP(((-1)/(2*'Cálculos Diversos'!$B$5))*(SQRT(SUMXMY2('Tabela Entrada-Saída'!$B$44:$O$44,'Coordenadas dos Polos'!$CV$2:$DI$2)))^2)</f>
        <v>3.8183541129815143E-3</v>
      </c>
      <c r="I44">
        <f>EXP(((-1)/(2*'Cálculos Diversos'!$B$5))*(SQRT(SUMXMY2('Tabela Entrada-Saída'!$B$44:$O$44,'Coordenadas dos Polos'!$DJ$2:$DW$2)))^2)</f>
        <v>2.0102640201208974E-6</v>
      </c>
      <c r="J44">
        <f>EXP(((-1)/(2*'Cálculos Diversos'!$B$5))*(SQRT(SUMXMY2('Tabela Entrada-Saída'!$B$44:$O$44,'Coordenadas dos Polos'!$DX$2:$EK$2)))^2)</f>
        <v>1.1629619943227089E-3</v>
      </c>
      <c r="K44">
        <f>EXP(((-1)/(2*'Cálculos Diversos'!$B$5))*(SQRT(SUMXMY2('Tabela Entrada-Saída'!$B$44:$O$44,'Coordenadas dos Polos'!$EL$2:$EY$2)))^2)</f>
        <v>2.4589293455618297E-5</v>
      </c>
      <c r="L44">
        <f>EXP(((-1)/(2*'Cálculos Diversos'!$B$5))*(SQRT(SUMXMY2('Tabela Entrada-Saída'!$B$44:$O$44,'Coordenadas dos Polos'!$EZ$2:$FM$2)))^2)</f>
        <v>8.7395474180533897E-4</v>
      </c>
      <c r="M44">
        <f>EXP(((-1)/(2*'Cálculos Diversos'!$B$5))*(SQRT(SUMXMY2('Tabela Entrada-Saída'!$B$44:$O$44,'Coordenadas dos Polos'!$FN$2:$GA$2)))^2)</f>
        <v>2.9121796986655206E-4</v>
      </c>
      <c r="N44">
        <f>EXP(((-1)/(2*'Cálculos Diversos'!$B$5))*(SQRT(SUMXMY2('Tabela Entrada-Saída'!$B$44:$O$44,'Coordenadas dos Polos'!$GB$2:$GO$2)))^2)</f>
        <v>8.6108576204841306E-3</v>
      </c>
      <c r="O44">
        <f>EXP(((-1)/(2*'Cálculos Diversos'!$B$5))*(SQRT(SUMXMY2('Tabela Entrada-Saída'!$B$44:$O$44,'Coordenadas dos Polos'!$GP$2:$HC$2)))^2)</f>
        <v>2.1428693343657456E-5</v>
      </c>
      <c r="P44">
        <v>1</v>
      </c>
    </row>
    <row r="45" spans="1:16" x14ac:dyDescent="0.25">
      <c r="A45">
        <v>44</v>
      </c>
      <c r="B45">
        <f>EXP(((-1)/(2*'Cálculos Diversos'!$B$5))*(SQRT(SUMXMY2('Tabela Entrada-Saída'!$B$45:$O$45,'Coordenadas dos Polos'!$P$2:$AC$2)))^2)</f>
        <v>0.11605730737584868</v>
      </c>
      <c r="C45">
        <f>EXP(((-1)/(2*'Cálculos Diversos'!$B$5))*(SQRT(SUMXMY2('Tabela Entrada-Saída'!$B$45:$O$45,'Coordenadas dos Polos'!$AD$2:$AQ$2)))^2)</f>
        <v>1.6575261005793035E-5</v>
      </c>
      <c r="D45">
        <f>EXP(((-1)/(2*'Cálculos Diversos'!$B$5))*(SQRT(SUMXMY2('Tabela Entrada-Saída'!$B$45:$O$45,'Coordenadas dos Polos'!$AR$2:$BE$2)))^2)</f>
        <v>1.4089357851173243E-3</v>
      </c>
      <c r="E45">
        <f>EXP(((-1)/(2*'Cálculos Diversos'!$B$5))*(SQRT(SUMXMY2('Tabela Entrada-Saída'!$B$45:$O$45,'Coordenadas dos Polos'!$BF$2:$BS$2)))^2)</f>
        <v>1.2761698470493724E-4</v>
      </c>
      <c r="F45">
        <f>EXP(((-1)/(2*'Cálculos Diversos'!$B$5))*(SQRT(SUMXMY2('Tabela Entrada-Saída'!$B$45:$O$45,'Coordenadas dos Polos'!$BT$2:$CG$2)))^2)</f>
        <v>1.9459486613104206E-3</v>
      </c>
      <c r="G45">
        <f>EXP(((-1)/(2*'Cálculos Diversos'!$B$5))*(SQRT(SUMXMY2('Tabela Entrada-Saída'!$B$45:$O$45,'Coordenadas dos Polos'!$CH$2:$CU$2)))^2)</f>
        <v>2.7513581040385787E-5</v>
      </c>
      <c r="H45">
        <f>EXP(((-1)/(2*'Cálculos Diversos'!$B$5))*(SQRT(SUMXMY2('Tabela Entrada-Saída'!$B$45:$O$45,'Coordenadas dos Polos'!$CV$2:$DI$2)))^2)</f>
        <v>3.5599499638276876E-3</v>
      </c>
      <c r="I45">
        <f>EXP(((-1)/(2*'Cálculos Diversos'!$B$5))*(SQRT(SUMXMY2('Tabela Entrada-Saída'!$B$45:$O$45,'Coordenadas dos Polos'!$DJ$2:$DW$2)))^2)</f>
        <v>1.7230090802423888E-6</v>
      </c>
      <c r="J45">
        <f>EXP(((-1)/(2*'Cálculos Diversos'!$B$5))*(SQRT(SUMXMY2('Tabela Entrada-Saída'!$B$45:$O$45,'Coordenadas dos Polos'!$DX$2:$EK$2)))^2)</f>
        <v>1.045300493711745E-3</v>
      </c>
      <c r="K45">
        <f>EXP(((-1)/(2*'Cálculos Diversos'!$B$5))*(SQRT(SUMXMY2('Tabela Entrada-Saída'!$B$45:$O$45,'Coordenadas dos Polos'!$EL$2:$EY$2)))^2)</f>
        <v>2.5069188144750922E-5</v>
      </c>
      <c r="L45">
        <f>EXP(((-1)/(2*'Cálculos Diversos'!$B$5))*(SQRT(SUMXMY2('Tabela Entrada-Saída'!$B$45:$O$45,'Coordenadas dos Polos'!$EZ$2:$FM$2)))^2)</f>
        <v>8.6782035862861752E-4</v>
      </c>
      <c r="M45">
        <f>EXP(((-1)/(2*'Cálculos Diversos'!$B$5))*(SQRT(SUMXMY2('Tabela Entrada-Saída'!$B$45:$O$45,'Coordenadas dos Polos'!$FN$2:$GA$2)))^2)</f>
        <v>2.7715853834892388E-4</v>
      </c>
      <c r="N45">
        <f>EXP(((-1)/(2*'Cálculos Diversos'!$B$5))*(SQRT(SUMXMY2('Tabela Entrada-Saída'!$B$45:$O$45,'Coordenadas dos Polos'!$GB$2:$GO$2)))^2)</f>
        <v>8.1738635445020979E-3</v>
      </c>
      <c r="O45">
        <f>EXP(((-1)/(2*'Cálculos Diversos'!$B$5))*(SQRT(SUMXMY2('Tabela Entrada-Saída'!$B$45:$O$45,'Coordenadas dos Polos'!$GP$2:$HC$2)))^2)</f>
        <v>1.9126666824698059E-5</v>
      </c>
      <c r="P45">
        <v>1</v>
      </c>
    </row>
    <row r="46" spans="1:16" x14ac:dyDescent="0.25">
      <c r="A46">
        <v>45</v>
      </c>
      <c r="B46">
        <f>EXP(((-1)/(2*'Cálculos Diversos'!$B$5))*(SQRT(SUMXMY2('Tabela Entrada-Saída'!$B$46:$O$46,'Coordenadas dos Polos'!$P$2:$AC$2)))^2)</f>
        <v>0.16312336643722977</v>
      </c>
      <c r="C46">
        <f>EXP(((-1)/(2*'Cálculos Diversos'!$B$5))*(SQRT(SUMXMY2('Tabela Entrada-Saída'!$B$46:$O$46,'Coordenadas dos Polos'!$AD$2:$AQ$2)))^2)</f>
        <v>1.8219909774430534E-5</v>
      </c>
      <c r="D46">
        <f>EXP(((-1)/(2*'Cálculos Diversos'!$B$5))*(SQRT(SUMXMY2('Tabela Entrada-Saída'!$B$46:$O$46,'Coordenadas dos Polos'!$AR$2:$BE$2)))^2)</f>
        <v>1.3532580184546701E-3</v>
      </c>
      <c r="E46">
        <f>EXP(((-1)/(2*'Cálculos Diversos'!$B$5))*(SQRT(SUMXMY2('Tabela Entrada-Saída'!$B$46:$O$46,'Coordenadas dos Polos'!$BF$2:$BS$2)))^2)</f>
        <v>1.5041983776228359E-4</v>
      </c>
      <c r="F46">
        <f>EXP(((-1)/(2*'Cálculos Diversos'!$B$5))*(SQRT(SUMXMY2('Tabela Entrada-Saída'!$B$46:$O$46,'Coordenadas dos Polos'!$BT$2:$CG$2)))^2)</f>
        <v>1.8719022141164656E-3</v>
      </c>
      <c r="G46">
        <f>EXP(((-1)/(2*'Cálculos Diversos'!$B$5))*(SQRT(SUMXMY2('Tabela Entrada-Saída'!$B$46:$O$46,'Coordenadas dos Polos'!$CH$2:$CU$2)))^2)</f>
        <v>3.8192824599597802E-5</v>
      </c>
      <c r="H46">
        <f>EXP(((-1)/(2*'Cálculos Diversos'!$B$5))*(SQRT(SUMXMY2('Tabela Entrada-Saída'!$B$46:$O$46,'Coordenadas dos Polos'!$CV$2:$DI$2)))^2)</f>
        <v>3.992037601004683E-3</v>
      </c>
      <c r="I46">
        <f>EXP(((-1)/(2*'Cálculos Diversos'!$B$5))*(SQRT(SUMXMY2('Tabela Entrada-Saída'!$B$46:$O$46,'Coordenadas dos Polos'!$DJ$2:$DW$2)))^2)</f>
        <v>2.2425784208834172E-6</v>
      </c>
      <c r="J46">
        <f>EXP(((-1)/(2*'Cálculos Diversos'!$B$5))*(SQRT(SUMXMY2('Tabela Entrada-Saída'!$B$46:$O$46,'Coordenadas dos Polos'!$DX$2:$EK$2)))^2)</f>
        <v>1.2498503516886765E-3</v>
      </c>
      <c r="K46">
        <f>EXP(((-1)/(2*'Cálculos Diversos'!$B$5))*(SQRT(SUMXMY2('Tabela Entrada-Saída'!$B$46:$O$46,'Coordenadas dos Polos'!$EL$2:$EY$2)))^2)</f>
        <v>2.3952727394565842E-5</v>
      </c>
      <c r="L46">
        <f>EXP(((-1)/(2*'Cálculos Diversos'!$B$5))*(SQRT(SUMXMY2('Tabela Entrada-Saída'!$B$46:$O$46,'Coordenadas dos Polos'!$EZ$2:$FM$2)))^2)</f>
        <v>8.7022212987904635E-4</v>
      </c>
      <c r="M46">
        <f>EXP(((-1)/(2*'Cálculos Diversos'!$B$5))*(SQRT(SUMXMY2('Tabela Entrada-Saída'!$B$46:$O$46,'Coordenadas dos Polos'!$FN$2:$GA$2)))^2)</f>
        <v>2.9950483198908442E-4</v>
      </c>
      <c r="N46">
        <f>EXP(((-1)/(2*'Cálculos Diversos'!$B$5))*(SQRT(SUMXMY2('Tabela Entrada-Saída'!$B$46:$O$46,'Coordenadas dos Polos'!$GB$2:$GO$2)))^2)</f>
        <v>8.8921391693968788E-3</v>
      </c>
      <c r="O46">
        <f>EXP(((-1)/(2*'Cálculos Diversos'!$B$5))*(SQRT(SUMXMY2('Tabela Entrada-Saída'!$B$46:$O$46,'Coordenadas dos Polos'!$GP$2:$HC$2)))^2)</f>
        <v>2.316875392190045E-5</v>
      </c>
      <c r="P46">
        <v>1</v>
      </c>
    </row>
    <row r="47" spans="1:16" x14ac:dyDescent="0.25">
      <c r="A47">
        <v>46</v>
      </c>
      <c r="B47">
        <f>EXP(((-1)/(2*'Cálculos Diversos'!$B$5))*(SQRT(SUMXMY2('Tabela Entrada-Saída'!$B$47:$O$47,'Coordenadas dos Polos'!$P$2:$AC$2)))^2)</f>
        <v>0.11463505991350174</v>
      </c>
      <c r="C47">
        <f>EXP(((-1)/(2*'Cálculos Diversos'!$B$5))*(SQRT(SUMXMY2('Tabela Entrada-Saída'!$B$47:$O$47,'Coordenadas dos Polos'!$AD$2:$AQ$2)))^2)</f>
        <v>1.6500295190368227E-5</v>
      </c>
      <c r="D47">
        <f>EXP(((-1)/(2*'Cálculos Diversos'!$B$5))*(SQRT(SUMXMY2('Tabela Entrada-Saída'!$B$47:$O$47,'Coordenadas dos Polos'!$AR$2:$BE$2)))^2)</f>
        <v>1.4093715273762557E-3</v>
      </c>
      <c r="E47">
        <f>EXP(((-1)/(2*'Cálculos Diversos'!$B$5))*(SQRT(SUMXMY2('Tabela Entrada-Saída'!$B$47:$O$47,'Coordenadas dos Polos'!$BF$2:$BS$2)))^2)</f>
        <v>1.2675965788055155E-4</v>
      </c>
      <c r="F47">
        <f>EXP(((-1)/(2*'Cálculos Diversos'!$B$5))*(SQRT(SUMXMY2('Tabela Entrada-Saída'!$B$47:$O$47,'Coordenadas dos Polos'!$BT$2:$CG$2)))^2)</f>
        <v>1.9465504601284555E-3</v>
      </c>
      <c r="G47">
        <f>EXP(((-1)/(2*'Cálculos Diversos'!$B$5))*(SQRT(SUMXMY2('Tabela Entrada-Saída'!$B$47:$O$47,'Coordenadas dos Polos'!$CH$2:$CU$2)))^2)</f>
        <v>2.7178497883043102E-5</v>
      </c>
      <c r="H47">
        <f>EXP(((-1)/(2*'Cálculos Diversos'!$B$5))*(SQRT(SUMXMY2('Tabela Entrada-Saída'!$B$47:$O$47,'Coordenadas dos Polos'!$CV$2:$DI$2)))^2)</f>
        <v>3.5421859232631259E-3</v>
      </c>
      <c r="I47">
        <f>EXP(((-1)/(2*'Cálculos Diversos'!$B$5))*(SQRT(SUMXMY2('Tabela Entrada-Saída'!$B$47:$O$47,'Coordenadas dos Polos'!$DJ$2:$DW$2)))^2)</f>
        <v>1.7052011793320313E-6</v>
      </c>
      <c r="J47">
        <f>EXP(((-1)/(2*'Cálculos Diversos'!$B$5))*(SQRT(SUMXMY2('Tabela Entrada-Saída'!$B$47:$O$47,'Coordenadas dos Polos'!$DX$2:$EK$2)))^2)</f>
        <v>1.037919738288276E-3</v>
      </c>
      <c r="K47">
        <f>EXP(((-1)/(2*'Cálculos Diversos'!$B$5))*(SQRT(SUMXMY2('Tabela Entrada-Saída'!$B$47:$O$47,'Coordenadas dos Polos'!$EL$2:$EY$2)))^2)</f>
        <v>2.5076999810609797E-5</v>
      </c>
      <c r="L47">
        <f>EXP(((-1)/(2*'Cálculos Diversos'!$B$5))*(SQRT(SUMXMY2('Tabela Entrada-Saída'!$B$47:$O$47,'Coordenadas dos Polos'!$EZ$2:$FM$2)))^2)</f>
        <v>8.6698647098642557E-4</v>
      </c>
      <c r="M47">
        <f>EXP(((-1)/(2*'Cálculos Diversos'!$B$5))*(SQRT(SUMXMY2('Tabela Entrada-Saída'!$B$47:$O$47,'Coordenadas dos Polos'!$FN$2:$GA$2)))^2)</f>
        <v>2.7612121506145106E-4</v>
      </c>
      <c r="N47">
        <f>EXP(((-1)/(2*'Cálculos Diversos'!$B$5))*(SQRT(SUMXMY2('Tabela Entrada-Saída'!$B$47:$O$47,'Coordenadas dos Polos'!$GB$2:$GO$2)))^2)</f>
        <v>8.1426129442536896E-3</v>
      </c>
      <c r="O47">
        <f>EXP(((-1)/(2*'Cálculos Diversos'!$B$5))*(SQRT(SUMXMY2('Tabela Entrada-Saída'!$B$47:$O$47,'Coordenadas dos Polos'!$GP$2:$HC$2)))^2)</f>
        <v>1.8980363339740373E-5</v>
      </c>
      <c r="P47">
        <v>1</v>
      </c>
    </row>
    <row r="48" spans="1:16" x14ac:dyDescent="0.25">
      <c r="A48">
        <v>47</v>
      </c>
      <c r="B48">
        <f>EXP(((-1)/(2*'Cálculos Diversos'!$B$5))*(SQRT(SUMXMY2('Tabela Entrada-Saída'!$B$48:$O$48,'Coordenadas dos Polos'!$P$2:$AC$2)))^2)</f>
        <v>0.1279588712473331</v>
      </c>
      <c r="C48">
        <f>EXP(((-1)/(2*'Cálculos Diversos'!$B$5))*(SQRT(SUMXMY2('Tabela Entrada-Saída'!$B$48:$O$48,'Coordenadas dos Polos'!$AD$2:$AQ$2)))^2)</f>
        <v>1.7080711960970521E-5</v>
      </c>
      <c r="D48">
        <f>EXP(((-1)/(2*'Cálculos Diversos'!$B$5))*(SQRT(SUMXMY2('Tabela Entrada-Saída'!$B$48:$O$48,'Coordenadas dos Polos'!$AR$2:$BE$2)))^2)</f>
        <v>1.3988454254775509E-3</v>
      </c>
      <c r="E48">
        <f>EXP(((-1)/(2*'Cálculos Diversos'!$B$5))*(SQRT(SUMXMY2('Tabela Entrada-Saída'!$B$48:$O$48,'Coordenadas dos Polos'!$BF$2:$BS$2)))^2)</f>
        <v>1.3405155109900643E-4</v>
      </c>
      <c r="F48">
        <f>EXP(((-1)/(2*'Cálculos Diversos'!$B$5))*(SQRT(SUMXMY2('Tabela Entrada-Saída'!$B$48:$O$48,'Coordenadas dos Polos'!$BT$2:$CG$2)))^2)</f>
        <v>1.9330773793432557E-3</v>
      </c>
      <c r="G48">
        <f>EXP(((-1)/(2*'Cálculos Diversos'!$B$5))*(SQRT(SUMXMY2('Tabela Entrada-Saída'!$B$48:$O$48,'Coordenadas dos Polos'!$CH$2:$CU$2)))^2)</f>
        <v>3.0227495922294956E-5</v>
      </c>
      <c r="H48">
        <f>EXP(((-1)/(2*'Cálculos Diversos'!$B$5))*(SQRT(SUMXMY2('Tabela Entrada-Saída'!$B$48:$O$48,'Coordenadas dos Polos'!$CV$2:$DI$2)))^2)</f>
        <v>3.6888060787371841E-3</v>
      </c>
      <c r="I48">
        <f>EXP(((-1)/(2*'Cálculos Diversos'!$B$5))*(SQRT(SUMXMY2('Tabela Entrada-Saída'!$B$48:$O$48,'Coordenadas dos Polos'!$DJ$2:$DW$2)))^2)</f>
        <v>1.8600067151288658E-6</v>
      </c>
      <c r="J48">
        <f>EXP(((-1)/(2*'Cálculos Diversos'!$B$5))*(SQRT(SUMXMY2('Tabela Entrada-Saída'!$B$48:$O$48,'Coordenadas dos Polos'!$DX$2:$EK$2)))^2)</f>
        <v>1.1024203986538259E-3</v>
      </c>
      <c r="K48">
        <f>EXP(((-1)/(2*'Cálculos Diversos'!$B$5))*(SQRT(SUMXMY2('Tabela Entrada-Saída'!$B$48:$O$48,'Coordenadas dos Polos'!$EL$2:$EY$2)))^2)</f>
        <v>2.4855321863582592E-5</v>
      </c>
      <c r="L48">
        <f>EXP(((-1)/(2*'Cálculos Diversos'!$B$5))*(SQRT(SUMXMY2('Tabela Entrada-Saída'!$B$48:$O$48,'Coordenadas dos Polos'!$EZ$2:$FM$2)))^2)</f>
        <v>8.7195163523485619E-4</v>
      </c>
      <c r="M48">
        <f>EXP(((-1)/(2*'Cálculos Diversos'!$B$5))*(SQRT(SUMXMY2('Tabela Entrada-Saída'!$B$48:$O$48,'Coordenadas dos Polos'!$FN$2:$GA$2)))^2)</f>
        <v>2.842749771442776E-4</v>
      </c>
      <c r="N48">
        <f>EXP(((-1)/(2*'Cálculos Diversos'!$B$5))*(SQRT(SUMXMY2('Tabela Entrada-Saída'!$B$48:$O$48,'Coordenadas dos Polos'!$GB$2:$GO$2)))^2)</f>
        <v>8.3987853681698546E-3</v>
      </c>
      <c r="O48">
        <f>EXP(((-1)/(2*'Cálculos Diversos'!$B$5))*(SQRT(SUMXMY2('Tabela Entrada-Saída'!$B$48:$O$48,'Coordenadas dos Polos'!$GP$2:$HC$2)))^2)</f>
        <v>2.0244126458851787E-5</v>
      </c>
      <c r="P48">
        <v>1</v>
      </c>
    </row>
    <row r="49" spans="1:16" x14ac:dyDescent="0.25">
      <c r="A49">
        <v>48</v>
      </c>
      <c r="B49">
        <f>EXP(((-1)/(2*'Cálculos Diversos'!$B$5))*(SQRT(SUMXMY2('Tabela Entrada-Saída'!$B$49:$O$49,'Coordenadas dos Polos'!$P$2:$AC$2)))^2)</f>
        <v>0.15311243673482028</v>
      </c>
      <c r="C49">
        <f>EXP(((-1)/(2*'Cálculos Diversos'!$B$5))*(SQRT(SUMXMY2('Tabela Entrada-Saída'!$B$49:$O$49,'Coordenadas dos Polos'!$AD$2:$AQ$2)))^2)</f>
        <v>1.7972674773781755E-5</v>
      </c>
      <c r="D49">
        <f>EXP(((-1)/(2*'Cálculos Diversos'!$B$5))*(SQRT(SUMXMY2('Tabela Entrada-Saída'!$B$49:$O$49,'Coordenadas dos Polos'!$AR$2:$BE$2)))^2)</f>
        <v>1.3691884277417768E-3</v>
      </c>
      <c r="E49">
        <f>EXP(((-1)/(2*'Cálculos Diversos'!$B$5))*(SQRT(SUMXMY2('Tabela Entrada-Saída'!$B$49:$O$49,'Coordenadas dos Polos'!$BF$2:$BS$2)))^2)</f>
        <v>1.4620634244504076E-4</v>
      </c>
      <c r="F49">
        <f>EXP(((-1)/(2*'Cálculos Diversos'!$B$5))*(SQRT(SUMXMY2('Tabela Entrada-Saída'!$B$49:$O$49,'Coordenadas dos Polos'!$BT$2:$CG$2)))^2)</f>
        <v>1.8937245785580711E-3</v>
      </c>
      <c r="G49">
        <f>EXP(((-1)/(2*'Cálculos Diversos'!$B$5))*(SQRT(SUMXMY2('Tabela Entrada-Saída'!$B$49:$O$49,'Coordenadas dos Polos'!$CH$2:$CU$2)))^2)</f>
        <v>3.5955564475005038E-5</v>
      </c>
      <c r="H49">
        <f>EXP(((-1)/(2*'Cálculos Diversos'!$B$5))*(SQRT(SUMXMY2('Tabela Entrada-Saída'!$B$49:$O$49,'Coordenadas dos Polos'!$CV$2:$DI$2)))^2)</f>
        <v>3.9220912326409967E-3</v>
      </c>
      <c r="I49">
        <f>EXP(((-1)/(2*'Cálculos Diversos'!$B$5))*(SQRT(SUMXMY2('Tabela Entrada-Saída'!$B$49:$O$49,'Coordenadas dos Polos'!$DJ$2:$DW$2)))^2)</f>
        <v>2.1425439864041016E-6</v>
      </c>
      <c r="J49">
        <f>EXP(((-1)/(2*'Cálculos Diversos'!$B$5))*(SQRT(SUMXMY2('Tabela Entrada-Saída'!$B$49:$O$49,'Coordenadas dos Polos'!$DX$2:$EK$2)))^2)</f>
        <v>1.213372697736454E-3</v>
      </c>
      <c r="K49">
        <f>EXP(((-1)/(2*'Cálculos Diversos'!$B$5))*(SQRT(SUMXMY2('Tabela Entrada-Saída'!$B$49:$O$49,'Coordenadas dos Polos'!$EL$2:$EY$2)))^2)</f>
        <v>2.4292316351535331E-5</v>
      </c>
      <c r="L49">
        <f>EXP(((-1)/(2*'Cálculos Diversos'!$B$5))*(SQRT(SUMXMY2('Tabela Entrada-Saída'!$B$49:$O$49,'Coordenadas dos Polos'!$EZ$2:$FM$2)))^2)</f>
        <v>8.7328313736739251E-4</v>
      </c>
      <c r="M49">
        <f>EXP(((-1)/(2*'Cálculos Diversos'!$B$5))*(SQRT(SUMXMY2('Tabela Entrada-Saída'!$B$49:$O$49,'Coordenadas dos Polos'!$FN$2:$GA$2)))^2)</f>
        <v>2.9647760297534572E-4</v>
      </c>
      <c r="N49">
        <f>EXP(((-1)/(2*'Cálculos Diversos'!$B$5))*(SQRT(SUMXMY2('Tabela Entrada-Saída'!$B$49:$O$49,'Coordenadas dos Polos'!$GB$2:$GO$2)))^2)</f>
        <v>8.7769724124576419E-3</v>
      </c>
      <c r="O49">
        <f>EXP(((-1)/(2*'Cálculos Diversos'!$B$5))*(SQRT(SUMXMY2('Tabela Entrada-Saída'!$B$49:$O$49,'Coordenadas dos Polos'!$GP$2:$HC$2)))^2)</f>
        <v>2.2431393725625239E-5</v>
      </c>
      <c r="P49">
        <v>1</v>
      </c>
    </row>
    <row r="50" spans="1:16" x14ac:dyDescent="0.25">
      <c r="A50">
        <v>49</v>
      </c>
      <c r="B50">
        <f>EXP(((-1)/(2*'Cálculos Diversos'!$B$5))*(SQRT(SUMXMY2('Tabela Entrada-Saída'!$B$50:$O$50,'Coordenadas dos Polos'!$P$2:$AC$2)))^2)</f>
        <v>0.1425961108238902</v>
      </c>
      <c r="C50">
        <f>EXP(((-1)/(2*'Cálculos Diversos'!$B$5))*(SQRT(SUMXMY2('Tabela Entrada-Saída'!$B$50:$O$50,'Coordenadas dos Polos'!$AD$2:$AQ$2)))^2)</f>
        <v>1.7610962682745829E-5</v>
      </c>
      <c r="D50">
        <f>EXP(((-1)/(2*'Cálculos Diversos'!$B$5))*(SQRT(SUMXMY2('Tabela Entrada-Saída'!$B$50:$O$50,'Coordenadas dos Polos'!$AR$2:$BE$2)))^2)</f>
        <v>1.3823948480039499E-3</v>
      </c>
      <c r="E50">
        <f>EXP(((-1)/(2*'Cálculos Diversos'!$B$5))*(SQRT(SUMXMY2('Tabela Entrada-Saída'!$B$50:$O$50,'Coordenadas dos Polos'!$BF$2:$BS$2)))^2)</f>
        <v>1.4128358190156686E-4</v>
      </c>
      <c r="F50">
        <f>EXP(((-1)/(2*'Cálculos Diversos'!$B$5))*(SQRT(SUMXMY2('Tabela Entrada-Saída'!$B$50:$O$50,'Coordenadas dos Polos'!$BT$2:$CG$2)))^2)</f>
        <v>1.9110655096284412E-3</v>
      </c>
      <c r="G50">
        <f>EXP(((-1)/(2*'Cálculos Diversos'!$B$5))*(SQRT(SUMXMY2('Tabela Entrada-Saída'!$B$50:$O$50,'Coordenadas dos Polos'!$CH$2:$CU$2)))^2)</f>
        <v>3.3552952904995938E-5</v>
      </c>
      <c r="H50">
        <f>EXP(((-1)/(2*'Cálculos Diversos'!$B$5))*(SQRT(SUMXMY2('Tabela Entrada-Saída'!$B$50:$O$50,'Coordenadas dos Polos'!$CV$2:$DI$2)))^2)</f>
        <v>3.8275297905108596E-3</v>
      </c>
      <c r="I50">
        <f>EXP(((-1)/(2*'Cálculos Diversos'!$B$5))*(SQRT(SUMXMY2('Tabela Entrada-Saída'!$B$50:$O$50,'Coordenadas dos Polos'!$DJ$2:$DW$2)))^2)</f>
        <v>2.0227141933033694E-6</v>
      </c>
      <c r="J50">
        <f>EXP(((-1)/(2*'Cálculos Diversos'!$B$5))*(SQRT(SUMXMY2('Tabela Entrada-Saída'!$B$50:$O$50,'Coordenadas dos Polos'!$DX$2:$EK$2)))^2)</f>
        <v>1.1673662409293416E-3</v>
      </c>
      <c r="K50">
        <f>EXP(((-1)/(2*'Cálculos Diversos'!$B$5))*(SQRT(SUMXMY2('Tabela Entrada-Saída'!$B$50:$O$50,'Coordenadas dos Polos'!$EL$2:$EY$2)))^2)</f>
        <v>2.4520651093770928E-5</v>
      </c>
      <c r="L50">
        <f>EXP(((-1)/(2*'Cálculos Diversos'!$B$5))*(SQRT(SUMXMY2('Tabela Entrada-Saída'!$B$50:$O$50,'Coordenadas dos Polos'!$EZ$2:$FM$2)))^2)</f>
        <v>8.7355276326922103E-4</v>
      </c>
      <c r="M50">
        <f>EXP(((-1)/(2*'Cálculos Diversos'!$B$5))*(SQRT(SUMXMY2('Tabela Entrada-Saída'!$B$50:$O$50,'Coordenadas dos Polos'!$FN$2:$GA$2)))^2)</f>
        <v>2.9159138220592225E-4</v>
      </c>
      <c r="N50">
        <f>EXP(((-1)/(2*'Cálculos Diversos'!$B$5))*(SQRT(SUMXMY2('Tabela Entrada-Saída'!$B$50:$O$50,'Coordenadas dos Polos'!$GB$2:$GO$2)))^2)</f>
        <v>8.6317655440714541E-3</v>
      </c>
      <c r="O50">
        <f>EXP(((-1)/(2*'Cálculos Diversos'!$B$5))*(SQRT(SUMXMY2('Tabela Entrada-Saída'!$B$50:$O$50,'Coordenadas dos Polos'!$GP$2:$HC$2)))^2)</f>
        <v>2.1522550208996621E-5</v>
      </c>
      <c r="P50">
        <v>1</v>
      </c>
    </row>
    <row r="51" spans="1:16" x14ac:dyDescent="0.25">
      <c r="A51">
        <v>50</v>
      </c>
      <c r="B51">
        <f>EXP(((-1)/(2*'Cálculos Diversos'!$B$5))*(SQRT(SUMXMY2('Tabela Entrada-Saída'!$B$51:$O$51,'Coordenadas dos Polos'!$P$2:$AC$2)))^2)</f>
        <v>0.15226194901054182</v>
      </c>
      <c r="C51">
        <f>EXP(((-1)/(2*'Cálculos Diversos'!$B$5))*(SQRT(SUMXMY2('Tabela Entrada-Saída'!$B$51:$O$51,'Coordenadas dos Polos'!$AD$2:$AQ$2)))^2)</f>
        <v>1.7912788466981782E-5</v>
      </c>
      <c r="D51">
        <f>EXP(((-1)/(2*'Cálculos Diversos'!$B$5))*(SQRT(SUMXMY2('Tabela Entrada-Saída'!$B$51:$O$51,'Coordenadas dos Polos'!$AR$2:$BE$2)))^2)</f>
        <v>1.3693999596857782E-3</v>
      </c>
      <c r="E51">
        <f>EXP(((-1)/(2*'Cálculos Diversos'!$B$5))*(SQRT(SUMXMY2('Tabela Entrada-Saída'!$B$51:$O$51,'Coordenadas dos Polos'!$BF$2:$BS$2)))^2)</f>
        <v>1.4572252776806602E-4</v>
      </c>
      <c r="F51">
        <f>EXP(((-1)/(2*'Cálculos Diversos'!$B$5))*(SQRT(SUMXMY2('Tabela Entrada-Saída'!$B$51:$O$51,'Coordenadas dos Polos'!$BT$2:$CG$2)))^2)</f>
        <v>1.89354401178402E-3</v>
      </c>
      <c r="G51">
        <f>EXP(((-1)/(2*'Cálculos Diversos'!$B$5))*(SQRT(SUMXMY2('Tabela Entrada-Saída'!$B$51:$O$51,'Coordenadas dos Polos'!$CH$2:$CU$2)))^2)</f>
        <v>3.5743626057267483E-5</v>
      </c>
      <c r="H51">
        <f>EXP(((-1)/(2*'Cálculos Diversos'!$B$5))*(SQRT(SUMXMY2('Tabela Entrada-Saída'!$B$51:$O$51,'Coordenadas dos Polos'!$CV$2:$DI$2)))^2)</f>
        <v>3.9081174333163811E-3</v>
      </c>
      <c r="I51">
        <f>EXP(((-1)/(2*'Cálculos Diversos'!$B$5))*(SQRT(SUMXMY2('Tabela Entrada-Saída'!$B$51:$O$51,'Coordenadas dos Polos'!$DJ$2:$DW$2)))^2)</f>
        <v>2.1266217265696038E-6</v>
      </c>
      <c r="J51">
        <f>EXP(((-1)/(2*'Cálculos Diversos'!$B$5))*(SQRT(SUMXMY2('Tabela Entrada-Saída'!$B$51:$O$51,'Coordenadas dos Polos'!$DX$2:$EK$2)))^2)</f>
        <v>1.2068635773301284E-3</v>
      </c>
      <c r="K51">
        <f>EXP(((-1)/(2*'Cálculos Diversos'!$B$5))*(SQRT(SUMXMY2('Tabela Entrada-Saída'!$B$51:$O$51,'Coordenadas dos Polos'!$EL$2:$EY$2)))^2)</f>
        <v>2.4257379021594609E-5</v>
      </c>
      <c r="L51">
        <f>EXP(((-1)/(2*'Cálculos Diversos'!$B$5))*(SQRT(SUMXMY2('Tabela Entrada-Saída'!$B$51:$O$51,'Coordenadas dos Polos'!$EZ$2:$FM$2)))^2)</f>
        <v>8.7265869664197133E-4</v>
      </c>
      <c r="M51">
        <f>EXP(((-1)/(2*'Cálculos Diversos'!$B$5))*(SQRT(SUMXMY2('Tabela Entrada-Saída'!$B$51:$O$51,'Coordenadas dos Polos'!$FN$2:$GA$2)))^2)</f>
        <v>2.9559660838399061E-4</v>
      </c>
      <c r="N51">
        <f>EXP(((-1)/(2*'Cálculos Diversos'!$B$5))*(SQRT(SUMXMY2('Tabela Entrada-Saída'!$B$51:$O$51,'Coordenadas dos Polos'!$GB$2:$GO$2)))^2)</f>
        <v>8.7638733158466476E-3</v>
      </c>
      <c r="O51">
        <f>EXP(((-1)/(2*'Cálculos Diversos'!$B$5))*(SQRT(SUMXMY2('Tabela Entrada-Saída'!$B$51:$O$51,'Coordenadas dos Polos'!$GP$2:$HC$2)))^2)</f>
        <v>2.2309268124895051E-5</v>
      </c>
      <c r="P51">
        <v>1</v>
      </c>
    </row>
    <row r="52" spans="1:16" x14ac:dyDescent="0.25">
      <c r="A52">
        <v>51</v>
      </c>
      <c r="B52">
        <f>EXP(((-1)/(2*'Cálculos Diversos'!$B$5))*(SQRT(SUMXMY2('Tabela Entrada-Saída'!$B$52:$O$52,'Coordenadas dos Polos'!$P$2:$AC$2)))^2)</f>
        <v>0.16797693364579824</v>
      </c>
      <c r="C52">
        <f>EXP(((-1)/(2*'Cálculos Diversos'!$B$5))*(SQRT(SUMXMY2('Tabela Entrada-Saída'!$B$52:$O$52,'Coordenadas dos Polos'!$AD$2:$AQ$2)))^2)</f>
        <v>1.8348445969946933E-5</v>
      </c>
      <c r="D52">
        <f>EXP(((-1)/(2*'Cálculos Diversos'!$B$5))*(SQRT(SUMXMY2('Tabela Entrada-Saída'!$B$52:$O$52,'Coordenadas dos Polos'!$AR$2:$BE$2)))^2)</f>
        <v>1.3454413142650378E-3</v>
      </c>
      <c r="E52">
        <f>EXP(((-1)/(2*'Cálculos Diversos'!$B$5))*(SQRT(SUMXMY2('Tabela Entrada-Saída'!$B$52:$O$52,'Coordenadas dos Polos'!$BF$2:$BS$2)))^2)</f>
        <v>1.5238299345959709E-4</v>
      </c>
      <c r="F52">
        <f>EXP(((-1)/(2*'Cálculos Diversos'!$B$5))*(SQRT(SUMXMY2('Tabela Entrada-Saída'!$B$52:$O$52,'Coordenadas dos Polos'!$BT$2:$CG$2)))^2)</f>
        <v>1.8616489685004066E-3</v>
      </c>
      <c r="G52">
        <f>EXP(((-1)/(2*'Cálculos Diversos'!$B$5))*(SQRT(SUMXMY2('Tabela Entrada-Saída'!$B$52:$O$52,'Coordenadas dos Polos'!$CH$2:$CU$2)))^2)</f>
        <v>3.9279826737667984E-5</v>
      </c>
      <c r="H52">
        <f>EXP(((-1)/(2*'Cálculos Diversos'!$B$5))*(SQRT(SUMXMY2('Tabela Entrada-Saída'!$B$52:$O$52,'Coordenadas dos Polos'!$CV$2:$DI$2)))^2)</f>
        <v>4.0280907584183375E-3</v>
      </c>
      <c r="I52">
        <f>EXP(((-1)/(2*'Cálculos Diversos'!$B$5))*(SQRT(SUMXMY2('Tabela Entrada-Saída'!$B$52:$O$52,'Coordenadas dos Polos'!$DJ$2:$DW$2)))^2)</f>
        <v>2.2948566249682184E-6</v>
      </c>
      <c r="J52">
        <f>EXP(((-1)/(2*'Cálculos Diversos'!$B$5))*(SQRT(SUMXMY2('Tabela Entrada-Saída'!$B$52:$O$52,'Coordenadas dos Polos'!$DX$2:$EK$2)))^2)</f>
        <v>1.2691199216542013E-3</v>
      </c>
      <c r="K52">
        <f>EXP(((-1)/(2*'Cálculos Diversos'!$B$5))*(SQRT(SUMXMY2('Tabela Entrada-Saída'!$B$52:$O$52,'Coordenadas dos Polos'!$EL$2:$EY$2)))^2)</f>
        <v>2.3817433554287638E-5</v>
      </c>
      <c r="L52">
        <f>EXP(((-1)/(2*'Cálculos Diversos'!$B$5))*(SQRT(SUMXMY2('Tabela Entrada-Saída'!$B$52:$O$52,'Coordenadas dos Polos'!$EZ$2:$FM$2)))^2)</f>
        <v>8.6886030348134113E-4</v>
      </c>
      <c r="M52">
        <f>EXP(((-1)/(2*'Cálculos Diversos'!$B$5))*(SQRT(SUMXMY2('Tabela Entrada-Saída'!$B$52:$O$52,'Coordenadas dos Polos'!$FN$2:$GA$2)))^2)</f>
        <v>3.0119985757447334E-4</v>
      </c>
      <c r="N52">
        <f>EXP(((-1)/(2*'Cálculos Diversos'!$B$5))*(SQRT(SUMXMY2('Tabela Entrada-Saída'!$B$52:$O$52,'Coordenadas dos Polos'!$GB$2:$GO$2)))^2)</f>
        <v>8.9417292943945858E-3</v>
      </c>
      <c r="O52">
        <f>EXP(((-1)/(2*'Cálculos Diversos'!$B$5))*(SQRT(SUMXMY2('Tabela Entrada-Saída'!$B$52:$O$52,'Coordenadas dos Polos'!$GP$2:$HC$2)))^2)</f>
        <v>2.354965230426685E-5</v>
      </c>
      <c r="P52">
        <v>1</v>
      </c>
    </row>
    <row r="53" spans="1:16" x14ac:dyDescent="0.25">
      <c r="A53">
        <v>52</v>
      </c>
      <c r="B53">
        <f>EXP(((-1)/(2*'Cálculos Diversos'!$B$5))*(SQRT(SUMXMY2('Tabela Entrada-Saída'!$B$53:$O$53,'Coordenadas dos Polos'!$P$2:$AC$2)))^2)</f>
        <v>0.14607701596682487</v>
      </c>
      <c r="C53">
        <f>EXP(((-1)/(2*'Cálculos Diversos'!$B$5))*(SQRT(SUMXMY2('Tabela Entrada-Saída'!$B$53:$O$53,'Coordenadas dos Polos'!$AD$2:$AQ$2)))^2)</f>
        <v>1.772964621622335E-5</v>
      </c>
      <c r="D53">
        <f>EXP(((-1)/(2*'Cálculos Diversos'!$B$5))*(SQRT(SUMXMY2('Tabela Entrada-Saída'!$B$53:$O$53,'Coordenadas dos Polos'!$AR$2:$BE$2)))^2)</f>
        <v>1.3781287359653017E-3</v>
      </c>
      <c r="E53">
        <f>EXP(((-1)/(2*'Cálculos Diversos'!$B$5))*(SQRT(SUMXMY2('Tabela Entrada-Saída'!$B$53:$O$53,'Coordenadas dos Polos'!$BF$2:$BS$2)))^2)</f>
        <v>1.4293569814995038E-4</v>
      </c>
      <c r="F53">
        <f>EXP(((-1)/(2*'Cálculos Diversos'!$B$5))*(SQRT(SUMXMY2('Tabela Entrada-Saída'!$B$53:$O$53,'Coordenadas dos Polos'!$BT$2:$CG$2)))^2)</f>
        <v>1.9053392397075739E-3</v>
      </c>
      <c r="G53">
        <f>EXP(((-1)/(2*'Cálculos Diversos'!$B$5))*(SQRT(SUMXMY2('Tabela Entrada-Saída'!$B$53:$O$53,'Coordenadas dos Polos'!$CH$2:$CU$2)))^2)</f>
        <v>3.4346712126308679E-5</v>
      </c>
      <c r="H53">
        <f>EXP(((-1)/(2*'Cálculos Diversos'!$B$5))*(SQRT(SUMXMY2('Tabela Entrada-Saída'!$B$53:$O$53,'Coordenadas dos Polos'!$CV$2:$DI$2)))^2)</f>
        <v>3.8587916716474853E-3</v>
      </c>
      <c r="I53">
        <f>EXP(((-1)/(2*'Cálculos Diversos'!$B$5))*(SQRT(SUMXMY2('Tabela Entrada-Saída'!$B$53:$O$53,'Coordenadas dos Polos'!$DJ$2:$DW$2)))^2)</f>
        <v>2.0616871187440538E-6</v>
      </c>
      <c r="J53">
        <f>EXP(((-1)/(2*'Cálculos Diversos'!$B$5))*(SQRT(SUMXMY2('Tabela Entrada-Saída'!$B$53:$O$53,'Coordenadas dos Polos'!$DX$2:$EK$2)))^2)</f>
        <v>1.1824913625196108E-3</v>
      </c>
      <c r="K53">
        <f>EXP(((-1)/(2*'Cálculos Diversos'!$B$5))*(SQRT(SUMXMY2('Tabela Entrada-Saída'!$B$53:$O$53,'Coordenadas dos Polos'!$EL$2:$EY$2)))^2)</f>
        <v>2.4441423265050361E-5</v>
      </c>
      <c r="L53">
        <f>EXP(((-1)/(2*'Cálculos Diversos'!$B$5))*(SQRT(SUMXMY2('Tabela Entrada-Saída'!$B$53:$O$53,'Coordenadas dos Polos'!$EZ$2:$FM$2)))^2)</f>
        <v>8.735409278985307E-4</v>
      </c>
      <c r="M53">
        <f>EXP(((-1)/(2*'Cálculos Diversos'!$B$5))*(SQRT(SUMXMY2('Tabela Entrada-Saída'!$B$53:$O$53,'Coordenadas dos Polos'!$FN$2:$GA$2)))^2)</f>
        <v>2.931856773397385E-4</v>
      </c>
      <c r="N53">
        <f>EXP(((-1)/(2*'Cálculos Diversos'!$B$5))*(SQRT(SUMXMY2('Tabela Entrada-Saída'!$B$53:$O$53,'Coordenadas dos Polos'!$GB$2:$GO$2)))^2)</f>
        <v>8.6818964715278408E-3</v>
      </c>
      <c r="O53">
        <f>EXP(((-1)/(2*'Cálculos Diversos'!$B$5))*(SQRT(SUMXMY2('Tabela Entrada-Saída'!$B$53:$O$53,'Coordenadas dos Polos'!$GP$2:$HC$2)))^2)</f>
        <v>2.1820947105662073E-5</v>
      </c>
      <c r="P53">
        <v>1</v>
      </c>
    </row>
    <row r="54" spans="1:16" x14ac:dyDescent="0.25">
      <c r="A54">
        <v>53</v>
      </c>
      <c r="B54">
        <f>EXP(((-1)/(2*'Cálculos Diversos'!$B$5))*(SQRT(SUMXMY2('Tabela Entrada-Saída'!$B$54:$O$54,'Coordenadas dos Polos'!$P$2:$AC$2)))^2)</f>
        <v>0.15262356047836767</v>
      </c>
      <c r="C54">
        <f>EXP(((-1)/(2*'Cálculos Diversos'!$B$5))*(SQRT(SUMXMY2('Tabela Entrada-Saída'!$B$54:$O$54,'Coordenadas dos Polos'!$AD$2:$AQ$2)))^2)</f>
        <v>1.7947417306603369E-5</v>
      </c>
      <c r="D54">
        <f>EXP(((-1)/(2*'Cálculos Diversos'!$B$5))*(SQRT(SUMXMY2('Tabela Entrada-Saída'!$B$54:$O$54,'Coordenadas dos Polos'!$AR$2:$BE$2)))^2)</f>
        <v>1.3695968267608944E-3</v>
      </c>
      <c r="E54">
        <f>EXP(((-1)/(2*'Cálculos Diversos'!$B$5))*(SQRT(SUMXMY2('Tabela Entrada-Saída'!$B$54:$O$54,'Coordenadas dos Polos'!$BF$2:$BS$2)))^2)</f>
        <v>1.4596219532067364E-4</v>
      </c>
      <c r="F54">
        <f>EXP(((-1)/(2*'Cálculos Diversos'!$B$5))*(SQRT(SUMXMY2('Tabela Entrada-Saída'!$B$54:$O$54,'Coordenadas dos Polos'!$BT$2:$CG$2)))^2)</f>
        <v>1.8940944031531411E-3</v>
      </c>
      <c r="G54">
        <f>EXP(((-1)/(2*'Cálculos Diversos'!$B$5))*(SQRT(SUMXMY2('Tabela Entrada-Saída'!$B$54:$O$54,'Coordenadas dos Polos'!$CH$2:$CU$2)))^2)</f>
        <v>3.5839142718197707E-5</v>
      </c>
      <c r="H54">
        <f>EXP(((-1)/(2*'Cálculos Diversos'!$B$5))*(SQRT(SUMXMY2('Tabela Entrada-Saída'!$B$54:$O$54,'Coordenadas dos Polos'!$CV$2:$DI$2)))^2)</f>
        <v>3.9159487478653233E-3</v>
      </c>
      <c r="I54">
        <f>EXP(((-1)/(2*'Cálculos Diversos'!$B$5))*(SQRT(SUMXMY2('Tabela Entrada-Saída'!$B$54:$O$54,'Coordenadas dos Polos'!$DJ$2:$DW$2)))^2)</f>
        <v>2.135191615776313E-6</v>
      </c>
      <c r="J54">
        <f>EXP(((-1)/(2*'Cálculos Diversos'!$B$5))*(SQRT(SUMXMY2('Tabela Entrada-Saída'!$B$54:$O$54,'Coordenadas dos Polos'!$DX$2:$EK$2)))^2)</f>
        <v>1.2104434278721638E-3</v>
      </c>
      <c r="K54">
        <f>EXP(((-1)/(2*'Cálculos Diversos'!$B$5))*(SQRT(SUMXMY2('Tabela Entrada-Saída'!$B$54:$O$54,'Coordenadas dos Polos'!$EL$2:$EY$2)))^2)</f>
        <v>2.4288303152896099E-5</v>
      </c>
      <c r="L54">
        <f>EXP(((-1)/(2*'Cálculos Diversos'!$B$5))*(SQRT(SUMXMY2('Tabela Entrada-Saída'!$B$54:$O$54,'Coordenadas dos Polos'!$EZ$2:$FM$2)))^2)</f>
        <v>8.7309477391726484E-4</v>
      </c>
      <c r="M54">
        <f>EXP(((-1)/(2*'Cálculos Diversos'!$B$5))*(SQRT(SUMXMY2('Tabela Entrada-Saída'!$B$54:$O$54,'Coordenadas dos Polos'!$FN$2:$GA$2)))^2)</f>
        <v>2.9609433469230827E-4</v>
      </c>
      <c r="N54">
        <f>EXP(((-1)/(2*'Cálculos Diversos'!$B$5))*(SQRT(SUMXMY2('Tabela Entrada-Saída'!$B$54:$O$54,'Coordenadas dos Polos'!$GB$2:$GO$2)))^2)</f>
        <v>8.7702483328313818E-3</v>
      </c>
      <c r="O54">
        <f>EXP(((-1)/(2*'Cálculos Diversos'!$B$5))*(SQRT(SUMXMY2('Tabela Entrada-Saída'!$B$54:$O$54,'Coordenadas dos Polos'!$GP$2:$HC$2)))^2)</f>
        <v>2.237568680681572E-5</v>
      </c>
      <c r="P54">
        <v>1</v>
      </c>
    </row>
    <row r="55" spans="1:16" x14ac:dyDescent="0.25">
      <c r="A55">
        <v>54</v>
      </c>
      <c r="B55">
        <f>EXP(((-1)/(2*'Cálculos Diversos'!$B$5))*(SQRT(SUMXMY2('Tabela Entrada-Saída'!$B$55:$O$55,'Coordenadas dos Polos'!$P$2:$AC$2)))^2)</f>
        <v>0.12047835399964579</v>
      </c>
      <c r="C55">
        <f>EXP(((-1)/(2*'Cálculos Diversos'!$B$5))*(SQRT(SUMXMY2('Tabela Entrada-Saída'!$B$55:$O$55,'Coordenadas dos Polos'!$AD$2:$AQ$2)))^2)</f>
        <v>1.6764388426067915E-5</v>
      </c>
      <c r="D55">
        <f>EXP(((-1)/(2*'Cálculos Diversos'!$B$5))*(SQRT(SUMXMY2('Tabela Entrada-Saída'!$B$55:$O$55,'Coordenadas dos Polos'!$AR$2:$BE$2)))^2)</f>
        <v>1.4052993994090528E-3</v>
      </c>
      <c r="E55">
        <f>EXP(((-1)/(2*'Cálculos Diversos'!$B$5))*(SQRT(SUMXMY2('Tabela Entrada-Saída'!$B$55:$O$55,'Coordenadas dos Polos'!$BF$2:$BS$2)))^2)</f>
        <v>1.3001977299163494E-4</v>
      </c>
      <c r="F55">
        <f>EXP(((-1)/(2*'Cálculos Diversos'!$B$5))*(SQRT(SUMXMY2('Tabela Entrada-Saída'!$B$55:$O$55,'Coordenadas dos Polos'!$BT$2:$CG$2)))^2)</f>
        <v>1.9413121867085117E-3</v>
      </c>
      <c r="G55">
        <f>EXP(((-1)/(2*'Cálculos Diversos'!$B$5))*(SQRT(SUMXMY2('Tabela Entrada-Saída'!$B$55:$O$55,'Coordenadas dos Polos'!$CH$2:$CU$2)))^2)</f>
        <v>2.851529974016968E-5</v>
      </c>
      <c r="H55">
        <f>EXP(((-1)/(2*'Cálculos Diversos'!$B$5))*(SQRT(SUMXMY2('Tabela Entrada-Saída'!$B$55:$O$55,'Coordenadas dos Polos'!$CV$2:$DI$2)))^2)</f>
        <v>3.6087345613560759E-3</v>
      </c>
      <c r="I55">
        <f>EXP(((-1)/(2*'Cálculos Diversos'!$B$5))*(SQRT(SUMXMY2('Tabela Entrada-Saída'!$B$55:$O$55,'Coordenadas dos Polos'!$DJ$2:$DW$2)))^2)</f>
        <v>1.7735704339264572E-6</v>
      </c>
      <c r="J55">
        <f>EXP(((-1)/(2*'Cálculos Diversos'!$B$5))*(SQRT(SUMXMY2('Tabela Entrada-Saída'!$B$55:$O$55,'Coordenadas dos Polos'!$DX$2:$EK$2)))^2)</f>
        <v>1.066887552488406E-3</v>
      </c>
      <c r="K55">
        <f>EXP(((-1)/(2*'Cálculos Diversos'!$B$5))*(SQRT(SUMXMY2('Tabela Entrada-Saída'!$B$55:$O$55,'Coordenadas dos Polos'!$EL$2:$EY$2)))^2)</f>
        <v>2.4989983438785906E-5</v>
      </c>
      <c r="L55">
        <f>EXP(((-1)/(2*'Cálculos Diversos'!$B$5))*(SQRT(SUMXMY2('Tabela Entrada-Saída'!$B$55:$O$55,'Coordenadas dos Polos'!$EZ$2:$FM$2)))^2)</f>
        <v>8.6961391247448593E-4</v>
      </c>
      <c r="M55">
        <f>EXP(((-1)/(2*'Cálculos Diversos'!$B$5))*(SQRT(SUMXMY2('Tabela Entrada-Saída'!$B$55:$O$55,'Coordenadas dos Polos'!$FN$2:$GA$2)))^2)</f>
        <v>2.7986534544630369E-4</v>
      </c>
      <c r="N55">
        <f>EXP(((-1)/(2*'Cálculos Diversos'!$B$5))*(SQRT(SUMXMY2('Tabela Entrada-Saída'!$B$55:$O$55,'Coordenadas dos Polos'!$GB$2:$GO$2)))^2)</f>
        <v>8.2595464186919834E-3</v>
      </c>
      <c r="O55">
        <f>EXP(((-1)/(2*'Cálculos Diversos'!$B$5))*(SQRT(SUMXMY2('Tabela Entrada-Saída'!$B$55:$O$55,'Coordenadas dos Polos'!$GP$2:$HC$2)))^2)</f>
        <v>1.954556053806005E-5</v>
      </c>
      <c r="P55">
        <v>1</v>
      </c>
    </row>
    <row r="56" spans="1:16" x14ac:dyDescent="0.25">
      <c r="A56">
        <v>55</v>
      </c>
      <c r="B56">
        <f>EXP(((-1)/(2*'Cálculos Diversos'!$B$5))*(SQRT(SUMXMY2('Tabela Entrada-Saída'!$B$56:$O$56,'Coordenadas dos Polos'!$P$2:$AC$2)))^2)</f>
        <v>0.12743512739636964</v>
      </c>
      <c r="C56">
        <f>EXP(((-1)/(2*'Cálculos Diversos'!$B$5))*(SQRT(SUMXMY2('Tabela Entrada-Saída'!$B$56:$O$56,'Coordenadas dos Polos'!$AD$2:$AQ$2)))^2)</f>
        <v>1.7060126400289706E-5</v>
      </c>
      <c r="D56">
        <f>EXP(((-1)/(2*'Cálculos Diversos'!$B$5))*(SQRT(SUMXMY2('Tabela Entrada-Saída'!$B$56:$O$56,'Coordenadas dos Polos'!$AR$2:$BE$2)))^2)</f>
        <v>1.3993102706405215E-3</v>
      </c>
      <c r="E56">
        <f>EXP(((-1)/(2*'Cálculos Diversos'!$B$5))*(SQRT(SUMXMY2('Tabela Entrada-Saída'!$B$56:$O$56,'Coordenadas dos Polos'!$BF$2:$BS$2)))^2)</f>
        <v>1.3374890533928197E-4</v>
      </c>
      <c r="F56">
        <f>EXP(((-1)/(2*'Cálculos Diversos'!$B$5))*(SQRT(SUMXMY2('Tabela Entrada-Saída'!$B$56:$O$56,'Coordenadas dos Polos'!$BT$2:$CG$2)))^2)</f>
        <v>1.9336717060349977E-3</v>
      </c>
      <c r="G56">
        <f>EXP(((-1)/(2*'Cálculos Diversos'!$B$5))*(SQRT(SUMXMY2('Tabela Entrada-Saída'!$B$56:$O$56,'Coordenadas dos Polos'!$CH$2:$CU$2)))^2)</f>
        <v>3.010419121609877E-5</v>
      </c>
      <c r="H56">
        <f>EXP(((-1)/(2*'Cálculos Diversos'!$B$5))*(SQRT(SUMXMY2('Tabela Entrada-Saída'!$B$56:$O$56,'Coordenadas dos Polos'!$CV$2:$DI$2)))^2)</f>
        <v>3.6840289399859365E-3</v>
      </c>
      <c r="I56">
        <f>EXP(((-1)/(2*'Cálculos Diversos'!$B$5))*(SQRT(SUMXMY2('Tabela Entrada-Saída'!$B$56:$O$56,'Coordenadas dos Polos'!$DJ$2:$DW$2)))^2)</f>
        <v>1.8545193544237055E-6</v>
      </c>
      <c r="J56">
        <f>EXP(((-1)/(2*'Cálculos Diversos'!$B$5))*(SQRT(SUMXMY2('Tabela Entrada-Saída'!$B$56:$O$56,'Coordenadas dos Polos'!$DX$2:$EK$2)))^2)</f>
        <v>1.1005050008746444E-3</v>
      </c>
      <c r="K56">
        <f>EXP(((-1)/(2*'Cálculos Diversos'!$B$5))*(SQRT(SUMXMY2('Tabela Entrada-Saída'!$B$56:$O$56,'Coordenadas dos Polos'!$EL$2:$EY$2)))^2)</f>
        <v>2.487296820275843E-5</v>
      </c>
      <c r="L56">
        <f>EXP(((-1)/(2*'Cálculos Diversos'!$B$5))*(SQRT(SUMXMY2('Tabela Entrada-Saída'!$B$56:$O$56,'Coordenadas dos Polos'!$EZ$2:$FM$2)))^2)</f>
        <v>8.719047712217508E-4</v>
      </c>
      <c r="M56">
        <f>EXP(((-1)/(2*'Cálculos Diversos'!$B$5))*(SQRT(SUMXMY2('Tabela Entrada-Saída'!$B$56:$O$56,'Coordenadas dos Polos'!$FN$2:$GA$2)))^2)</f>
        <v>2.8402555984839429E-4</v>
      </c>
      <c r="N56">
        <f>EXP(((-1)/(2*'Cálculos Diversos'!$B$5))*(SQRT(SUMXMY2('Tabela Entrada-Saída'!$B$56:$O$56,'Coordenadas dos Polos'!$GB$2:$GO$2)))^2)</f>
        <v>8.3881699511843214E-3</v>
      </c>
      <c r="O56">
        <f>EXP(((-1)/(2*'Cálculos Diversos'!$B$5))*(SQRT(SUMXMY2('Tabela Entrada-Saída'!$B$56:$O$56,'Coordenadas dos Polos'!$GP$2:$HC$2)))^2)</f>
        <v>2.0202226098812135E-5</v>
      </c>
      <c r="P56">
        <v>1</v>
      </c>
    </row>
    <row r="57" spans="1:16" x14ac:dyDescent="0.25">
      <c r="A57">
        <v>56</v>
      </c>
      <c r="B57">
        <f>EXP(((-1)/(2*'Cálculos Diversos'!$B$5))*(SQRT(SUMXMY2('Tabela Entrada-Saída'!$B$57:$O$57,'Coordenadas dos Polos'!$P$2:$AC$2)))^2)</f>
        <v>0.11922499319875811</v>
      </c>
      <c r="C57">
        <f>EXP(((-1)/(2*'Cálculos Diversos'!$B$5))*(SQRT(SUMXMY2('Tabela Entrada-Saída'!$B$57:$O$57,'Coordenadas dos Polos'!$AD$2:$AQ$2)))^2)</f>
        <v>1.6716775525353819E-5</v>
      </c>
      <c r="D57">
        <f>EXP(((-1)/(2*'Cálculos Diversos'!$B$5))*(SQRT(SUMXMY2('Tabela Entrada-Saída'!$B$57:$O$57,'Coordenadas dos Polos'!$AR$2:$BE$2)))^2)</f>
        <v>1.4066506507269736E-3</v>
      </c>
      <c r="E57">
        <f>EXP(((-1)/(2*'Cálculos Diversos'!$B$5))*(SQRT(SUMXMY2('Tabela Entrada-Saída'!$B$57:$O$57,'Coordenadas dos Polos'!$BF$2:$BS$2)))^2)</f>
        <v>1.2937270193299561E-4</v>
      </c>
      <c r="F57">
        <f>EXP(((-1)/(2*'Cálculos Diversos'!$B$5))*(SQRT(SUMXMY2('Tabela Entrada-Saída'!$B$57:$O$57,'Coordenadas dos Polos'!$BT$2:$CG$2)))^2)</f>
        <v>1.9430599555433736E-3</v>
      </c>
      <c r="G57">
        <f>EXP(((-1)/(2*'Cálculos Diversos'!$B$5))*(SQRT(SUMXMY2('Tabela Entrada-Saída'!$B$57:$O$57,'Coordenadas dos Polos'!$CH$2:$CU$2)))^2)</f>
        <v>2.8239675586900664E-5</v>
      </c>
      <c r="H57">
        <f>EXP(((-1)/(2*'Cálculos Diversos'!$B$5))*(SQRT(SUMXMY2('Tabela Entrada-Saída'!$B$57:$O$57,'Coordenadas dos Polos'!$CV$2:$DI$2)))^2)</f>
        <v>3.5957861308690514E-3</v>
      </c>
      <c r="I57">
        <f>EXP(((-1)/(2*'Cálculos Diversos'!$B$5))*(SQRT(SUMXMY2('Tabela Entrada-Saída'!$B$57:$O$57,'Coordenadas dos Polos'!$DJ$2:$DW$2)))^2)</f>
        <v>1.7600252301370598E-6</v>
      </c>
      <c r="J57">
        <f>EXP(((-1)/(2*'Cálculos Diversos'!$B$5))*(SQRT(SUMXMY2('Tabela Entrada-Saída'!$B$57:$O$57,'Coordenadas dos Polos'!$DX$2:$EK$2)))^2)</f>
        <v>1.0609882081254911E-3</v>
      </c>
      <c r="K57">
        <f>EXP(((-1)/(2*'Cálculos Diversos'!$B$5))*(SQRT(SUMXMY2('Tabela Entrada-Saída'!$B$57:$O$57,'Coordenadas dos Polos'!$EL$2:$EY$2)))^2)</f>
        <v>2.5019237692823373E-5</v>
      </c>
      <c r="L57">
        <f>EXP(((-1)/(2*'Cálculos Diversos'!$B$5))*(SQRT(SUMXMY2('Tabela Entrada-Saída'!$B$57:$O$57,'Coordenadas dos Polos'!$EZ$2:$FM$2)))^2)</f>
        <v>8.6932957126668517E-4</v>
      </c>
      <c r="M57">
        <f>EXP(((-1)/(2*'Cálculos Diversos'!$B$5))*(SQRT(SUMXMY2('Tabela Entrada-Saída'!$B$57:$O$57,'Coordenadas dos Polos'!$FN$2:$GA$2)))^2)</f>
        <v>2.7922192702665554E-4</v>
      </c>
      <c r="N57">
        <f>EXP(((-1)/(2*'Cálculos Diversos'!$B$5))*(SQRT(SUMXMY2('Tabela Entrada-Saída'!$B$57:$O$57,'Coordenadas dos Polos'!$GB$2:$GO$2)))^2)</f>
        <v>8.2373340973676216E-3</v>
      </c>
      <c r="O57">
        <f>EXP(((-1)/(2*'Cálculos Diversos'!$B$5))*(SQRT(SUMXMY2('Tabela Entrada-Saída'!$B$57:$O$57,'Coordenadas dos Polos'!$GP$2:$HC$2)))^2)</f>
        <v>1.9430636770046734E-5</v>
      </c>
      <c r="P57">
        <v>1</v>
      </c>
    </row>
    <row r="58" spans="1:16" x14ac:dyDescent="0.25">
      <c r="A58">
        <v>57</v>
      </c>
      <c r="B58">
        <f>EXP(((-1)/(2*'Cálculos Diversos'!$B$5))*(SQRT(SUMXMY2('Tabela Entrada-Saída'!$B$58:$O$58,'Coordenadas dos Polos'!$P$2:$AC$2)))^2)</f>
        <v>0.15052942238532235</v>
      </c>
      <c r="C58">
        <f>EXP(((-1)/(2*'Cálculos Diversos'!$B$5))*(SQRT(SUMXMY2('Tabela Entrada-Saída'!$B$58:$O$58,'Coordenadas dos Polos'!$AD$2:$AQ$2)))^2)</f>
        <v>1.7877187938047423E-5</v>
      </c>
      <c r="D58">
        <f>EXP(((-1)/(2*'Cálculos Diversos'!$B$5))*(SQRT(SUMXMY2('Tabela Entrada-Saída'!$B$58:$O$58,'Coordenadas dos Polos'!$AR$2:$BE$2)))^2)</f>
        <v>1.3721488828218351E-3</v>
      </c>
      <c r="E58">
        <f>EXP(((-1)/(2*'Cálculos Diversos'!$B$5))*(SQRT(SUMXMY2('Tabela Entrada-Saída'!$B$58:$O$58,'Coordenadas dos Polos'!$BF$2:$BS$2)))^2)</f>
        <v>1.4498858718466344E-4</v>
      </c>
      <c r="F58">
        <f>EXP(((-1)/(2*'Cálculos Diversos'!$B$5))*(SQRT(SUMXMY2('Tabela Entrada-Saída'!$B$58:$O$58,'Coordenadas dos Polos'!$BT$2:$CG$2)))^2)</f>
        <v>1.8975891971340592E-3</v>
      </c>
      <c r="G58">
        <f>EXP(((-1)/(2*'Cálculos Diversos'!$B$5))*(SQRT(SUMXMY2('Tabela Entrada-Saída'!$B$58:$O$58,'Coordenadas dos Polos'!$CH$2:$CU$2)))^2)</f>
        <v>3.535479232245885E-5</v>
      </c>
      <c r="H58">
        <f>EXP(((-1)/(2*'Cálculos Diversos'!$B$5))*(SQRT(SUMXMY2('Tabela Entrada-Saída'!$B$58:$O$58,'Coordenadas dos Polos'!$CV$2:$DI$2)))^2)</f>
        <v>3.8977032617413987E-3</v>
      </c>
      <c r="I58">
        <f>EXP(((-1)/(2*'Cálculos Diversos'!$B$5))*(SQRT(SUMXMY2('Tabela Entrada-Saída'!$B$58:$O$58,'Coordenadas dos Polos'!$DJ$2:$DW$2)))^2)</f>
        <v>2.1113392845938648E-6</v>
      </c>
      <c r="J58">
        <f>EXP(((-1)/(2*'Cálculos Diversos'!$B$5))*(SQRT(SUMXMY2('Tabela Entrada-Saída'!$B$58:$O$58,'Coordenadas dos Polos'!$DX$2:$EK$2)))^2)</f>
        <v>1.2014711974533505E-3</v>
      </c>
      <c r="K58">
        <f>EXP(((-1)/(2*'Cálculos Diversos'!$B$5))*(SQRT(SUMXMY2('Tabela Entrada-Saída'!$B$58:$O$58,'Coordenadas dos Polos'!$EL$2:$EY$2)))^2)</f>
        <v>2.4333853253566352E-5</v>
      </c>
      <c r="L58">
        <f>EXP(((-1)/(2*'Cálculos Diversos'!$B$5))*(SQRT(SUMXMY2('Tabela Entrada-Saída'!$B$58:$O$58,'Coordenadas dos Polos'!$EZ$2:$FM$2)))^2)</f>
        <v>8.7316275130095951E-4</v>
      </c>
      <c r="M58">
        <f>EXP(((-1)/(2*'Cálculos Diversos'!$B$5))*(SQRT(SUMXMY2('Tabela Entrada-Saída'!$B$58:$O$58,'Coordenadas dos Polos'!$FN$2:$GA$2)))^2)</f>
        <v>2.9513860874569531E-4</v>
      </c>
      <c r="N58">
        <f>EXP(((-1)/(2*'Cálculos Diversos'!$B$5))*(SQRT(SUMXMY2('Tabela Entrada-Saída'!$B$58:$O$58,'Coordenadas dos Polos'!$GB$2:$GO$2)))^2)</f>
        <v>8.7417259235726703E-3</v>
      </c>
      <c r="O58">
        <f>EXP(((-1)/(2*'Cálculos Diversos'!$B$5))*(SQRT(SUMXMY2('Tabela Entrada-Saída'!$B$58:$O$58,'Coordenadas dos Polos'!$GP$2:$HC$2)))^2)</f>
        <v>2.2198348816810841E-5</v>
      </c>
      <c r="P58">
        <v>1</v>
      </c>
    </row>
    <row r="59" spans="1:16" x14ac:dyDescent="0.25">
      <c r="A59">
        <v>58</v>
      </c>
      <c r="B59">
        <f>EXP(((-1)/(2*'Cálculos Diversos'!$B$5))*(SQRT(SUMXMY2('Tabela Entrada-Saída'!$B$59:$O$59,'Coordenadas dos Polos'!$P$2:$AC$2)))^2)</f>
        <v>0.13129508042481797</v>
      </c>
      <c r="C59">
        <f>EXP(((-1)/(2*'Cálculos Diversos'!$B$5))*(SQRT(SUMXMY2('Tabela Entrada-Saída'!$B$59:$O$59,'Coordenadas dos Polos'!$AD$2:$AQ$2)))^2)</f>
        <v>1.7204558960674224E-5</v>
      </c>
      <c r="D59">
        <f>EXP(((-1)/(2*'Cálculos Diversos'!$B$5))*(SQRT(SUMXMY2('Tabela Entrada-Saída'!$B$59:$O$59,'Coordenadas dos Polos'!$AR$2:$BE$2)))^2)</f>
        <v>1.3955718359149037E-3</v>
      </c>
      <c r="E59">
        <f>EXP(((-1)/(2*'Cálculos Diversos'!$B$5))*(SQRT(SUMXMY2('Tabela Entrada-Saída'!$B$59:$O$59,'Coordenadas dos Polos'!$BF$2:$BS$2)))^2)</f>
        <v>1.3575342263909978E-4</v>
      </c>
      <c r="F59">
        <f>EXP(((-1)/(2*'Cálculos Diversos'!$B$5))*(SQRT(SUMXMY2('Tabela Entrada-Saída'!$B$59:$O$59,'Coordenadas dos Polos'!$BT$2:$CG$2)))^2)</f>
        <v>1.928394136677371E-3</v>
      </c>
      <c r="G59">
        <f>EXP(((-1)/(2*'Cálculos Diversos'!$B$5))*(SQRT(SUMXMY2('Tabela Entrada-Saída'!$B$59:$O$59,'Coordenadas dos Polos'!$CH$2:$CU$2)))^2)</f>
        <v>3.0991803236906894E-5</v>
      </c>
      <c r="H59">
        <f>EXP(((-1)/(2*'Cálculos Diversos'!$B$5))*(SQRT(SUMXMY2('Tabela Entrada-Saída'!$B$59:$O$59,'Coordenadas dos Polos'!$CV$2:$DI$2)))^2)</f>
        <v>3.720912708651665E-3</v>
      </c>
      <c r="I59">
        <f>EXP(((-1)/(2*'Cálculos Diversos'!$B$5))*(SQRT(SUMXMY2('Tabela Entrada-Saída'!$B$59:$O$59,'Coordenadas dos Polos'!$DJ$2:$DW$2)))^2)</f>
        <v>1.8966197093209385E-6</v>
      </c>
      <c r="J59">
        <f>EXP(((-1)/(2*'Cálculos Diversos'!$B$5))*(SQRT(SUMXMY2('Tabela Entrada-Saída'!$B$59:$O$59,'Coordenadas dos Polos'!$DX$2:$EK$2)))^2)</f>
        <v>1.1171559248698028E-3</v>
      </c>
      <c r="K59">
        <f>EXP(((-1)/(2*'Cálculos Diversos'!$B$5))*(SQRT(SUMXMY2('Tabela Entrada-Saída'!$B$59:$O$59,'Coordenadas dos Polos'!$EL$2:$EY$2)))^2)</f>
        <v>2.4776885449105023E-5</v>
      </c>
      <c r="L59">
        <f>EXP(((-1)/(2*'Cálculos Diversos'!$B$5))*(SQRT(SUMXMY2('Tabela Entrada-Saída'!$B$59:$O$59,'Coordenadas dos Polos'!$EZ$2:$FM$2)))^2)</f>
        <v>8.7265648626913051E-4</v>
      </c>
      <c r="M59">
        <f>EXP(((-1)/(2*'Cálculos Diversos'!$B$5))*(SQRT(SUMXMY2('Tabela Entrada-Saída'!$B$59:$O$59,'Coordenadas dos Polos'!$FN$2:$GA$2)))^2)</f>
        <v>2.860317992957739E-4</v>
      </c>
      <c r="N59">
        <f>EXP(((-1)/(2*'Cálculos Diversos'!$B$5))*(SQRT(SUMXMY2('Tabela Entrada-Saída'!$B$59:$O$59,'Coordenadas dos Polos'!$GB$2:$GO$2)))^2)</f>
        <v>8.4566337076650133E-3</v>
      </c>
      <c r="O59">
        <f>EXP(((-1)/(2*'Cálculos Diversos'!$B$5))*(SQRT(SUMXMY2('Tabela Entrada-Saída'!$B$59:$O$59,'Coordenadas dos Polos'!$GP$2:$HC$2)))^2)</f>
        <v>2.0533309328263448E-5</v>
      </c>
      <c r="P59">
        <v>1</v>
      </c>
    </row>
    <row r="60" spans="1:16" x14ac:dyDescent="0.25">
      <c r="A60">
        <v>59</v>
      </c>
      <c r="B60">
        <f>EXP(((-1)/(2*'Cálculos Diversos'!$B$5))*(SQRT(SUMXMY2('Tabela Entrada-Saída'!$B$60:$O$60,'Coordenadas dos Polos'!$P$2:$AC$2)))^2)</f>
        <v>0.15145750653074536</v>
      </c>
      <c r="C60">
        <f>EXP(((-1)/(2*'Cálculos Diversos'!$B$5))*(SQRT(SUMXMY2('Tabela Entrada-Saída'!$B$60:$O$60,'Coordenadas dos Polos'!$AD$2:$AQ$2)))^2)</f>
        <v>1.79157203572257E-5</v>
      </c>
      <c r="D60">
        <f>EXP(((-1)/(2*'Cálculos Diversos'!$B$5))*(SQRT(SUMXMY2('Tabela Entrada-Saída'!$B$60:$O$60,'Coordenadas dos Polos'!$AR$2:$BE$2)))^2)</f>
        <v>1.3712041144418126E-3</v>
      </c>
      <c r="E60">
        <f>EXP(((-1)/(2*'Cálculos Diversos'!$B$5))*(SQRT(SUMXMY2('Tabela Entrada-Saída'!$B$60:$O$60,'Coordenadas dos Polos'!$BF$2:$BS$2)))^2)</f>
        <v>1.454405343492078E-4</v>
      </c>
      <c r="F60">
        <f>EXP(((-1)/(2*'Cálculos Diversos'!$B$5))*(SQRT(SUMXMY2('Tabela Entrada-Saída'!$B$60:$O$60,'Coordenadas dos Polos'!$BT$2:$CG$2)))^2)</f>
        <v>1.8964283155396362E-3</v>
      </c>
      <c r="G60">
        <f>EXP(((-1)/(2*'Cálculos Diversos'!$B$5))*(SQRT(SUMXMY2('Tabela Entrada-Saída'!$B$60:$O$60,'Coordenadas dos Polos'!$CH$2:$CU$2)))^2)</f>
        <v>3.5571319213954398E-5</v>
      </c>
      <c r="H60">
        <f>EXP(((-1)/(2*'Cálculos Diversos'!$B$5))*(SQRT(SUMXMY2('Tabela Entrada-Saída'!$B$60:$O$60,'Coordenadas dos Polos'!$CV$2:$DI$2)))^2)</f>
        <v>3.9074634783007132E-3</v>
      </c>
      <c r="I60">
        <f>EXP(((-1)/(2*'Cálculos Diversos'!$B$5))*(SQRT(SUMXMY2('Tabela Entrada-Saída'!$B$60:$O$60,'Coordenadas dos Polos'!$DJ$2:$DW$2)))^2)</f>
        <v>2.1234013752228703E-6</v>
      </c>
      <c r="J60">
        <f>EXP(((-1)/(2*'Cálculos Diversos'!$B$5))*(SQRT(SUMXMY2('Tabela Entrada-Saída'!$B$60:$O$60,'Coordenadas dos Polos'!$DX$2:$EK$2)))^2)</f>
        <v>1.2062058730636417E-3</v>
      </c>
      <c r="K60">
        <f>EXP(((-1)/(2*'Cálculos Diversos'!$B$5))*(SQRT(SUMXMY2('Tabela Entrada-Saída'!$B$60:$O$60,'Coordenadas dos Polos'!$EL$2:$EY$2)))^2)</f>
        <v>2.4327143145405512E-5</v>
      </c>
      <c r="L60">
        <f>EXP(((-1)/(2*'Cálculos Diversos'!$B$5))*(SQRT(SUMXMY2('Tabela Entrada-Saída'!$B$60:$O$60,'Coordenadas dos Polos'!$EZ$2:$FM$2)))^2)</f>
        <v>8.7329331634830403E-4</v>
      </c>
      <c r="M60">
        <f>EXP(((-1)/(2*'Cálculos Diversos'!$B$5))*(SQRT(SUMXMY2('Tabela Entrada-Saída'!$B$60:$O$60,'Coordenadas dos Polos'!$FN$2:$GA$2)))^2)</f>
        <v>2.9567486750815564E-4</v>
      </c>
      <c r="N60">
        <f>EXP(((-1)/(2*'Cálculos Diversos'!$B$5))*(SQRT(SUMXMY2('Tabela Entrada-Saída'!$B$60:$O$60,'Coordenadas dos Polos'!$GB$2:$GO$2)))^2)</f>
        <v>8.7545656182116023E-3</v>
      </c>
      <c r="O60">
        <f>EXP(((-1)/(2*'Cálculos Diversos'!$B$5))*(SQRT(SUMXMY2('Tabela Entrada-Saída'!$B$60:$O$60,'Coordenadas dos Polos'!$GP$2:$HC$2)))^2)</f>
        <v>2.2290128015171036E-5</v>
      </c>
      <c r="P60">
        <v>1</v>
      </c>
    </row>
    <row r="61" spans="1:16" x14ac:dyDescent="0.25">
      <c r="A61">
        <v>60</v>
      </c>
      <c r="B61">
        <f>EXP(((-1)/(2*'Cálculos Diversos'!$B$5))*(SQRT(SUMXMY2('Tabela Entrada-Saída'!$B$61:$O$61,'Coordenadas dos Polos'!$P$2:$AC$2)))^2)</f>
        <v>0.12318871773146264</v>
      </c>
      <c r="C61">
        <f>EXP(((-1)/(2*'Cálculos Diversos'!$B$5))*(SQRT(SUMXMY2('Tabela Entrada-Saída'!$B$61:$O$61,'Coordenadas dos Polos'!$AD$2:$AQ$2)))^2)</f>
        <v>1.6874463806646306E-5</v>
      </c>
      <c r="D61">
        <f>EXP(((-1)/(2*'Cálculos Diversos'!$B$5))*(SQRT(SUMXMY2('Tabela Entrada-Saída'!$B$61:$O$61,'Coordenadas dos Polos'!$AR$2:$BE$2)))^2)</f>
        <v>1.403067472647511E-3</v>
      </c>
      <c r="E61">
        <f>EXP(((-1)/(2*'Cálculos Diversos'!$B$5))*(SQRT(SUMXMY2('Tabela Entrada-Saída'!$B$61:$O$61,'Coordenadas dos Polos'!$BF$2:$BS$2)))^2)</f>
        <v>1.314952672450054E-4</v>
      </c>
      <c r="F61">
        <f>EXP(((-1)/(2*'Cálculos Diversos'!$B$5))*(SQRT(SUMXMY2('Tabela Entrada-Saída'!$B$61:$O$61,'Coordenadas dos Polos'!$BT$2:$CG$2)))^2)</f>
        <v>1.9381920065669387E-3</v>
      </c>
      <c r="G61">
        <f>EXP(((-1)/(2*'Cálculos Diversos'!$B$5))*(SQRT(SUMXMY2('Tabela Entrada-Saída'!$B$61:$O$61,'Coordenadas dos Polos'!$CH$2:$CU$2)))^2)</f>
        <v>2.9138382665839562E-5</v>
      </c>
      <c r="H61">
        <f>EXP(((-1)/(2*'Cálculos Diversos'!$B$5))*(SQRT(SUMXMY2('Tabela Entrada-Saída'!$B$61:$O$61,'Coordenadas dos Polos'!$CV$2:$DI$2)))^2)</f>
        <v>3.6365752214709982E-3</v>
      </c>
      <c r="I61">
        <f>EXP(((-1)/(2*'Cálculos Diversos'!$B$5))*(SQRT(SUMXMY2('Tabela Entrada-Saída'!$B$61:$O$61,'Coordenadas dos Polos'!$DJ$2:$DW$2)))^2)</f>
        <v>1.80360636953872E-6</v>
      </c>
      <c r="J61">
        <f>EXP(((-1)/(2*'Cálculos Diversos'!$B$5))*(SQRT(SUMXMY2('Tabela Entrada-Saída'!$B$61:$O$61,'Coordenadas dos Polos'!$DX$2:$EK$2)))^2)</f>
        <v>1.079106139384126E-3</v>
      </c>
      <c r="K61">
        <f>EXP(((-1)/(2*'Cálculos Diversos'!$B$5))*(SQRT(SUMXMY2('Tabela Entrada-Saída'!$B$61:$O$61,'Coordenadas dos Polos'!$EL$2:$EY$2)))^2)</f>
        <v>2.492877347784305E-5</v>
      </c>
      <c r="L61">
        <f>EXP(((-1)/(2*'Cálculos Diversos'!$B$5))*(SQRT(SUMXMY2('Tabela Entrada-Saída'!$B$61:$O$61,'Coordenadas dos Polos'!$EZ$2:$FM$2)))^2)</f>
        <v>8.7047461496755376E-4</v>
      </c>
      <c r="M61">
        <f>EXP(((-1)/(2*'Cálculos Diversos'!$B$5))*(SQRT(SUMXMY2('Tabela Entrada-Saída'!$B$61:$O$61,'Coordenadas dos Polos'!$FN$2:$GA$2)))^2)</f>
        <v>2.8140166111728947E-4</v>
      </c>
      <c r="N61">
        <f>EXP(((-1)/(2*'Cálculos Diversos'!$B$5))*(SQRT(SUMXMY2('Tabela Entrada-Saída'!$B$61:$O$61,'Coordenadas dos Polos'!$GB$2:$GO$2)))^2)</f>
        <v>8.3121988073341299E-3</v>
      </c>
      <c r="O61">
        <f>EXP(((-1)/(2*'Cálculos Diversos'!$B$5))*(SQRT(SUMXMY2('Tabela Entrada-Saída'!$B$61:$O$61,'Coordenadas dos Polos'!$GP$2:$HC$2)))^2)</f>
        <v>1.9787319958600083E-5</v>
      </c>
      <c r="P61">
        <v>1</v>
      </c>
    </row>
    <row r="62" spans="1:16" x14ac:dyDescent="0.25">
      <c r="A62">
        <v>61</v>
      </c>
      <c r="B62">
        <f>EXP(((-1)/(2*'Cálculos Diversos'!$B$5))*(SQRT(SUMXMY2('Tabela Entrada-Saída'!$B$62:$O$62,'Coordenadas dos Polos'!$P$2:$AC$2)))^2)</f>
        <v>0.15058648467570226</v>
      </c>
      <c r="C62">
        <f>EXP(((-1)/(2*'Cálculos Diversos'!$B$5))*(SQRT(SUMXMY2('Tabela Entrada-Saída'!$B$62:$O$62,'Coordenadas dos Polos'!$AD$2:$AQ$2)))^2)</f>
        <v>1.7877754942094057E-5</v>
      </c>
      <c r="D62">
        <f>EXP(((-1)/(2*'Cálculos Diversos'!$B$5))*(SQRT(SUMXMY2('Tabela Entrada-Saída'!$B$62:$O$62,'Coordenadas dos Polos'!$AR$2:$BE$2)))^2)</f>
        <v>1.3721182661676403E-3</v>
      </c>
      <c r="E62">
        <f>EXP(((-1)/(2*'Cálculos Diversos'!$B$5))*(SQRT(SUMXMY2('Tabela Entrada-Saída'!$B$62:$O$62,'Coordenadas dos Polos'!$BF$2:$BS$2)))^2)</f>
        <v>1.4500316723471435E-4</v>
      </c>
      <c r="F62">
        <f>EXP(((-1)/(2*'Cálculos Diversos'!$B$5))*(SQRT(SUMXMY2('Tabela Entrada-Saída'!$B$62:$O$62,'Coordenadas dos Polos'!$BT$2:$CG$2)))^2)</f>
        <v>1.8974629029916248E-3</v>
      </c>
      <c r="G62">
        <f>EXP(((-1)/(2*'Cálculos Diversos'!$B$5))*(SQRT(SUMXMY2('Tabela Entrada-Saída'!$B$62:$O$62,'Coordenadas dos Polos'!$CH$2:$CU$2)))^2)</f>
        <v>3.536986209305316E-5</v>
      </c>
      <c r="H62">
        <f>EXP(((-1)/(2*'Cálculos Diversos'!$B$5))*(SQRT(SUMXMY2('Tabela Entrada-Saída'!$B$62:$O$62,'Coordenadas dos Polos'!$CV$2:$DI$2)))^2)</f>
        <v>3.8979839377901362E-3</v>
      </c>
      <c r="I62">
        <f>EXP(((-1)/(2*'Cálculos Diversos'!$B$5))*(SQRT(SUMXMY2('Tabela Entrada-Saída'!$B$62:$O$62,'Coordenadas dos Polos'!$DJ$2:$DW$2)))^2)</f>
        <v>2.1118541798867689E-6</v>
      </c>
      <c r="J62">
        <f>EXP(((-1)/(2*'Cálculos Diversos'!$B$5))*(SQRT(SUMXMY2('Tabela Entrada-Saída'!$B$62:$O$62,'Coordenadas dos Polos'!$DX$2:$EK$2)))^2)</f>
        <v>1.2016980556625297E-3</v>
      </c>
      <c r="K62">
        <f>EXP(((-1)/(2*'Cálculos Diversos'!$B$5))*(SQRT(SUMXMY2('Tabela Entrada-Saída'!$B$62:$O$62,'Coordenadas dos Polos'!$EL$2:$EY$2)))^2)</f>
        <v>2.4331824135341749E-5</v>
      </c>
      <c r="L62">
        <f>EXP(((-1)/(2*'Cálculos Diversos'!$B$5))*(SQRT(SUMXMY2('Tabela Entrada-Saída'!$B$62:$O$62,'Coordenadas dos Polos'!$EZ$2:$FM$2)))^2)</f>
        <v>8.7324888863402658E-4</v>
      </c>
      <c r="M62">
        <f>EXP(((-1)/(2*'Cálculos Diversos'!$B$5))*(SQRT(SUMXMY2('Tabela Entrada-Saída'!$B$62:$O$62,'Coordenadas dos Polos'!$FN$2:$GA$2)))^2)</f>
        <v>2.9519333534999096E-4</v>
      </c>
      <c r="N62">
        <f>EXP(((-1)/(2*'Cálculos Diversos'!$B$5))*(SQRT(SUMXMY2('Tabela Entrada-Saída'!$B$62:$O$62,'Coordenadas dos Polos'!$GB$2:$GO$2)))^2)</f>
        <v>8.7425103534648132E-3</v>
      </c>
      <c r="O62">
        <f>EXP(((-1)/(2*'Cálculos Diversos'!$B$5))*(SQRT(SUMXMY2('Tabela Entrada-Saída'!$B$62:$O$62,'Coordenadas dos Polos'!$GP$2:$HC$2)))^2)</f>
        <v>2.2200994351606507E-5</v>
      </c>
      <c r="P62">
        <v>1</v>
      </c>
    </row>
    <row r="63" spans="1:16" x14ac:dyDescent="0.25">
      <c r="A63">
        <v>62</v>
      </c>
      <c r="B63">
        <f>EXP(((-1)/(2*'Cálculos Diversos'!$B$5))*(SQRT(SUMXMY2('Tabela Entrada-Saída'!$B$63:$O$63,'Coordenadas dos Polos'!$P$2:$AC$2)))^2)</f>
        <v>0.14272663649138123</v>
      </c>
      <c r="C63">
        <f>EXP(((-1)/(2*'Cálculos Diversos'!$B$5))*(SQRT(SUMXMY2('Tabela Entrada-Saída'!$B$63:$O$63,'Coordenadas dos Polos'!$AD$2:$AQ$2)))^2)</f>
        <v>1.7617030566140474E-5</v>
      </c>
      <c r="D63">
        <f>EXP(((-1)/(2*'Cálculos Diversos'!$B$5))*(SQRT(SUMXMY2('Tabela Entrada-Saída'!$B$63:$O$63,'Coordenadas dos Polos'!$AR$2:$BE$2)))^2)</f>
        <v>1.3822234885040629E-3</v>
      </c>
      <c r="E63">
        <f>EXP(((-1)/(2*'Cálculos Diversos'!$B$5))*(SQRT(SUMXMY2('Tabela Entrada-Saída'!$B$63:$O$63,'Coordenadas dos Polos'!$BF$2:$BS$2)))^2)</f>
        <v>1.4135853294946338E-4</v>
      </c>
      <c r="F63">
        <f>EXP(((-1)/(2*'Cálculos Diversos'!$B$5))*(SQRT(SUMXMY2('Tabela Entrada-Saída'!$B$63:$O$63,'Coordenadas dos Polos'!$BT$2:$CG$2)))^2)</f>
        <v>1.9109170206813512E-3</v>
      </c>
      <c r="G63">
        <f>EXP(((-1)/(2*'Cálculos Diversos'!$B$5))*(SQRT(SUMXMY2('Tabela Entrada-Saída'!$B$63:$O$63,'Coordenadas dos Polos'!$CH$2:$CU$2)))^2)</f>
        <v>3.358326699220228E-5</v>
      </c>
      <c r="H63">
        <f>EXP(((-1)/(2*'Cálculos Diversos'!$B$5))*(SQRT(SUMXMY2('Tabela Entrada-Saída'!$B$63:$O$63,'Coordenadas dos Polos'!$CV$2:$DI$2)))^2)</f>
        <v>3.8289122525947349E-3</v>
      </c>
      <c r="I63">
        <f>EXP(((-1)/(2*'Cálculos Diversos'!$B$5))*(SQRT(SUMXMY2('Tabela Entrada-Saída'!$B$63:$O$63,'Coordenadas dos Polos'!$DJ$2:$DW$2)))^2)</f>
        <v>2.0243789893558402E-6</v>
      </c>
      <c r="J63">
        <f>EXP(((-1)/(2*'Cálculos Diversos'!$B$5))*(SQRT(SUMXMY2('Tabela Entrada-Saída'!$B$63:$O$63,'Coordenadas dos Polos'!$DX$2:$EK$2)))^2)</f>
        <v>1.1679443999519301E-3</v>
      </c>
      <c r="K63">
        <f>EXP(((-1)/(2*'Cálculos Diversos'!$B$5))*(SQRT(SUMXMY2('Tabela Entrada-Saída'!$B$63:$O$63,'Coordenadas dos Polos'!$EL$2:$EY$2)))^2)</f>
        <v>2.4518244414692286E-5</v>
      </c>
      <c r="L63">
        <f>EXP(((-1)/(2*'Cálculos Diversos'!$B$5))*(SQRT(SUMXMY2('Tabela Entrada-Saída'!$B$63:$O$63,'Coordenadas dos Polos'!$EZ$2:$FM$2)))^2)</f>
        <v>8.7351680199118133E-4</v>
      </c>
      <c r="M63">
        <f>EXP(((-1)/(2*'Cálculos Diversos'!$B$5))*(SQRT(SUMXMY2('Tabela Entrada-Saída'!$B$63:$O$63,'Coordenadas dos Polos'!$FN$2:$GA$2)))^2)</f>
        <v>2.9165065501569041E-4</v>
      </c>
      <c r="N63">
        <f>EXP(((-1)/(2*'Cálculos Diversos'!$B$5))*(SQRT(SUMXMY2('Tabela Entrada-Saída'!$B$63:$O$63,'Coordenadas dos Polos'!$GB$2:$GO$2)))^2)</f>
        <v>8.6340557792078578E-3</v>
      </c>
      <c r="O63">
        <f>EXP(((-1)/(2*'Cálculos Diversos'!$B$5))*(SQRT(SUMXMY2('Tabela Entrada-Saída'!$B$63:$O$63,'Coordenadas dos Polos'!$GP$2:$HC$2)))^2)</f>
        <v>2.1535018777664495E-5</v>
      </c>
      <c r="P63">
        <v>1</v>
      </c>
    </row>
    <row r="64" spans="1:16" x14ac:dyDescent="0.25">
      <c r="A64">
        <v>63</v>
      </c>
      <c r="B64">
        <f>EXP(((-1)/(2*'Cálculos Diversos'!$B$5))*(SQRT(SUMXMY2('Tabela Entrada-Saída'!$B$64:$O$64,'Coordenadas dos Polos'!$P$2:$AC$2)))^2)</f>
        <v>0.1244098923520689</v>
      </c>
      <c r="C64">
        <f>EXP(((-1)/(2*'Cálculos Diversos'!$B$5))*(SQRT(SUMXMY2('Tabela Entrada-Saída'!$B$64:$O$64,'Coordenadas dos Polos'!$AD$2:$AQ$2)))^2)</f>
        <v>1.6922553561091735E-5</v>
      </c>
      <c r="D64">
        <f>EXP(((-1)/(2*'Cálculos Diversos'!$B$5))*(SQRT(SUMXMY2('Tabela Entrada-Saída'!$B$64:$O$64,'Coordenadas dos Polos'!$AR$2:$BE$2)))^2)</f>
        <v>1.4018276977345338E-3</v>
      </c>
      <c r="E64">
        <f>EXP(((-1)/(2*'Cálculos Diversos'!$B$5))*(SQRT(SUMXMY2('Tabela Entrada-Saída'!$B$64:$O$64,'Coordenadas dos Polos'!$BF$2:$BS$2)))^2)</f>
        <v>1.3212993446865915E-4</v>
      </c>
      <c r="F64">
        <f>EXP(((-1)/(2*'Cálculos Diversos'!$B$5))*(SQRT(SUMXMY2('Tabela Entrada-Saída'!$B$64:$O$64,'Coordenadas dos Polos'!$BT$2:$CG$2)))^2)</f>
        <v>1.9365828800954193E-3</v>
      </c>
      <c r="G64">
        <f>EXP(((-1)/(2*'Cálculos Diversos'!$B$5))*(SQRT(SUMXMY2('Tabela Entrada-Saída'!$B$64:$O$64,'Coordenadas dos Polos'!$CH$2:$CU$2)))^2)</f>
        <v>2.9411877350021975E-5</v>
      </c>
      <c r="H64">
        <f>EXP(((-1)/(2*'Cálculos Diversos'!$B$5))*(SQRT(SUMXMY2('Tabela Entrada-Saída'!$B$64:$O$64,'Coordenadas dos Polos'!$CV$2:$DI$2)))^2)</f>
        <v>3.6492669333751497E-3</v>
      </c>
      <c r="I64">
        <f>EXP(((-1)/(2*'Cálculos Diversos'!$B$5))*(SQRT(SUMXMY2('Tabela Entrada-Saída'!$B$64:$O$64,'Coordenadas dos Polos'!$DJ$2:$DW$2)))^2)</f>
        <v>1.8172665063966994E-6</v>
      </c>
      <c r="J64">
        <f>EXP(((-1)/(2*'Cálculos Diversos'!$B$5))*(SQRT(SUMXMY2('Tabela Entrada-Saída'!$B$64:$O$64,'Coordenadas dos Polos'!$DX$2:$EK$2)))^2)</f>
        <v>1.0848807307735006E-3</v>
      </c>
      <c r="K64">
        <f>EXP(((-1)/(2*'Cálculos Diversos'!$B$5))*(SQRT(SUMXMY2('Tabela Entrada-Saída'!$B$64:$O$64,'Coordenadas dos Polos'!$EL$2:$EY$2)))^2)</f>
        <v>2.4903827081846711E-5</v>
      </c>
      <c r="L64">
        <f>EXP(((-1)/(2*'Cálculos Diversos'!$B$5))*(SQRT(SUMXMY2('Tabela Entrada-Saída'!$B$64:$O$64,'Coordenadas dos Polos'!$EZ$2:$FM$2)))^2)</f>
        <v>8.7075673300264337E-4</v>
      </c>
      <c r="M64">
        <f>EXP(((-1)/(2*'Cálculos Diversos'!$B$5))*(SQRT(SUMXMY2('Tabela Entrada-Saída'!$B$64:$O$64,'Coordenadas dos Polos'!$FN$2:$GA$2)))^2)</f>
        <v>2.820568876458921E-4</v>
      </c>
      <c r="N64">
        <f>EXP(((-1)/(2*'Cálculos Diversos'!$B$5))*(SQRT(SUMXMY2('Tabela Entrada-Saída'!$B$64:$O$64,'Coordenadas dos Polos'!$GB$2:$GO$2)))^2)</f>
        <v>8.3337933008016431E-3</v>
      </c>
      <c r="O64">
        <f>EXP(((-1)/(2*'Cálculos Diversos'!$B$5))*(SQRT(SUMXMY2('Tabela Entrada-Saída'!$B$64:$O$64,'Coordenadas dos Polos'!$GP$2:$HC$2)))^2)</f>
        <v>1.9899959544731697E-5</v>
      </c>
      <c r="P64">
        <v>1</v>
      </c>
    </row>
    <row r="65" spans="1:16" x14ac:dyDescent="0.25">
      <c r="A65">
        <v>64</v>
      </c>
      <c r="B65">
        <f>EXP(((-1)/(2*'Cálculos Diversos'!$B$5))*(SQRT(SUMXMY2('Tabela Entrada-Saída'!$B$65:$O$65,'Coordenadas dos Polos'!$P$2:$AC$2)))^2)</f>
        <v>0.14840473230043089</v>
      </c>
      <c r="C65">
        <f>EXP(((-1)/(2*'Cálculos Diversos'!$B$5))*(SQRT(SUMXMY2('Tabela Entrada-Saída'!$B$65:$O$65,'Coordenadas dos Polos'!$AD$2:$AQ$2)))^2)</f>
        <v>1.7820043406080256E-5</v>
      </c>
      <c r="D65">
        <f>EXP(((-1)/(2*'Cálculos Diversos'!$B$5))*(SQRT(SUMXMY2('Tabela Entrada-Saída'!$B$65:$O$65,'Coordenadas dos Polos'!$AR$2:$BE$2)))^2)</f>
        <v>1.3753921607054908E-3</v>
      </c>
      <c r="E65">
        <f>EXP(((-1)/(2*'Cálculos Diversos'!$B$5))*(SQRT(SUMXMY2('Tabela Entrada-Saída'!$B$65:$O$65,'Coordenadas dos Polos'!$BF$2:$BS$2)))^2)</f>
        <v>1.4405701394426101E-4</v>
      </c>
      <c r="F65">
        <f>EXP(((-1)/(2*'Cálculos Diversos'!$B$5))*(SQRT(SUMXMY2('Tabela Entrada-Saída'!$B$65:$O$65,'Coordenadas dos Polos'!$BT$2:$CG$2)))^2)</f>
        <v>1.9020178642371729E-3</v>
      </c>
      <c r="G65">
        <f>EXP(((-1)/(2*'Cálculos Diversos'!$B$5))*(SQRT(SUMXMY2('Tabela Entrada-Saída'!$B$65:$O$65,'Coordenadas dos Polos'!$CH$2:$CU$2)))^2)</f>
        <v>3.4881824414612288E-5</v>
      </c>
      <c r="H65">
        <f>EXP(((-1)/(2*'Cálculos Diversos'!$B$5))*(SQRT(SUMXMY2('Tabela Entrada-Saída'!$B$65:$O$65,'Coordenadas dos Polos'!$CV$2:$DI$2)))^2)</f>
        <v>3.8817246260306778E-3</v>
      </c>
      <c r="I65">
        <f>EXP(((-1)/(2*'Cálculos Diversos'!$B$5))*(SQRT(SUMXMY2('Tabela Entrada-Saída'!$B$65:$O$65,'Coordenadas dos Polos'!$DJ$2:$DW$2)))^2)</f>
        <v>2.0899505603910964E-6</v>
      </c>
      <c r="J65">
        <f>EXP(((-1)/(2*'Cálculos Diversos'!$B$5))*(SQRT(SUMXMY2('Tabela Entrada-Saída'!$B$65:$O$65,'Coordenadas dos Polos'!$DX$2:$EK$2)))^2)</f>
        <v>1.1934141309598947E-3</v>
      </c>
      <c r="K65">
        <f>EXP(((-1)/(2*'Cálculos Diversos'!$B$5))*(SQRT(SUMXMY2('Tabela Entrada-Saída'!$B$65:$O$65,'Coordenadas dos Polos'!$EL$2:$EY$2)))^2)</f>
        <v>2.4404619600501032E-5</v>
      </c>
      <c r="L65">
        <f>EXP(((-1)/(2*'Cálculos Diversos'!$B$5))*(SQRT(SUMXMY2('Tabela Entrada-Saída'!$B$65:$O$65,'Coordenadas dos Polos'!$EZ$2:$FM$2)))^2)</f>
        <v>8.7365570177459653E-4</v>
      </c>
      <c r="M65">
        <f>EXP(((-1)/(2*'Cálculos Diversos'!$B$5))*(SQRT(SUMXMY2('Tabela Entrada-Saída'!$B$65:$O$65,'Coordenadas dos Polos'!$FN$2:$GA$2)))^2)</f>
        <v>2.9442716326086765E-4</v>
      </c>
      <c r="N65">
        <f>EXP(((-1)/(2*'Cálculos Diversos'!$B$5))*(SQRT(SUMXMY2('Tabela Entrada-Saída'!$B$65:$O$65,'Coordenadas dos Polos'!$GB$2:$GO$2)))^2)</f>
        <v>8.7146953353985195E-3</v>
      </c>
      <c r="O65">
        <f>EXP(((-1)/(2*'Cálculos Diversos'!$B$5))*(SQRT(SUMXMY2('Tabela Entrada-Saída'!$B$65:$O$65,'Coordenadas dos Polos'!$GP$2:$HC$2)))^2)</f>
        <v>2.2036358233580167E-5</v>
      </c>
      <c r="P65">
        <v>1</v>
      </c>
    </row>
    <row r="66" spans="1:16" x14ac:dyDescent="0.25">
      <c r="A66">
        <v>65</v>
      </c>
      <c r="B66">
        <f>EXP(((-1)/(2*'Cálculos Diversos'!$B$5))*(SQRT(SUMXMY2('Tabela Entrada-Saída'!$B$66:$O$66,'Coordenadas dos Polos'!$P$2:$AC$2)))^2)</f>
        <v>0.12723593964870006</v>
      </c>
      <c r="C66">
        <f>EXP(((-1)/(2*'Cálculos Diversos'!$B$5))*(SQRT(SUMXMY2('Tabela Entrada-Saída'!$B$66:$O$66,'Coordenadas dos Polos'!$AD$2:$AQ$2)))^2)</f>
        <v>1.7053770243264583E-5</v>
      </c>
      <c r="D66">
        <f>EXP(((-1)/(2*'Cálculos Diversos'!$B$5))*(SQRT(SUMXMY2('Tabela Entrada-Saída'!$B$66:$O$66,'Coordenadas dos Polos'!$AR$2:$BE$2)))^2)</f>
        <v>1.3997449332490944E-3</v>
      </c>
      <c r="E66">
        <f>EXP(((-1)/(2*'Cálculos Diversos'!$B$5))*(SQRT(SUMXMY2('Tabela Entrada-Saída'!$B$66:$O$66,'Coordenadas dos Polos'!$BF$2:$BS$2)))^2)</f>
        <v>1.3366942913089827E-4</v>
      </c>
      <c r="F66">
        <f>EXP(((-1)/(2*'Cálculos Diversos'!$B$5))*(SQRT(SUMXMY2('Tabela Entrada-Saída'!$B$66:$O$66,'Coordenadas dos Polos'!$BT$2:$CG$2)))^2)</f>
        <v>1.9341173072836403E-3</v>
      </c>
      <c r="G66">
        <f>EXP(((-1)/(2*'Cálculos Diversos'!$B$5))*(SQRT(SUMXMY2('Tabela Entrada-Saída'!$B$66:$O$66,'Coordenadas dos Polos'!$CH$2:$CU$2)))^2)</f>
        <v>3.0066912964117134E-5</v>
      </c>
      <c r="H66">
        <f>EXP(((-1)/(2*'Cálculos Diversos'!$B$5))*(SQRT(SUMXMY2('Tabela Entrada-Saída'!$B$66:$O$66,'Coordenadas dos Polos'!$CV$2:$DI$2)))^2)</f>
        <v>3.6818039604612088E-3</v>
      </c>
      <c r="I66">
        <f>EXP(((-1)/(2*'Cálculos Diversos'!$B$5))*(SQRT(SUMXMY2('Tabela Entrada-Saída'!$B$66:$O$66,'Coordenadas dos Polos'!$DJ$2:$DW$2)))^2)</f>
        <v>1.8522244062423686E-6</v>
      </c>
      <c r="J66">
        <f>EXP(((-1)/(2*'Cálculos Diversos'!$B$5))*(SQRT(SUMXMY2('Tabela Entrada-Saída'!$B$66:$O$66,'Coordenadas dos Polos'!$DX$2:$EK$2)))^2)</f>
        <v>1.0993172988442359E-3</v>
      </c>
      <c r="K66">
        <f>EXP(((-1)/(2*'Cálculos Diversos'!$B$5))*(SQRT(SUMXMY2('Tabela Entrada-Saída'!$B$66:$O$66,'Coordenadas dos Polos'!$EL$2:$EY$2)))^2)</f>
        <v>2.487568858268586E-5</v>
      </c>
      <c r="L66">
        <f>EXP(((-1)/(2*'Cálculos Diversos'!$B$5))*(SQRT(SUMXMY2('Tabela Entrada-Saída'!$B$66:$O$66,'Coordenadas dos Polos'!$EZ$2:$FM$2)))^2)</f>
        <v>8.7195191643945496E-4</v>
      </c>
      <c r="M66">
        <f>EXP(((-1)/(2*'Cálculos Diversos'!$B$5))*(SQRT(SUMXMY2('Tabela Entrada-Saída'!$B$66:$O$66,'Coordenadas dos Polos'!$FN$2:$GA$2)))^2)</f>
        <v>2.8395638121016573E-4</v>
      </c>
      <c r="N66">
        <f>EXP(((-1)/(2*'Cálculos Diversos'!$B$5))*(SQRT(SUMXMY2('Tabela Entrada-Saída'!$B$66:$O$66,'Coordenadas dos Polos'!$GB$2:$GO$2)))^2)</f>
        <v>8.386245223823743E-3</v>
      </c>
      <c r="O66">
        <f>EXP(((-1)/(2*'Cálculos Diversos'!$B$5))*(SQRT(SUMXMY2('Tabela Entrada-Saída'!$B$66:$O$66,'Coordenadas dos Polos'!$GP$2:$HC$2)))^2)</f>
        <v>2.0180606212125488E-5</v>
      </c>
      <c r="P66">
        <v>1</v>
      </c>
    </row>
    <row r="67" spans="1:16" x14ac:dyDescent="0.25">
      <c r="A67">
        <v>66</v>
      </c>
      <c r="B67">
        <f>EXP(((-1)/(2*'Cálculos Diversos'!$B$5))*(SQRT(SUMXMY2('Tabela Entrada-Saída'!$B$67:$O$67,'Coordenadas dos Polos'!$P$2:$AC$2)))^2)</f>
        <v>0.1249180732526667</v>
      </c>
      <c r="C67">
        <f>EXP(((-1)/(2*'Cálculos Diversos'!$B$5))*(SQRT(SUMXMY2('Tabela Entrada-Saída'!$B$67:$O$67,'Coordenadas dos Polos'!$AD$2:$AQ$2)))^2)</f>
        <v>1.6957450318040988E-5</v>
      </c>
      <c r="D67">
        <f>EXP(((-1)/(2*'Cálculos Diversos'!$B$5))*(SQRT(SUMXMY2('Tabela Entrada-Saída'!$B$67:$O$67,'Coordenadas dos Polos'!$AR$2:$BE$2)))^2)</f>
        <v>1.4017416904123295E-3</v>
      </c>
      <c r="E67">
        <f>EXP(((-1)/(2*'Cálculos Diversos'!$B$5))*(SQRT(SUMXMY2('Tabela Entrada-Saída'!$B$67:$O$67,'Coordenadas dos Polos'!$BF$2:$BS$2)))^2)</f>
        <v>1.3243461527814404E-4</v>
      </c>
      <c r="F67">
        <f>EXP(((-1)/(2*'Cálculos Diversos'!$B$5))*(SQRT(SUMXMY2('Tabela Entrada-Saída'!$B$67:$O$67,'Coordenadas dos Polos'!$BT$2:$CG$2)))^2)</f>
        <v>1.9367457273110331E-3</v>
      </c>
      <c r="G67">
        <f>EXP(((-1)/(2*'Cálculos Diversos'!$B$5))*(SQRT(SUMXMY2('Tabela Entrada-Saída'!$B$67:$O$67,'Coordenadas dos Polos'!$CH$2:$CU$2)))^2)</f>
        <v>2.953328631973786E-5</v>
      </c>
      <c r="H67">
        <f>EXP(((-1)/(2*'Cálculos Diversos'!$B$5))*(SQRT(SUMXMY2('Tabela Entrada-Saída'!$B$67:$O$67,'Coordenadas dos Polos'!$CV$2:$DI$2)))^2)</f>
        <v>3.6575069839210506E-3</v>
      </c>
      <c r="I67">
        <f>EXP(((-1)/(2*'Cálculos Diversos'!$B$5))*(SQRT(SUMXMY2('Tabela Entrada-Saída'!$B$67:$O$67,'Coordenadas dos Polos'!$DJ$2:$DW$2)))^2)</f>
        <v>1.8255627563388711E-6</v>
      </c>
      <c r="J67">
        <f>EXP(((-1)/(2*'Cálculos Diversos'!$B$5))*(SQRT(SUMXMY2('Tabela Entrada-Saída'!$B$67:$O$67,'Coordenadas dos Polos'!$DX$2:$EK$2)))^2)</f>
        <v>1.0884847715403575E-3</v>
      </c>
      <c r="K67">
        <f>EXP(((-1)/(2*'Cálculos Diversos'!$B$5))*(SQRT(SUMXMY2('Tabela Entrada-Saída'!$B$67:$O$67,'Coordenadas dos Polos'!$EL$2:$EY$2)))^2)</f>
        <v>2.4919416683429121E-5</v>
      </c>
      <c r="L67">
        <f>EXP(((-1)/(2*'Cálculos Diversos'!$B$5))*(SQRT(SUMXMY2('Tabela Entrada-Saída'!$B$67:$O$67,'Coordenadas dos Polos'!$EZ$2:$FM$2)))^2)</f>
        <v>8.7121857754833716E-4</v>
      </c>
      <c r="M67">
        <f>EXP(((-1)/(2*'Cálculos Diversos'!$B$5))*(SQRT(SUMXMY2('Tabela Entrada-Saída'!$B$67:$O$67,'Coordenadas dos Polos'!$FN$2:$GA$2)))^2)</f>
        <v>2.8258054596051648E-4</v>
      </c>
      <c r="N67">
        <f>EXP(((-1)/(2*'Cálculos Diversos'!$B$5))*(SQRT(SUMXMY2('Tabela Entrada-Saída'!$B$67:$O$67,'Coordenadas dos Polos'!$GB$2:$GO$2)))^2)</f>
        <v>8.3437108135961217E-3</v>
      </c>
      <c r="O67">
        <f>EXP(((-1)/(2*'Cálculos Diversos'!$B$5))*(SQRT(SUMXMY2('Tabela Entrada-Saída'!$B$67:$O$67,'Coordenadas dos Polos'!$GP$2:$HC$2)))^2)</f>
        <v>1.996774743368149E-5</v>
      </c>
      <c r="P67">
        <v>1</v>
      </c>
    </row>
    <row r="68" spans="1:16" x14ac:dyDescent="0.25">
      <c r="A68">
        <v>67</v>
      </c>
      <c r="B68">
        <f>EXP(((-1)/(2*'Cálculos Diversos'!$B$5))*(SQRT(SUMXMY2('Tabela Entrada-Saída'!$B$68:$O$68,'Coordenadas dos Polos'!$P$2:$AC$2)))^2)</f>
        <v>0.12513952486147181</v>
      </c>
      <c r="C68">
        <f>EXP(((-1)/(2*'Cálculos Diversos'!$B$5))*(SQRT(SUMXMY2('Tabela Entrada-Saída'!$B$68:$O$68,'Coordenadas dos Polos'!$AD$2:$AQ$2)))^2)</f>
        <v>1.6967005933440925E-5</v>
      </c>
      <c r="D68">
        <f>EXP(((-1)/(2*'Cálculos Diversos'!$B$5))*(SQRT(SUMXMY2('Tabela Entrada-Saída'!$B$68:$O$68,'Coordenadas dos Polos'!$AR$2:$BE$2)))^2)</f>
        <v>1.4016142415462357E-3</v>
      </c>
      <c r="E68">
        <f>EXP(((-1)/(2*'Cálculos Diversos'!$B$5))*(SQRT(SUMXMY2('Tabela Entrada-Saída'!$B$68:$O$68,'Coordenadas dos Polos'!$BF$2:$BS$2)))^2)</f>
        <v>1.3255746684855211E-4</v>
      </c>
      <c r="F68">
        <f>EXP(((-1)/(2*'Cálculos Diversos'!$B$5))*(SQRT(SUMXMY2('Tabela Entrada-Saída'!$B$68:$O$68,'Coordenadas dos Polos'!$BT$2:$CG$2)))^2)</f>
        <v>1.9365591540055362E-3</v>
      </c>
      <c r="G68">
        <f>EXP(((-1)/(2*'Cálculos Diversos'!$B$5))*(SQRT(SUMXMY2('Tabela Entrada-Saída'!$B$68:$O$68,'Coordenadas dos Polos'!$CH$2:$CU$2)))^2)</f>
        <v>2.9586496978458414E-5</v>
      </c>
      <c r="H68">
        <f>EXP(((-1)/(2*'Cálculos Diversos'!$B$5))*(SQRT(SUMXMY2('Tabela Entrada-Saída'!$B$68:$O$68,'Coordenadas dos Polos'!$CV$2:$DI$2)))^2)</f>
        <v>3.6597842408481072E-3</v>
      </c>
      <c r="I68">
        <f>EXP(((-1)/(2*'Cálculos Diversos'!$B$5))*(SQRT(SUMXMY2('Tabela Entrada-Saída'!$B$68:$O$68,'Coordenadas dos Polos'!$DJ$2:$DW$2)))^2)</f>
        <v>1.8280945897638391E-6</v>
      </c>
      <c r="J68">
        <f>EXP(((-1)/(2*'Cálculos Diversos'!$B$5))*(SQRT(SUMXMY2('Tabela Entrada-Saída'!$B$68:$O$68,'Coordenadas dos Polos'!$DX$2:$EK$2)))^2)</f>
        <v>1.0894576792456515E-3</v>
      </c>
      <c r="K68">
        <f>EXP(((-1)/(2*'Cálculos Diversos'!$B$5))*(SQRT(SUMXMY2('Tabela Entrada-Saída'!$B$68:$O$68,'Coordenadas dos Polos'!$EL$2:$EY$2)))^2)</f>
        <v>2.4914608910822242E-5</v>
      </c>
      <c r="L68">
        <f>EXP(((-1)/(2*'Cálculos Diversos'!$B$5))*(SQRT(SUMXMY2('Tabela Entrada-Saída'!$B$68:$O$68,'Coordenadas dos Polos'!$EZ$2:$FM$2)))^2)</f>
        <v>8.7134238908765532E-4</v>
      </c>
      <c r="M68">
        <f>EXP(((-1)/(2*'Cálculos Diversos'!$B$5))*(SQRT(SUMXMY2('Tabela Entrada-Saída'!$B$68:$O$68,'Coordenadas dos Polos'!$FN$2:$GA$2)))^2)</f>
        <v>2.8273549005163897E-4</v>
      </c>
      <c r="N68">
        <f>EXP(((-1)/(2*'Cálculos Diversos'!$B$5))*(SQRT(SUMXMY2('Tabela Entrada-Saída'!$B$68:$O$68,'Coordenadas dos Polos'!$GB$2:$GO$2)))^2)</f>
        <v>8.348216377787876E-3</v>
      </c>
      <c r="O68">
        <f>EXP(((-1)/(2*'Cálculos Diversos'!$B$5))*(SQRT(SUMXMY2('Tabela Entrada-Saída'!$B$68:$O$68,'Coordenadas dos Polos'!$GP$2:$HC$2)))^2)</f>
        <v>1.9986997950020097E-5</v>
      </c>
      <c r="P68">
        <v>1</v>
      </c>
    </row>
    <row r="69" spans="1:16" x14ac:dyDescent="0.25">
      <c r="A69">
        <v>68</v>
      </c>
      <c r="B69">
        <f>EXP(((-1)/(2*'Cálculos Diversos'!$B$5))*(SQRT(SUMXMY2('Tabela Entrada-Saída'!$B$69:$O$69,'Coordenadas dos Polos'!$P$2:$AC$2)))^2)</f>
        <v>0.13631718211325486</v>
      </c>
      <c r="C69">
        <f>EXP(((-1)/(2*'Cálculos Diversos'!$B$5))*(SQRT(SUMXMY2('Tabela Entrada-Saída'!$B$69:$O$69,'Coordenadas dos Polos'!$AD$2:$AQ$2)))^2)</f>
        <v>1.7402726328554112E-5</v>
      </c>
      <c r="D69">
        <f>EXP(((-1)/(2*'Cálculos Diversos'!$B$5))*(SQRT(SUMXMY2('Tabela Entrada-Saída'!$B$69:$O$69,'Coordenadas dos Polos'!$AR$2:$BE$2)))^2)</f>
        <v>1.3902348044713953E-3</v>
      </c>
      <c r="E69">
        <f>EXP(((-1)/(2*'Cálculos Diversos'!$B$5))*(SQRT(SUMXMY2('Tabela Entrada-Saída'!$B$69:$O$69,'Coordenadas dos Polos'!$BF$2:$BS$2)))^2)</f>
        <v>1.3828342869012084E-4</v>
      </c>
      <c r="F69">
        <f>EXP(((-1)/(2*'Cálculos Diversos'!$B$5))*(SQRT(SUMXMY2('Tabela Entrada-Saída'!$B$69:$O$69,'Coordenadas dos Polos'!$BT$2:$CG$2)))^2)</f>
        <v>1.9216639912479018E-3</v>
      </c>
      <c r="G69">
        <f>EXP(((-1)/(2*'Cálculos Diversos'!$B$5))*(SQRT(SUMXMY2('Tabela Entrada-Saída'!$B$69:$O$69,'Coordenadas dos Polos'!$CH$2:$CU$2)))^2)</f>
        <v>3.213287732756314E-5</v>
      </c>
      <c r="H69">
        <f>EXP(((-1)/(2*'Cálculos Diversos'!$B$5))*(SQRT(SUMXMY2('Tabela Entrada-Saída'!$B$69:$O$69,'Coordenadas dos Polos'!$CV$2:$DI$2)))^2)</f>
        <v>3.7722109122835853E-3</v>
      </c>
      <c r="I69">
        <f>EXP(((-1)/(2*'Cálculos Diversos'!$B$5))*(SQRT(SUMXMY2('Tabela Entrada-Saída'!$B$69:$O$69,'Coordenadas dos Polos'!$DJ$2:$DW$2)))^2)</f>
        <v>1.955226487722057E-6</v>
      </c>
      <c r="J69">
        <f>EXP(((-1)/(2*'Cálculos Diversos'!$B$5))*(SQRT(SUMXMY2('Tabela Entrada-Saída'!$B$69:$O$69,'Coordenadas dos Polos'!$DX$2:$EK$2)))^2)</f>
        <v>1.1409879923544664E-3</v>
      </c>
      <c r="K69">
        <f>EXP(((-1)/(2*'Cálculos Diversos'!$B$5))*(SQRT(SUMXMY2('Tabela Entrada-Saída'!$B$69:$O$69,'Coordenadas dos Polos'!$EL$2:$EY$2)))^2)</f>
        <v>2.4688982804516512E-5</v>
      </c>
      <c r="L69">
        <f>EXP(((-1)/(2*'Cálculos Diversos'!$B$5))*(SQRT(SUMXMY2('Tabela Entrada-Saída'!$B$69:$O$69,'Coordenadas dos Polos'!$EZ$2:$FM$2)))^2)</f>
        <v>8.7352616972449315E-4</v>
      </c>
      <c r="M69">
        <f>EXP(((-1)/(2*'Cálculos Diversos'!$B$5))*(SQRT(SUMXMY2('Tabela Entrada-Saída'!$B$69:$O$69,'Coordenadas dos Polos'!$FN$2:$GA$2)))^2)</f>
        <v>2.887773496548817E-4</v>
      </c>
      <c r="N69">
        <f>EXP(((-1)/(2*'Cálculos Diversos'!$B$5))*(SQRT(SUMXMY2('Tabela Entrada-Saída'!$B$69:$O$69,'Coordenadas dos Polos'!$GB$2:$GO$2)))^2)</f>
        <v>8.5376510754909245E-3</v>
      </c>
      <c r="O69">
        <f>EXP(((-1)/(2*'Cálculos Diversos'!$B$5))*(SQRT(SUMXMY2('Tabela Entrada-Saída'!$B$69:$O$69,'Coordenadas dos Polos'!$GP$2:$HC$2)))^2)</f>
        <v>2.0999080379208077E-5</v>
      </c>
      <c r="P69">
        <v>1</v>
      </c>
    </row>
    <row r="70" spans="1:16" x14ac:dyDescent="0.25">
      <c r="A70">
        <v>69</v>
      </c>
      <c r="B70">
        <f>EXP(((-1)/(2*'Cálculos Diversos'!$B$5))*(SQRT(SUMXMY2('Tabela Entrada-Saída'!$B$70:$O$70,'Coordenadas dos Polos'!$P$2:$AC$2)))^2)</f>
        <v>0.1371047614322185</v>
      </c>
      <c r="C70">
        <f>EXP(((-1)/(2*'Cálculos Diversos'!$B$5))*(SQRT(SUMXMY2('Tabela Entrada-Saída'!$B$70:$O$70,'Coordenadas dos Polos'!$AD$2:$AQ$2)))^2)</f>
        <v>1.7419243901457269E-5</v>
      </c>
      <c r="D70">
        <f>EXP(((-1)/(2*'Cálculos Diversos'!$B$5))*(SQRT(SUMXMY2('Tabela Entrada-Saída'!$B$70:$O$70,'Coordenadas dos Polos'!$AR$2:$BE$2)))^2)</f>
        <v>1.3889509929199905E-3</v>
      </c>
      <c r="E70">
        <f>EXP(((-1)/(2*'Cálculos Diversos'!$B$5))*(SQRT(SUMXMY2('Tabela Entrada-Saída'!$B$70:$O$70,'Coordenadas dos Polos'!$BF$2:$BS$2)))^2)</f>
        <v>1.3863876510718468E-4</v>
      </c>
      <c r="F70">
        <f>EXP(((-1)/(2*'Cálculos Diversos'!$B$5))*(SQRT(SUMXMY2('Tabela Entrada-Saída'!$B$70:$O$70,'Coordenadas dos Polos'!$BT$2:$CG$2)))^2)</f>
        <v>1.9198034512489435E-3</v>
      </c>
      <c r="G70">
        <f>EXP(((-1)/(2*'Cálculos Diversos'!$B$5))*(SQRT(SUMXMY2('Tabela Entrada-Saída'!$B$70:$O$70,'Coordenadas dos Polos'!$CH$2:$CU$2)))^2)</f>
        <v>3.2304386098033029E-5</v>
      </c>
      <c r="H70">
        <f>EXP(((-1)/(2*'Cálculos Diversos'!$B$5))*(SQRT(SUMXMY2('Tabela Entrada-Saída'!$B$70:$O$70,'Coordenadas dos Polos'!$CV$2:$DI$2)))^2)</f>
        <v>3.7772309267267027E-3</v>
      </c>
      <c r="I70">
        <f>EXP(((-1)/(2*'Cálculos Diversos'!$B$5))*(SQRT(SUMXMY2('Tabela Entrada-Saída'!$B$70:$O$70,'Coordenadas dos Polos'!$DJ$2:$DW$2)))^2)</f>
        <v>1.9618066863673022E-6</v>
      </c>
      <c r="J70">
        <f>EXP(((-1)/(2*'Cálculos Diversos'!$B$5))*(SQRT(SUMXMY2('Tabela Entrada-Saída'!$B$70:$O$70,'Coordenadas dos Polos'!$DX$2:$EK$2)))^2)</f>
        <v>1.14345715686382E-3</v>
      </c>
      <c r="K70">
        <f>EXP(((-1)/(2*'Cálculos Diversos'!$B$5))*(SQRT(SUMXMY2('Tabela Entrada-Saída'!$B$70:$O$70,'Coordenadas dos Polos'!$EL$2:$EY$2)))^2)</f>
        <v>2.4650295123951108E-5</v>
      </c>
      <c r="L70">
        <f>EXP(((-1)/(2*'Cálculos Diversos'!$B$5))*(SQRT(SUMXMY2('Tabela Entrada-Saída'!$B$70:$O$70,'Coordenadas dos Polos'!$EZ$2:$FM$2)))^2)</f>
        <v>8.7327827189512654E-4</v>
      </c>
      <c r="M70">
        <f>EXP(((-1)/(2*'Cálculos Diversos'!$B$5))*(SQRT(SUMXMY2('Tabela Entrada-Saída'!$B$70:$O$70,'Coordenadas dos Polos'!$FN$2:$GA$2)))^2)</f>
        <v>2.8895143529805017E-4</v>
      </c>
      <c r="N70">
        <f>EXP(((-1)/(2*'Cálculos Diversos'!$B$5))*(SQRT(SUMXMY2('Tabela Entrada-Saída'!$B$70:$O$70,'Coordenadas dos Polos'!$GB$2:$GO$2)))^2)</f>
        <v>8.5491089228338108E-3</v>
      </c>
      <c r="O70">
        <f>EXP(((-1)/(2*'Cálculos Diversos'!$B$5))*(SQRT(SUMXMY2('Tabela Entrada-Saída'!$B$70:$O$70,'Coordenadas dos Polos'!$GP$2:$HC$2)))^2)</f>
        <v>2.1050712045842857E-5</v>
      </c>
      <c r="P70">
        <v>1</v>
      </c>
    </row>
    <row r="71" spans="1:16" x14ac:dyDescent="0.25">
      <c r="A71">
        <v>70</v>
      </c>
      <c r="B71">
        <f>EXP(((-1)/(2*'Cálculos Diversos'!$B$5))*(SQRT(SUMXMY2('Tabela Entrada-Saída'!$B$71:$O$71,'Coordenadas dos Polos'!$P$2:$AC$2)))^2)</f>
        <v>0.1358602142786246</v>
      </c>
      <c r="C71">
        <f>EXP(((-1)/(2*'Cálculos Diversos'!$B$5))*(SQRT(SUMXMY2('Tabela Entrada-Saída'!$B$71:$O$71,'Coordenadas dos Polos'!$AD$2:$AQ$2)))^2)</f>
        <v>1.7382027559079859E-5</v>
      </c>
      <c r="D71">
        <f>EXP(((-1)/(2*'Cálculos Diversos'!$B$5))*(SQRT(SUMXMY2('Tabela Entrada-Saída'!$B$71:$O$71,'Coordenadas dos Polos'!$AR$2:$BE$2)))^2)</f>
        <v>1.3906316843769848E-3</v>
      </c>
      <c r="E71">
        <f>EXP(((-1)/(2*'Cálculos Diversos'!$B$5))*(SQRT(SUMXMY2('Tabela Entrada-Saída'!$B$71:$O$71,'Coordenadas dos Polos'!$BF$2:$BS$2)))^2)</f>
        <v>1.3804618579455914E-4</v>
      </c>
      <c r="F71">
        <f>EXP(((-1)/(2*'Cálculos Diversos'!$B$5))*(SQRT(SUMXMY2('Tabela Entrada-Saída'!$B$71:$O$71,'Coordenadas dos Polos'!$BT$2:$CG$2)))^2)</f>
        <v>1.9221250977250871E-3</v>
      </c>
      <c r="G71">
        <f>EXP(((-1)/(2*'Cálculos Diversos'!$B$5))*(SQRT(SUMXMY2('Tabela Entrada-Saída'!$B$71:$O$71,'Coordenadas dos Polos'!$CH$2:$CU$2)))^2)</f>
        <v>3.2026933467039005E-5</v>
      </c>
      <c r="H71">
        <f>EXP(((-1)/(2*'Cálculos Diversos'!$B$5))*(SQRT(SUMXMY2('Tabela Entrada-Saída'!$B$71:$O$71,'Coordenadas dos Polos'!$CV$2:$DI$2)))^2)</f>
        <v>3.767032984392502E-3</v>
      </c>
      <c r="I71">
        <f>EXP(((-1)/(2*'Cálculos Diversos'!$B$5))*(SQRT(SUMXMY2('Tabela Entrada-Saída'!$B$71:$O$71,'Coordenadas dos Polos'!$DJ$2:$DW$2)))^2)</f>
        <v>1.94936219881963E-6</v>
      </c>
      <c r="J71">
        <f>EXP(((-1)/(2*'Cálculos Diversos'!$B$5))*(SQRT(SUMXMY2('Tabela Entrada-Saída'!$B$71:$O$71,'Coordenadas dos Polos'!$DX$2:$EK$2)))^2)</f>
        <v>1.1386005270286347E-3</v>
      </c>
      <c r="K71">
        <f>EXP(((-1)/(2*'Cálculos Diversos'!$B$5))*(SQRT(SUMXMY2('Tabela Entrada-Saída'!$B$71:$O$71,'Coordenadas dos Polos'!$EL$2:$EY$2)))^2)</f>
        <v>2.4692087208291309E-5</v>
      </c>
      <c r="L71">
        <f>EXP(((-1)/(2*'Cálculos Diversos'!$B$5))*(SQRT(SUMXMY2('Tabela Entrada-Saída'!$B$71:$O$71,'Coordenadas dos Polos'!$EZ$2:$FM$2)))^2)</f>
        <v>8.7338457958554324E-4</v>
      </c>
      <c r="M71">
        <f>EXP(((-1)/(2*'Cálculos Diversos'!$B$5))*(SQRT(SUMXMY2('Tabela Entrada-Saída'!$B$71:$O$71,'Coordenadas dos Polos'!$FN$2:$GA$2)))^2)</f>
        <v>2.8848155023580998E-4</v>
      </c>
      <c r="N71">
        <f>EXP(((-1)/(2*'Cálculos Diversos'!$B$5))*(SQRT(SUMXMY2('Tabela Entrada-Saída'!$B$71:$O$71,'Coordenadas dos Polos'!$GB$2:$GO$2)))^2)</f>
        <v>8.5301918164332191E-3</v>
      </c>
      <c r="O71">
        <f>EXP(((-1)/(2*'Cálculos Diversos'!$B$5))*(SQRT(SUMXMY2('Tabela Entrada-Saída'!$B$71:$O$71,'Coordenadas dos Polos'!$GP$2:$HC$2)))^2)</f>
        <v>2.0952864595250007E-5</v>
      </c>
      <c r="P71">
        <v>1</v>
      </c>
    </row>
    <row r="72" spans="1:16" x14ac:dyDescent="0.25">
      <c r="A72">
        <v>71</v>
      </c>
      <c r="B72">
        <f>EXP(((-1)/(2*'Cálculos Diversos'!$B$5))*(SQRT(SUMXMY2('Tabela Entrada-Saída'!$B$72:$O$72,'Coordenadas dos Polos'!$P$2:$AC$2)))^2)</f>
        <v>0.14122730529265684</v>
      </c>
      <c r="C72">
        <f>EXP(((-1)/(2*'Cálculos Diversos'!$B$5))*(SQRT(SUMXMY2('Tabela Entrada-Saída'!$B$72:$O$72,'Coordenadas dos Polos'!$AD$2:$AQ$2)))^2)</f>
        <v>1.7573985312658093E-5</v>
      </c>
      <c r="D72">
        <f>EXP(((-1)/(2*'Cálculos Diversos'!$B$5))*(SQRT(SUMXMY2('Tabela Entrada-Saída'!$B$72:$O$72,'Coordenadas dos Polos'!$AR$2:$BE$2)))^2)</f>
        <v>1.3843538228299622E-3</v>
      </c>
      <c r="E72">
        <f>EXP(((-1)/(2*'Cálculos Diversos'!$B$5))*(SQRT(SUMXMY2('Tabela Entrada-Saída'!$B$72:$O$72,'Coordenadas dos Polos'!$BF$2:$BS$2)))^2)</f>
        <v>1.4066595509658981E-4</v>
      </c>
      <c r="F72">
        <f>EXP(((-1)/(2*'Cálculos Diversos'!$B$5))*(SQRT(SUMXMY2('Tabela Entrada-Saída'!$B$72:$O$72,'Coordenadas dos Polos'!$BT$2:$CG$2)))^2)</f>
        <v>1.9138316946533305E-3</v>
      </c>
      <c r="G72">
        <f>EXP(((-1)/(2*'Cálculos Diversos'!$B$5))*(SQRT(SUMXMY2('Tabela Entrada-Saída'!$B$72:$O$72,'Coordenadas dos Polos'!$CH$2:$CU$2)))^2)</f>
        <v>3.3247123201172539E-5</v>
      </c>
      <c r="H72">
        <f>EXP(((-1)/(2*'Cálculos Diversos'!$B$5))*(SQRT(SUMXMY2('Tabela Entrada-Saída'!$B$72:$O$72,'Coordenadas dos Polos'!$CV$2:$DI$2)))^2)</f>
        <v>3.8172074613064097E-3</v>
      </c>
      <c r="I72">
        <f>EXP(((-1)/(2*'Cálculos Diversos'!$B$5))*(SQRT(SUMXMY2('Tabela Entrada-Saída'!$B$72:$O$72,'Coordenadas dos Polos'!$DJ$2:$DW$2)))^2)</f>
        <v>2.0094247761778039E-6</v>
      </c>
      <c r="J72">
        <f>EXP(((-1)/(2*'Cálculos Diversos'!$B$5))*(SQRT(SUMXMY2('Tabela Entrada-Saída'!$B$72:$O$72,'Coordenadas dos Polos'!$DX$2:$EK$2)))^2)</f>
        <v>1.1622964315478228E-3</v>
      </c>
      <c r="K72">
        <f>EXP(((-1)/(2*'Cálculos Diversos'!$B$5))*(SQRT(SUMXMY2('Tabela Entrada-Saída'!$B$72:$O$72,'Coordenadas dos Polos'!$EL$2:$EY$2)))^2)</f>
        <v>2.4570365601573071E-5</v>
      </c>
      <c r="L72">
        <f>EXP(((-1)/(2*'Cálculos Diversos'!$B$5))*(SQRT(SUMXMY2('Tabela Entrada-Saída'!$B$72:$O$72,'Coordenadas dos Polos'!$EZ$2:$FM$2)))^2)</f>
        <v>8.7371992191889747E-4</v>
      </c>
      <c r="M72">
        <f>EXP(((-1)/(2*'Cálculos Diversos'!$B$5))*(SQRT(SUMXMY2('Tabela Entrada-Saída'!$B$72:$O$72,'Coordenadas dos Polos'!$FN$2:$GA$2)))^2)</f>
        <v>2.9109365389801806E-4</v>
      </c>
      <c r="N72">
        <f>EXP(((-1)/(2*'Cálculos Diversos'!$B$5))*(SQRT(SUMXMY2('Tabela Entrada-Saída'!$B$72:$O$72,'Coordenadas dos Polos'!$GB$2:$GO$2)))^2)</f>
        <v>8.6125096448532827E-3</v>
      </c>
      <c r="O72">
        <f>EXP(((-1)/(2*'Cálculos Diversos'!$B$5))*(SQRT(SUMXMY2('Tabela Entrada-Saída'!$B$72:$O$72,'Coordenadas dos Polos'!$GP$2:$HC$2)))^2)</f>
        <v>2.1420726250444557E-5</v>
      </c>
      <c r="P72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S16"/>
  <sheetViews>
    <sheetView workbookViewId="0">
      <selection activeCell="A2" sqref="A2:BS16"/>
    </sheetView>
  </sheetViews>
  <sheetFormatPr defaultRowHeight="15" x14ac:dyDescent="0.25"/>
  <sheetData>
    <row r="1" spans="1:71" x14ac:dyDescent="0.25">
      <c r="A1" t="s">
        <v>7</v>
      </c>
    </row>
    <row r="2" spans="1:71" x14ac:dyDescent="0.25">
      <c r="A2">
        <f t="array" ref="A2:BS16">TRANSPOSE('Matrix (R)'!$B$2:$P$72)</f>
        <v>6.27164774412729E-2</v>
      </c>
      <c r="B2">
        <v>6.2718945868477136E-2</v>
      </c>
      <c r="C2">
        <v>6.2719976185562423E-2</v>
      </c>
      <c r="D2">
        <v>6.2719949560603797E-2</v>
      </c>
      <c r="E2">
        <v>6.2718515806224076E-2</v>
      </c>
      <c r="F2">
        <v>6.2719904904894444E-2</v>
      </c>
      <c r="G2">
        <v>6.2719087820387584E-2</v>
      </c>
      <c r="H2">
        <v>6.2718550473177204E-2</v>
      </c>
      <c r="I2">
        <v>0.33033287435910619</v>
      </c>
      <c r="J2">
        <v>7.3691116907708562E-2</v>
      </c>
      <c r="K2">
        <v>0.20213675091363825</v>
      </c>
      <c r="L2">
        <v>8.5501307382944119E-2</v>
      </c>
      <c r="M2">
        <v>0.21255432498704374</v>
      </c>
      <c r="N2">
        <v>0.12343605527269358</v>
      </c>
      <c r="O2">
        <v>0.15463267349789039</v>
      </c>
      <c r="P2">
        <v>0.25954435914684204</v>
      </c>
      <c r="Q2">
        <v>6.3177738402652492E-2</v>
      </c>
      <c r="R2">
        <v>0.14880207630135378</v>
      </c>
      <c r="S2">
        <v>0.17746915995835172</v>
      </c>
      <c r="T2">
        <v>0.26500202209811952</v>
      </c>
      <c r="U2">
        <v>0.13537817437796362</v>
      </c>
      <c r="V2">
        <v>0.23574286905332276</v>
      </c>
      <c r="W2">
        <v>0.1339195656911675</v>
      </c>
      <c r="X2">
        <v>0.10557782129057851</v>
      </c>
      <c r="Y2">
        <v>0.10999891013169692</v>
      </c>
      <c r="Z2">
        <v>0.17996170174040296</v>
      </c>
      <c r="AA2">
        <v>0.10044115423408057</v>
      </c>
      <c r="AB2">
        <v>0.15701780280328106</v>
      </c>
      <c r="AC2">
        <v>0.16403170522790655</v>
      </c>
      <c r="AD2">
        <v>0.15672659441838799</v>
      </c>
      <c r="AE2">
        <v>0.18523994227048385</v>
      </c>
      <c r="AF2">
        <v>0.1043291170675969</v>
      </c>
      <c r="AG2">
        <v>0.1966451817594613</v>
      </c>
      <c r="AH2">
        <v>0.18712133753257248</v>
      </c>
      <c r="AI2">
        <v>0.11439821226411849</v>
      </c>
      <c r="AJ2">
        <v>0.18717410978042112</v>
      </c>
      <c r="AK2">
        <v>0.14011123887532245</v>
      </c>
      <c r="AL2">
        <v>0.15088616810429345</v>
      </c>
      <c r="AM2">
        <v>0.18013504269241465</v>
      </c>
      <c r="AN2">
        <v>0.12541902454296544</v>
      </c>
      <c r="AO2">
        <v>0.13666564404515397</v>
      </c>
      <c r="AP2">
        <v>0.17028167879460732</v>
      </c>
      <c r="AQ2">
        <v>0.14115711791467461</v>
      </c>
      <c r="AR2">
        <v>0.11605730737584868</v>
      </c>
      <c r="AS2">
        <v>0.16312336643722977</v>
      </c>
      <c r="AT2">
        <v>0.11463505991350174</v>
      </c>
      <c r="AU2">
        <v>0.1279588712473331</v>
      </c>
      <c r="AV2">
        <v>0.15311243673482028</v>
      </c>
      <c r="AW2">
        <v>0.1425961108238902</v>
      </c>
      <c r="AX2">
        <v>0.15226194901054182</v>
      </c>
      <c r="AY2">
        <v>0.16797693364579824</v>
      </c>
      <c r="AZ2">
        <v>0.14607701596682487</v>
      </c>
      <c r="BA2">
        <v>0.15262356047836767</v>
      </c>
      <c r="BB2">
        <v>0.12047835399964579</v>
      </c>
      <c r="BC2">
        <v>0.12743512739636964</v>
      </c>
      <c r="BD2">
        <v>0.11922499319875811</v>
      </c>
      <c r="BE2">
        <v>0.15052942238532235</v>
      </c>
      <c r="BF2">
        <v>0.13129508042481797</v>
      </c>
      <c r="BG2">
        <v>0.15145750653074536</v>
      </c>
      <c r="BH2">
        <v>0.12318871773146264</v>
      </c>
      <c r="BI2">
        <v>0.15058648467570226</v>
      </c>
      <c r="BJ2">
        <v>0.14272663649138123</v>
      </c>
      <c r="BK2">
        <v>0.1244098923520689</v>
      </c>
      <c r="BL2">
        <v>0.14840473230043089</v>
      </c>
      <c r="BM2">
        <v>0.12723593964870006</v>
      </c>
      <c r="BN2">
        <v>0.1249180732526667</v>
      </c>
      <c r="BO2">
        <v>0.12513952486147181</v>
      </c>
      <c r="BP2">
        <v>0.13631718211325486</v>
      </c>
      <c r="BQ2">
        <v>0.1371047614322185</v>
      </c>
      <c r="BR2">
        <v>0.1358602142786246</v>
      </c>
      <c r="BS2">
        <v>0.14122730529265684</v>
      </c>
    </row>
    <row r="3" spans="1:71" x14ac:dyDescent="0.25">
      <c r="A3">
        <v>1.3264238498455911E-5</v>
      </c>
      <c r="B3">
        <v>1.3176164518956312E-5</v>
      </c>
      <c r="C3">
        <v>1.3134258617205432E-5</v>
      </c>
      <c r="D3">
        <v>1.314876896701794E-5</v>
      </c>
      <c r="E3">
        <v>1.3184487005248897E-5</v>
      </c>
      <c r="F3">
        <v>1.3122314555414709E-5</v>
      </c>
      <c r="G3">
        <v>1.3173657755830594E-5</v>
      </c>
      <c r="H3">
        <v>1.3191129675413065E-5</v>
      </c>
      <c r="I3">
        <v>1.924609297644897E-5</v>
      </c>
      <c r="J3">
        <v>1.4084558520662732E-5</v>
      </c>
      <c r="K3">
        <v>1.9106761038341934E-5</v>
      </c>
      <c r="L3">
        <v>1.491129071828305E-5</v>
      </c>
      <c r="M3">
        <v>1.9135374178441899E-5</v>
      </c>
      <c r="N3">
        <v>1.684317008478857E-5</v>
      </c>
      <c r="O3">
        <v>1.7998033306317512E-5</v>
      </c>
      <c r="P3">
        <v>1.9546955611132026E-5</v>
      </c>
      <c r="Q3">
        <v>1.312299431524264E-5</v>
      </c>
      <c r="R3">
        <v>1.7805933426364194E-5</v>
      </c>
      <c r="S3">
        <v>1.8575317864375491E-5</v>
      </c>
      <c r="T3">
        <v>1.9631625430650895E-5</v>
      </c>
      <c r="U3">
        <v>1.7346593946529481E-5</v>
      </c>
      <c r="V3">
        <v>1.9457642298218542E-5</v>
      </c>
      <c r="W3">
        <v>1.727572395162873E-5</v>
      </c>
      <c r="X3">
        <v>1.601145292038661E-5</v>
      </c>
      <c r="Y3">
        <v>1.6282696097263934E-5</v>
      </c>
      <c r="Z3">
        <v>1.8684977079200307E-5</v>
      </c>
      <c r="AA3">
        <v>1.5750277981864215E-5</v>
      </c>
      <c r="AB3">
        <v>1.8045504255165975E-5</v>
      </c>
      <c r="AC3">
        <v>1.8240525908228849E-5</v>
      </c>
      <c r="AD3">
        <v>1.8068908325469209E-5</v>
      </c>
      <c r="AE3">
        <v>1.8786620427035098E-5</v>
      </c>
      <c r="AF3">
        <v>1.5972102230115702E-5</v>
      </c>
      <c r="AG3">
        <v>1.8944392676740466E-5</v>
      </c>
      <c r="AH3">
        <v>1.8792576316793793E-5</v>
      </c>
      <c r="AI3">
        <v>1.6468635887355692E-5</v>
      </c>
      <c r="AJ3">
        <v>1.8818660857159616E-5</v>
      </c>
      <c r="AK3">
        <v>1.7549530698069688E-5</v>
      </c>
      <c r="AL3">
        <v>1.7879875529125436E-5</v>
      </c>
      <c r="AM3">
        <v>1.8639174587719291E-5</v>
      </c>
      <c r="AN3">
        <v>1.6987421143812815E-5</v>
      </c>
      <c r="AO3">
        <v>1.7421610536565729E-5</v>
      </c>
      <c r="AP3">
        <v>1.8400872760359388E-5</v>
      </c>
      <c r="AQ3">
        <v>1.7578606444484945E-5</v>
      </c>
      <c r="AR3">
        <v>1.6575261005793035E-5</v>
      </c>
      <c r="AS3">
        <v>1.8219909774430534E-5</v>
      </c>
      <c r="AT3">
        <v>1.6500295190368227E-5</v>
      </c>
      <c r="AU3">
        <v>1.7080711960970521E-5</v>
      </c>
      <c r="AV3">
        <v>1.7972674773781755E-5</v>
      </c>
      <c r="AW3">
        <v>1.7610962682745829E-5</v>
      </c>
      <c r="AX3">
        <v>1.7912788466981782E-5</v>
      </c>
      <c r="AY3">
        <v>1.8348445969946933E-5</v>
      </c>
      <c r="AZ3">
        <v>1.772964621622335E-5</v>
      </c>
      <c r="BA3">
        <v>1.7947417306603369E-5</v>
      </c>
      <c r="BB3">
        <v>1.6764388426067915E-5</v>
      </c>
      <c r="BC3">
        <v>1.7060126400289706E-5</v>
      </c>
      <c r="BD3">
        <v>1.6716775525353819E-5</v>
      </c>
      <c r="BE3">
        <v>1.7877187938047423E-5</v>
      </c>
      <c r="BF3">
        <v>1.7204558960674224E-5</v>
      </c>
      <c r="BG3">
        <v>1.79157203572257E-5</v>
      </c>
      <c r="BH3">
        <v>1.6874463806646306E-5</v>
      </c>
      <c r="BI3">
        <v>1.7877754942094057E-5</v>
      </c>
      <c r="BJ3">
        <v>1.7617030566140474E-5</v>
      </c>
      <c r="BK3">
        <v>1.6922553561091735E-5</v>
      </c>
      <c r="BL3">
        <v>1.7820043406080256E-5</v>
      </c>
      <c r="BM3">
        <v>1.7053770243264583E-5</v>
      </c>
      <c r="BN3">
        <v>1.6957450318040988E-5</v>
      </c>
      <c r="BO3">
        <v>1.6967005933440925E-5</v>
      </c>
      <c r="BP3">
        <v>1.7402726328554112E-5</v>
      </c>
      <c r="BQ3">
        <v>1.7419243901457269E-5</v>
      </c>
      <c r="BR3">
        <v>1.7382027559079859E-5</v>
      </c>
      <c r="BS3">
        <v>1.7573985312658093E-5</v>
      </c>
    </row>
    <row r="4" spans="1:71" x14ac:dyDescent="0.25">
      <c r="A4">
        <v>1.3870453351073344E-3</v>
      </c>
      <c r="B4">
        <v>1.3841196315802803E-3</v>
      </c>
      <c r="C4">
        <v>1.3796361859859296E-3</v>
      </c>
      <c r="D4">
        <v>1.3795833125876749E-3</v>
      </c>
      <c r="E4">
        <v>1.3848969855658466E-3</v>
      </c>
      <c r="F4">
        <v>1.38088430683187E-3</v>
      </c>
      <c r="G4">
        <v>1.3824956342521309E-3</v>
      </c>
      <c r="H4">
        <v>1.3860210982850828E-3</v>
      </c>
      <c r="I4">
        <v>9.9976318198157681E-4</v>
      </c>
      <c r="J4">
        <v>1.4025755731443316E-3</v>
      </c>
      <c r="K4">
        <v>1.2848600332085148E-3</v>
      </c>
      <c r="L4">
        <v>1.4142917011689877E-3</v>
      </c>
      <c r="M4">
        <v>1.2625321753670549E-3</v>
      </c>
      <c r="N4">
        <v>1.4004236482275318E-3</v>
      </c>
      <c r="O4">
        <v>1.3676131006835654E-3</v>
      </c>
      <c r="P4">
        <v>1.1632111546877166E-3</v>
      </c>
      <c r="Q4">
        <v>1.3807759780835151E-3</v>
      </c>
      <c r="R4">
        <v>1.3751325292015622E-3</v>
      </c>
      <c r="S4">
        <v>1.3289775498053222E-3</v>
      </c>
      <c r="T4">
        <v>1.1539562422297465E-3</v>
      </c>
      <c r="U4">
        <v>1.3905564426392734E-3</v>
      </c>
      <c r="V4">
        <v>1.2166564794952029E-3</v>
      </c>
      <c r="W4">
        <v>1.3908860110319425E-3</v>
      </c>
      <c r="X4">
        <v>1.4128876729804351E-3</v>
      </c>
      <c r="Y4">
        <v>1.4114912584618985E-3</v>
      </c>
      <c r="Z4">
        <v>1.3266868279728553E-3</v>
      </c>
      <c r="AA4">
        <v>1.4135051900222263E-3</v>
      </c>
      <c r="AB4">
        <v>1.3628737175004316E-3</v>
      </c>
      <c r="AC4">
        <v>1.3509392285493377E-3</v>
      </c>
      <c r="AD4">
        <v>1.363478298442126E-3</v>
      </c>
      <c r="AE4">
        <v>1.3176599783901847E-3</v>
      </c>
      <c r="AF4">
        <v>1.4135732207442933E-3</v>
      </c>
      <c r="AG4">
        <v>1.295034763869526E-3</v>
      </c>
      <c r="AH4">
        <v>1.3134159194618106E-3</v>
      </c>
      <c r="AI4">
        <v>1.4084187425052498E-3</v>
      </c>
      <c r="AJ4">
        <v>1.3138788745559733E-3</v>
      </c>
      <c r="AK4">
        <v>1.3864583065886567E-3</v>
      </c>
      <c r="AL4">
        <v>1.3713605729440057E-3</v>
      </c>
      <c r="AM4">
        <v>1.3254833677352937E-3</v>
      </c>
      <c r="AN4">
        <v>1.4013601188066248E-3</v>
      </c>
      <c r="AO4">
        <v>1.3897672594752688E-3</v>
      </c>
      <c r="AP4">
        <v>1.3413418772491236E-3</v>
      </c>
      <c r="AQ4">
        <v>1.3846581619557832E-3</v>
      </c>
      <c r="AR4">
        <v>1.4089357851173243E-3</v>
      </c>
      <c r="AS4">
        <v>1.3532580184546701E-3</v>
      </c>
      <c r="AT4">
        <v>1.4093715273762557E-3</v>
      </c>
      <c r="AU4">
        <v>1.3988454254775509E-3</v>
      </c>
      <c r="AV4">
        <v>1.3691884277417768E-3</v>
      </c>
      <c r="AW4">
        <v>1.3823948480039499E-3</v>
      </c>
      <c r="AX4">
        <v>1.3693999596857782E-3</v>
      </c>
      <c r="AY4">
        <v>1.3454413142650378E-3</v>
      </c>
      <c r="AZ4">
        <v>1.3781287359653017E-3</v>
      </c>
      <c r="BA4">
        <v>1.3695968267608944E-3</v>
      </c>
      <c r="BB4">
        <v>1.4052993994090528E-3</v>
      </c>
      <c r="BC4">
        <v>1.3993102706405215E-3</v>
      </c>
      <c r="BD4">
        <v>1.4066506507269736E-3</v>
      </c>
      <c r="BE4">
        <v>1.3721488828218351E-3</v>
      </c>
      <c r="BF4">
        <v>1.3955718359149037E-3</v>
      </c>
      <c r="BG4">
        <v>1.3712041144418126E-3</v>
      </c>
      <c r="BH4">
        <v>1.403067472647511E-3</v>
      </c>
      <c r="BI4">
        <v>1.3721182661676403E-3</v>
      </c>
      <c r="BJ4">
        <v>1.3822234885040629E-3</v>
      </c>
      <c r="BK4">
        <v>1.4018276977345338E-3</v>
      </c>
      <c r="BL4">
        <v>1.3753921607054908E-3</v>
      </c>
      <c r="BM4">
        <v>1.3997449332490944E-3</v>
      </c>
      <c r="BN4">
        <v>1.4017416904123295E-3</v>
      </c>
      <c r="BO4">
        <v>1.4016142415462357E-3</v>
      </c>
      <c r="BP4">
        <v>1.3902348044713953E-3</v>
      </c>
      <c r="BQ4">
        <v>1.3889509929199905E-3</v>
      </c>
      <c r="BR4">
        <v>1.3906316843769848E-3</v>
      </c>
      <c r="BS4">
        <v>1.3843538228299622E-3</v>
      </c>
    </row>
    <row r="5" spans="1:71" x14ac:dyDescent="0.25">
      <c r="A5">
        <v>9.1165818654652341E-5</v>
      </c>
      <c r="B5">
        <v>9.0942581991909307E-5</v>
      </c>
      <c r="C5">
        <v>9.0791337580759711E-5</v>
      </c>
      <c r="D5">
        <v>9.0825039375103071E-5</v>
      </c>
      <c r="E5">
        <v>9.1000381254608507E-5</v>
      </c>
      <c r="F5">
        <v>9.0803573046893186E-5</v>
      </c>
      <c r="G5">
        <v>9.0957123291324202E-5</v>
      </c>
      <c r="H5">
        <v>9.0993441581630556E-5</v>
      </c>
      <c r="I5">
        <v>1.9100962295240791E-4</v>
      </c>
      <c r="J5">
        <v>9.9759146441341534E-5</v>
      </c>
      <c r="K5">
        <v>1.6507864321967981E-4</v>
      </c>
      <c r="L5">
        <v>1.0843340730141754E-4</v>
      </c>
      <c r="M5">
        <v>1.6786029767432655E-4</v>
      </c>
      <c r="N5">
        <v>1.3153488649619022E-4</v>
      </c>
      <c r="O5">
        <v>1.4682299524327057E-4</v>
      </c>
      <c r="P5">
        <v>1.80183266302816E-4</v>
      </c>
      <c r="Q5">
        <v>9.1065594969063488E-5</v>
      </c>
      <c r="R5">
        <v>1.4421171546403504E-4</v>
      </c>
      <c r="S5">
        <v>1.5619625109914169E-4</v>
      </c>
      <c r="T5">
        <v>1.8158885324780533E-4</v>
      </c>
      <c r="U5">
        <v>1.3779134445002073E-4</v>
      </c>
      <c r="V5">
        <v>1.7465883574947918E-4</v>
      </c>
      <c r="W5">
        <v>1.3700373649490314E-4</v>
      </c>
      <c r="X5">
        <v>1.2134635615718903E-4</v>
      </c>
      <c r="Y5">
        <v>1.2407391513420153E-4</v>
      </c>
      <c r="Z5">
        <v>1.5727356199991832E-4</v>
      </c>
      <c r="AA5">
        <v>1.182142392789776E-4</v>
      </c>
      <c r="AB5">
        <v>1.4778766670071341E-4</v>
      </c>
      <c r="AC5">
        <v>1.5079288891595591E-4</v>
      </c>
      <c r="AD5">
        <v>1.477132415810966E-4</v>
      </c>
      <c r="AE5">
        <v>1.592008193392016E-4</v>
      </c>
      <c r="AF5">
        <v>1.2063035762965681E-4</v>
      </c>
      <c r="AG5">
        <v>1.6297073661369316E-4</v>
      </c>
      <c r="AH5">
        <v>1.5980213279281335E-4</v>
      </c>
      <c r="AI5">
        <v>1.2659115729424947E-4</v>
      </c>
      <c r="AJ5">
        <v>1.5988527681640787E-4</v>
      </c>
      <c r="AK5">
        <v>1.4022541274960964E-4</v>
      </c>
      <c r="AL5">
        <v>1.4512566339518665E-4</v>
      </c>
      <c r="AM5">
        <v>1.5718261845425749E-4</v>
      </c>
      <c r="AN5">
        <v>1.3273479731823915E-4</v>
      </c>
      <c r="AO5">
        <v>1.385029340822213E-4</v>
      </c>
      <c r="AP5">
        <v>1.5331727834595225E-4</v>
      </c>
      <c r="AQ5">
        <v>1.4062400113418384E-4</v>
      </c>
      <c r="AR5">
        <v>1.2761698470493724E-4</v>
      </c>
      <c r="AS5">
        <v>1.5041983776228359E-4</v>
      </c>
      <c r="AT5">
        <v>1.2675965788055155E-4</v>
      </c>
      <c r="AU5">
        <v>1.3405155109900643E-4</v>
      </c>
      <c r="AV5">
        <v>1.4620634244504076E-4</v>
      </c>
      <c r="AW5">
        <v>1.4128358190156686E-4</v>
      </c>
      <c r="AX5">
        <v>1.4572252776806602E-4</v>
      </c>
      <c r="AY5">
        <v>1.5238299345959709E-4</v>
      </c>
      <c r="AZ5">
        <v>1.4293569814995038E-4</v>
      </c>
      <c r="BA5">
        <v>1.4596219532067364E-4</v>
      </c>
      <c r="BB5">
        <v>1.3001977299163494E-4</v>
      </c>
      <c r="BC5">
        <v>1.3374890533928197E-4</v>
      </c>
      <c r="BD5">
        <v>1.2937270193299561E-4</v>
      </c>
      <c r="BE5">
        <v>1.4498858718466344E-4</v>
      </c>
      <c r="BF5">
        <v>1.3575342263909978E-4</v>
      </c>
      <c r="BG5">
        <v>1.454405343492078E-4</v>
      </c>
      <c r="BH5">
        <v>1.314952672450054E-4</v>
      </c>
      <c r="BI5">
        <v>1.4500316723471435E-4</v>
      </c>
      <c r="BJ5">
        <v>1.4135853294946338E-4</v>
      </c>
      <c r="BK5">
        <v>1.3212993446865915E-4</v>
      </c>
      <c r="BL5">
        <v>1.4405701394426101E-4</v>
      </c>
      <c r="BM5">
        <v>1.3366942913089827E-4</v>
      </c>
      <c r="BN5">
        <v>1.3243461527814404E-4</v>
      </c>
      <c r="BO5">
        <v>1.3255746684855211E-4</v>
      </c>
      <c r="BP5">
        <v>1.3828342869012084E-4</v>
      </c>
      <c r="BQ5">
        <v>1.3863876510718468E-4</v>
      </c>
      <c r="BR5">
        <v>1.3804618579455914E-4</v>
      </c>
      <c r="BS5">
        <v>1.4066595509658981E-4</v>
      </c>
    </row>
    <row r="6" spans="1:71" x14ac:dyDescent="0.25">
      <c r="A6">
        <v>1.9128041030197858E-3</v>
      </c>
      <c r="B6">
        <v>1.9064793080100205E-3</v>
      </c>
      <c r="C6">
        <v>1.9028129952773155E-3</v>
      </c>
      <c r="D6">
        <v>1.9036328688154063E-3</v>
      </c>
      <c r="E6">
        <v>1.9076530470930417E-3</v>
      </c>
      <c r="F6">
        <v>1.9026098472382815E-3</v>
      </c>
      <c r="G6">
        <v>1.906428339426391E-3</v>
      </c>
      <c r="H6">
        <v>1.907859308523416E-3</v>
      </c>
      <c r="I6">
        <v>1.3878212818703786E-3</v>
      </c>
      <c r="J6">
        <v>1.934081444724166E-3</v>
      </c>
      <c r="K6">
        <v>1.7824820009307693E-3</v>
      </c>
      <c r="L6">
        <v>1.9500219566071625E-3</v>
      </c>
      <c r="M6">
        <v>1.7492186108930415E-3</v>
      </c>
      <c r="N6">
        <v>1.9355712998549899E-3</v>
      </c>
      <c r="O6">
        <v>1.8901262719621219E-3</v>
      </c>
      <c r="P6">
        <v>1.6154395096583671E-3</v>
      </c>
      <c r="Q6">
        <v>1.9013740095114244E-3</v>
      </c>
      <c r="R6">
        <v>1.9002189462097203E-3</v>
      </c>
      <c r="S6">
        <v>1.8406073286106361E-3</v>
      </c>
      <c r="T6">
        <v>1.6020575976970508E-3</v>
      </c>
      <c r="U6">
        <v>1.9217816604021403E-3</v>
      </c>
      <c r="V6">
        <v>1.6879332849875721E-3</v>
      </c>
      <c r="W6">
        <v>1.9229961984178904E-3</v>
      </c>
      <c r="X6">
        <v>1.9495655353946257E-3</v>
      </c>
      <c r="Y6">
        <v>1.9497368179803795E-3</v>
      </c>
      <c r="Z6">
        <v>1.8373306162024147E-3</v>
      </c>
      <c r="AA6">
        <v>1.9510716555740746E-3</v>
      </c>
      <c r="AB6">
        <v>1.8842669863116065E-3</v>
      </c>
      <c r="AC6">
        <v>1.869754572494043E-3</v>
      </c>
      <c r="AD6">
        <v>1.88605629690048E-3</v>
      </c>
      <c r="AE6">
        <v>1.8244956066499087E-3</v>
      </c>
      <c r="AF6">
        <v>1.9511555820790735E-3</v>
      </c>
      <c r="AG6">
        <v>1.7934426359844367E-3</v>
      </c>
      <c r="AH6">
        <v>1.818508921685165E-3</v>
      </c>
      <c r="AI6">
        <v>1.9454868592289831E-3</v>
      </c>
      <c r="AJ6">
        <v>1.8195623846507492E-3</v>
      </c>
      <c r="AK6">
        <v>1.9166690221010185E-3</v>
      </c>
      <c r="AL6">
        <v>1.896503232922359E-3</v>
      </c>
      <c r="AM6">
        <v>1.834623117057966E-3</v>
      </c>
      <c r="AN6">
        <v>1.9367293398781739E-3</v>
      </c>
      <c r="AO6">
        <v>1.9215190542023173E-3</v>
      </c>
      <c r="AP6">
        <v>1.8563720320880761E-3</v>
      </c>
      <c r="AQ6">
        <v>1.9142403199043786E-3</v>
      </c>
      <c r="AR6">
        <v>1.9459486613104206E-3</v>
      </c>
      <c r="AS6">
        <v>1.8719022141164656E-3</v>
      </c>
      <c r="AT6">
        <v>1.9465504601284555E-3</v>
      </c>
      <c r="AU6">
        <v>1.9330773793432557E-3</v>
      </c>
      <c r="AV6">
        <v>1.8937245785580711E-3</v>
      </c>
      <c r="AW6">
        <v>1.9110655096284412E-3</v>
      </c>
      <c r="AX6">
        <v>1.89354401178402E-3</v>
      </c>
      <c r="AY6">
        <v>1.8616489685004066E-3</v>
      </c>
      <c r="AZ6">
        <v>1.9053392397075739E-3</v>
      </c>
      <c r="BA6">
        <v>1.8940944031531411E-3</v>
      </c>
      <c r="BB6">
        <v>1.9413121867085117E-3</v>
      </c>
      <c r="BC6">
        <v>1.9336717060349977E-3</v>
      </c>
      <c r="BD6">
        <v>1.9430599555433736E-3</v>
      </c>
      <c r="BE6">
        <v>1.8975891971340592E-3</v>
      </c>
      <c r="BF6">
        <v>1.928394136677371E-3</v>
      </c>
      <c r="BG6">
        <v>1.8964283155396362E-3</v>
      </c>
      <c r="BH6">
        <v>1.9381920065669387E-3</v>
      </c>
      <c r="BI6">
        <v>1.8974629029916248E-3</v>
      </c>
      <c r="BJ6">
        <v>1.9109170206813512E-3</v>
      </c>
      <c r="BK6">
        <v>1.9365828800954193E-3</v>
      </c>
      <c r="BL6">
        <v>1.9020178642371729E-3</v>
      </c>
      <c r="BM6">
        <v>1.9341173072836403E-3</v>
      </c>
      <c r="BN6">
        <v>1.9367457273110331E-3</v>
      </c>
      <c r="BO6">
        <v>1.9365591540055362E-3</v>
      </c>
      <c r="BP6">
        <v>1.9216639912479018E-3</v>
      </c>
      <c r="BQ6">
        <v>1.9198034512489435E-3</v>
      </c>
      <c r="BR6">
        <v>1.9221250977250871E-3</v>
      </c>
      <c r="BS6">
        <v>1.9138316946533305E-3</v>
      </c>
    </row>
    <row r="7" spans="1:71" x14ac:dyDescent="0.25">
      <c r="A7">
        <v>1.5214158793250052E-5</v>
      </c>
      <c r="B7">
        <v>1.5185535399803164E-5</v>
      </c>
      <c r="C7">
        <v>1.5135824220422395E-5</v>
      </c>
      <c r="D7">
        <v>1.5122469735055081E-5</v>
      </c>
      <c r="E7">
        <v>1.5195527396081398E-5</v>
      </c>
      <c r="F7">
        <v>1.514898929327949E-5</v>
      </c>
      <c r="G7">
        <v>1.5166780952834288E-5</v>
      </c>
      <c r="H7">
        <v>1.5198040858129818E-5</v>
      </c>
      <c r="I7">
        <v>7.4876403071899323E-5</v>
      </c>
      <c r="J7">
        <v>1.7727594883547243E-5</v>
      </c>
      <c r="K7">
        <v>4.6929267881347222E-5</v>
      </c>
      <c r="L7">
        <v>2.0495446792634783E-5</v>
      </c>
      <c r="M7">
        <v>4.9179961890042407E-5</v>
      </c>
      <c r="N7">
        <v>2.9155186319716018E-5</v>
      </c>
      <c r="O7">
        <v>3.6316750649325599E-5</v>
      </c>
      <c r="P7">
        <v>5.9528173851319215E-5</v>
      </c>
      <c r="Q7">
        <v>1.5248237258503145E-5</v>
      </c>
      <c r="R7">
        <v>3.4997485721815542E-5</v>
      </c>
      <c r="S7">
        <v>4.140840840465121E-5</v>
      </c>
      <c r="T7">
        <v>6.08751978801612E-5</v>
      </c>
      <c r="U7">
        <v>3.1902507534771989E-5</v>
      </c>
      <c r="V7">
        <v>5.4376679158020908E-5</v>
      </c>
      <c r="W7">
        <v>3.154549655824012E-5</v>
      </c>
      <c r="X7">
        <v>2.5099328969277872E-5</v>
      </c>
      <c r="Y7">
        <v>2.6105121597475058E-5</v>
      </c>
      <c r="Z7">
        <v>4.2008883276181954E-5</v>
      </c>
      <c r="AA7">
        <v>2.3898628562100085E-5</v>
      </c>
      <c r="AB7">
        <v>3.6831951622853042E-5</v>
      </c>
      <c r="AC7">
        <v>3.8378995172691037E-5</v>
      </c>
      <c r="AD7">
        <v>3.6752598569380703E-5</v>
      </c>
      <c r="AE7">
        <v>4.320369267668796E-5</v>
      </c>
      <c r="AF7">
        <v>2.4805817091022993E-5</v>
      </c>
      <c r="AG7">
        <v>4.5701333425809513E-5</v>
      </c>
      <c r="AH7">
        <v>4.3610733039818642E-5</v>
      </c>
      <c r="AI7">
        <v>2.7110108666488832E-5</v>
      </c>
      <c r="AJ7">
        <v>4.3634873156182492E-5</v>
      </c>
      <c r="AK7">
        <v>3.3018119990542101E-5</v>
      </c>
      <c r="AL7">
        <v>3.542650863748863E-5</v>
      </c>
      <c r="AM7">
        <v>4.2027557743211888E-5</v>
      </c>
      <c r="AN7">
        <v>2.9650473666870618E-5</v>
      </c>
      <c r="AO7">
        <v>3.221422280838564E-5</v>
      </c>
      <c r="AP7">
        <v>3.979352241640855E-5</v>
      </c>
      <c r="AQ7">
        <v>3.323294432849263E-5</v>
      </c>
      <c r="AR7">
        <v>2.7513581040385787E-5</v>
      </c>
      <c r="AS7">
        <v>3.8192824599597802E-5</v>
      </c>
      <c r="AT7">
        <v>2.7178497883043102E-5</v>
      </c>
      <c r="AU7">
        <v>3.0227495922294956E-5</v>
      </c>
      <c r="AV7">
        <v>3.5955564475005038E-5</v>
      </c>
      <c r="AW7">
        <v>3.3552952904995938E-5</v>
      </c>
      <c r="AX7">
        <v>3.5743626057267483E-5</v>
      </c>
      <c r="AY7">
        <v>3.9279826737667984E-5</v>
      </c>
      <c r="AZ7">
        <v>3.4346712126308679E-5</v>
      </c>
      <c r="BA7">
        <v>3.5839142718197707E-5</v>
      </c>
      <c r="BB7">
        <v>2.851529974016968E-5</v>
      </c>
      <c r="BC7">
        <v>3.010419121609877E-5</v>
      </c>
      <c r="BD7">
        <v>2.8239675586900664E-5</v>
      </c>
      <c r="BE7">
        <v>3.535479232245885E-5</v>
      </c>
      <c r="BF7">
        <v>3.0991803236906894E-5</v>
      </c>
      <c r="BG7">
        <v>3.5571319213954398E-5</v>
      </c>
      <c r="BH7">
        <v>2.9138382665839562E-5</v>
      </c>
      <c r="BI7">
        <v>3.536986209305316E-5</v>
      </c>
      <c r="BJ7">
        <v>3.358326699220228E-5</v>
      </c>
      <c r="BK7">
        <v>2.9411877350021975E-5</v>
      </c>
      <c r="BL7">
        <v>3.4881824414612288E-5</v>
      </c>
      <c r="BM7">
        <v>3.0066912964117134E-5</v>
      </c>
      <c r="BN7">
        <v>2.953328631973786E-5</v>
      </c>
      <c r="BO7">
        <v>2.9586496978458414E-5</v>
      </c>
      <c r="BP7">
        <v>3.213287732756314E-5</v>
      </c>
      <c r="BQ7">
        <v>3.2304386098033029E-5</v>
      </c>
      <c r="BR7">
        <v>3.2026933467039005E-5</v>
      </c>
      <c r="BS7">
        <v>3.3247123201172539E-5</v>
      </c>
    </row>
    <row r="8" spans="1:71" x14ac:dyDescent="0.25">
      <c r="A8">
        <v>2.7574089931830079E-3</v>
      </c>
      <c r="B8">
        <v>2.7412439460680685E-3</v>
      </c>
      <c r="C8">
        <v>2.7346612186955918E-3</v>
      </c>
      <c r="D8">
        <v>2.7386194631177788E-3</v>
      </c>
      <c r="E8">
        <v>2.7416663292429721E-3</v>
      </c>
      <c r="F8">
        <v>2.7315665482076693E-3</v>
      </c>
      <c r="G8">
        <v>2.740685806917326E-3</v>
      </c>
      <c r="H8">
        <v>2.7442093644081539E-3</v>
      </c>
      <c r="I8">
        <v>4.4459383026843793E-3</v>
      </c>
      <c r="J8">
        <v>2.9553090529622766E-3</v>
      </c>
      <c r="K8">
        <v>4.2439699834007621E-3</v>
      </c>
      <c r="L8">
        <v>3.1512287138108848E-3</v>
      </c>
      <c r="M8">
        <v>4.2686109932318925E-3</v>
      </c>
      <c r="N8">
        <v>3.6303803654738334E-3</v>
      </c>
      <c r="O8">
        <v>3.9302255384624282E-3</v>
      </c>
      <c r="P8">
        <v>4.4234118997377673E-3</v>
      </c>
      <c r="Q8">
        <v>2.7335111246364263E-3</v>
      </c>
      <c r="R8">
        <v>3.8776898572196673E-3</v>
      </c>
      <c r="S8">
        <v>4.0902392813191892E-3</v>
      </c>
      <c r="T8">
        <v>4.446903579528266E-3</v>
      </c>
      <c r="U8">
        <v>3.7585497193923243E-3</v>
      </c>
      <c r="V8">
        <v>4.3706978108408899E-3</v>
      </c>
      <c r="W8">
        <v>3.7413714831135182E-3</v>
      </c>
      <c r="X8">
        <v>3.421639224593626E-3</v>
      </c>
      <c r="Y8">
        <v>3.4878988019892646E-3</v>
      </c>
      <c r="Z8">
        <v>4.1179953781672529E-3</v>
      </c>
      <c r="AA8">
        <v>3.3573348630093589E-3</v>
      </c>
      <c r="AB8">
        <v>3.9442546967198419E-3</v>
      </c>
      <c r="AC8">
        <v>3.9976829086235659E-3</v>
      </c>
      <c r="AD8">
        <v>3.9501593880026109E-3</v>
      </c>
      <c r="AE8">
        <v>4.148340599296434E-3</v>
      </c>
      <c r="AF8">
        <v>3.4115862736452092E-3</v>
      </c>
      <c r="AG8">
        <v>4.2015773149446604E-3</v>
      </c>
      <c r="AH8">
        <v>4.1520364731921985E-3</v>
      </c>
      <c r="AI8">
        <v>3.5346501384640391E-3</v>
      </c>
      <c r="AJ8">
        <v>4.1577042454671205E-3</v>
      </c>
      <c r="AK8">
        <v>3.8087005971754271E-3</v>
      </c>
      <c r="AL8">
        <v>3.8992809261483483E-3</v>
      </c>
      <c r="AM8">
        <v>4.1091038440889301E-3</v>
      </c>
      <c r="AN8">
        <v>3.6644054566704653E-3</v>
      </c>
      <c r="AO8">
        <v>3.7760689144920004E-3</v>
      </c>
      <c r="AP8">
        <v>4.0423821732045156E-3</v>
      </c>
      <c r="AQ8">
        <v>3.8183541129815143E-3</v>
      </c>
      <c r="AR8">
        <v>3.5599499638276876E-3</v>
      </c>
      <c r="AS8">
        <v>3.992037601004683E-3</v>
      </c>
      <c r="AT8">
        <v>3.5421859232631259E-3</v>
      </c>
      <c r="AU8">
        <v>3.6888060787371841E-3</v>
      </c>
      <c r="AV8">
        <v>3.9220912326409967E-3</v>
      </c>
      <c r="AW8">
        <v>3.8275297905108596E-3</v>
      </c>
      <c r="AX8">
        <v>3.9081174333163811E-3</v>
      </c>
      <c r="AY8">
        <v>4.0280907584183375E-3</v>
      </c>
      <c r="AZ8">
        <v>3.8587916716474853E-3</v>
      </c>
      <c r="BA8">
        <v>3.9159487478653233E-3</v>
      </c>
      <c r="BB8">
        <v>3.6087345613560759E-3</v>
      </c>
      <c r="BC8">
        <v>3.6840289399859365E-3</v>
      </c>
      <c r="BD8">
        <v>3.5957861308690514E-3</v>
      </c>
      <c r="BE8">
        <v>3.8977032617413987E-3</v>
      </c>
      <c r="BF8">
        <v>3.720912708651665E-3</v>
      </c>
      <c r="BG8">
        <v>3.9074634783007132E-3</v>
      </c>
      <c r="BH8">
        <v>3.6365752214709982E-3</v>
      </c>
      <c r="BI8">
        <v>3.8979839377901362E-3</v>
      </c>
      <c r="BJ8">
        <v>3.8289122525947349E-3</v>
      </c>
      <c r="BK8">
        <v>3.6492669333751497E-3</v>
      </c>
      <c r="BL8">
        <v>3.8817246260306778E-3</v>
      </c>
      <c r="BM8">
        <v>3.6818039604612088E-3</v>
      </c>
      <c r="BN8">
        <v>3.6575069839210506E-3</v>
      </c>
      <c r="BO8">
        <v>3.6597842408481072E-3</v>
      </c>
      <c r="BP8">
        <v>3.7722109122835853E-3</v>
      </c>
      <c r="BQ8">
        <v>3.7772309267267027E-3</v>
      </c>
      <c r="BR8">
        <v>3.767032984392502E-3</v>
      </c>
      <c r="BS8">
        <v>3.8172074613064097E-3</v>
      </c>
    </row>
    <row r="9" spans="1:71" x14ac:dyDescent="0.25">
      <c r="A9">
        <v>1.0619423846982611E-6</v>
      </c>
      <c r="B9">
        <v>1.0511527722712176E-6</v>
      </c>
      <c r="C9">
        <v>1.0459589472540524E-6</v>
      </c>
      <c r="D9">
        <v>1.0479141947760217E-6</v>
      </c>
      <c r="E9">
        <v>1.0513046686936615E-6</v>
      </c>
      <c r="F9">
        <v>1.0440061353194362E-6</v>
      </c>
      <c r="G9">
        <v>1.0500961218360161E-6</v>
      </c>
      <c r="H9">
        <v>1.0530183192604031E-6</v>
      </c>
      <c r="I9">
        <v>3.7095519450785014E-6</v>
      </c>
      <c r="J9">
        <v>1.2008991721200961E-6</v>
      </c>
      <c r="K9">
        <v>2.6556724159021674E-6</v>
      </c>
      <c r="L9">
        <v>1.3528814563803746E-6</v>
      </c>
      <c r="M9">
        <v>2.7317491606683434E-6</v>
      </c>
      <c r="N9">
        <v>1.7983002622828886E-6</v>
      </c>
      <c r="O9">
        <v>2.1555517973245747E-6</v>
      </c>
      <c r="P9">
        <v>3.1684026975803772E-6</v>
      </c>
      <c r="Q9">
        <v>1.0455308212421869E-6</v>
      </c>
      <c r="R9">
        <v>2.0881551087341061E-6</v>
      </c>
      <c r="S9">
        <v>2.3919149968070523E-6</v>
      </c>
      <c r="T9">
        <v>3.2334939982416433E-6</v>
      </c>
      <c r="U9">
        <v>1.9402157946670274E-6</v>
      </c>
      <c r="V9">
        <v>2.9672670933773213E-6</v>
      </c>
      <c r="W9">
        <v>1.9206994806787147E-6</v>
      </c>
      <c r="X9">
        <v>1.5898791404939502E-6</v>
      </c>
      <c r="Y9">
        <v>1.6510538211428621E-6</v>
      </c>
      <c r="Z9">
        <v>2.4299863608614699E-6</v>
      </c>
      <c r="AA9">
        <v>1.529667080158382E-6</v>
      </c>
      <c r="AB9">
        <v>2.1764024328070356E-6</v>
      </c>
      <c r="AC9">
        <v>2.2509387092324382E-6</v>
      </c>
      <c r="AD9">
        <v>2.1806640674645979E-6</v>
      </c>
      <c r="AE9">
        <v>2.4826339376367959E-6</v>
      </c>
      <c r="AF9">
        <v>1.5792923157289394E-6</v>
      </c>
      <c r="AG9">
        <v>2.5864329027031149E-6</v>
      </c>
      <c r="AH9">
        <v>2.4941964171773007E-6</v>
      </c>
      <c r="AI9">
        <v>1.6983170170159277E-6</v>
      </c>
      <c r="AJ9">
        <v>2.5002481427944048E-6</v>
      </c>
      <c r="AK9">
        <v>1.9988449982315045E-6</v>
      </c>
      <c r="AL9">
        <v>2.1138017164308355E-6</v>
      </c>
      <c r="AM9">
        <v>2.4217971127601714E-6</v>
      </c>
      <c r="AN9">
        <v>1.8326583669272703E-6</v>
      </c>
      <c r="AO9">
        <v>1.9595474986547478E-6</v>
      </c>
      <c r="AP9">
        <v>2.3171883629819949E-6</v>
      </c>
      <c r="AQ9">
        <v>2.0102640201208974E-6</v>
      </c>
      <c r="AR9">
        <v>1.7230090802423888E-6</v>
      </c>
      <c r="AS9">
        <v>2.2425784208834172E-6</v>
      </c>
      <c r="AT9">
        <v>1.7052011793320313E-6</v>
      </c>
      <c r="AU9">
        <v>1.8600067151288658E-6</v>
      </c>
      <c r="AV9">
        <v>2.1425439864041016E-6</v>
      </c>
      <c r="AW9">
        <v>2.0227141933033694E-6</v>
      </c>
      <c r="AX9">
        <v>2.1266217265696038E-6</v>
      </c>
      <c r="AY9">
        <v>2.2948566249682184E-6</v>
      </c>
      <c r="AZ9">
        <v>2.0616871187440538E-6</v>
      </c>
      <c r="BA9">
        <v>2.135191615776313E-6</v>
      </c>
      <c r="BB9">
        <v>1.7735704339264572E-6</v>
      </c>
      <c r="BC9">
        <v>1.8545193544237055E-6</v>
      </c>
      <c r="BD9">
        <v>1.7600252301370598E-6</v>
      </c>
      <c r="BE9">
        <v>2.1113392845938648E-6</v>
      </c>
      <c r="BF9">
        <v>1.8966197093209385E-6</v>
      </c>
      <c r="BG9">
        <v>2.1234013752228703E-6</v>
      </c>
      <c r="BH9">
        <v>1.80360636953872E-6</v>
      </c>
      <c r="BI9">
        <v>2.1118541798867689E-6</v>
      </c>
      <c r="BJ9">
        <v>2.0243789893558402E-6</v>
      </c>
      <c r="BK9">
        <v>1.8172665063966994E-6</v>
      </c>
      <c r="BL9">
        <v>2.0899505603910964E-6</v>
      </c>
      <c r="BM9">
        <v>1.8522244062423686E-6</v>
      </c>
      <c r="BN9">
        <v>1.8255627563388711E-6</v>
      </c>
      <c r="BO9">
        <v>1.8280945897638391E-6</v>
      </c>
      <c r="BP9">
        <v>1.955226487722057E-6</v>
      </c>
      <c r="BQ9">
        <v>1.9618066863673022E-6</v>
      </c>
      <c r="BR9">
        <v>1.94936219881963E-6</v>
      </c>
      <c r="BS9">
        <v>2.0094247761778039E-6</v>
      </c>
    </row>
    <row r="10" spans="1:71" x14ac:dyDescent="0.25">
      <c r="A10">
        <v>7.3303416770751457E-4</v>
      </c>
      <c r="B10">
        <v>7.2759918103222133E-4</v>
      </c>
      <c r="C10">
        <v>7.2520797869486729E-4</v>
      </c>
      <c r="D10">
        <v>7.2679864117324304E-4</v>
      </c>
      <c r="E10">
        <v>7.2719664955785016E-4</v>
      </c>
      <c r="F10">
        <v>7.2397158667094773E-4</v>
      </c>
      <c r="G10">
        <v>7.2683957684542826E-4</v>
      </c>
      <c r="H10">
        <v>7.2884462718844352E-4</v>
      </c>
      <c r="I10">
        <v>1.651169444115092E-3</v>
      </c>
      <c r="J10">
        <v>8.0529285739343889E-4</v>
      </c>
      <c r="K10">
        <v>1.3918144526385938E-3</v>
      </c>
      <c r="L10">
        <v>8.7902485176564701E-4</v>
      </c>
      <c r="M10">
        <v>1.4145940478512864E-3</v>
      </c>
      <c r="N10">
        <v>1.0760019364949086E-3</v>
      </c>
      <c r="O10">
        <v>1.218173751564703E-3</v>
      </c>
      <c r="P10">
        <v>1.5381202045803232E-3</v>
      </c>
      <c r="Q10">
        <v>7.248448797008523E-4</v>
      </c>
      <c r="R10">
        <v>1.1914095110485839E-3</v>
      </c>
      <c r="S10">
        <v>1.3019999898370505E-3</v>
      </c>
      <c r="T10">
        <v>1.556119126070198E-3</v>
      </c>
      <c r="U10">
        <v>1.134569465106944E-3</v>
      </c>
      <c r="V10">
        <v>1.4855836834027417E-3</v>
      </c>
      <c r="W10">
        <v>1.1265677562056671E-3</v>
      </c>
      <c r="X10">
        <v>9.8692609403383557E-4</v>
      </c>
      <c r="Y10">
        <v>1.0147232243066157E-3</v>
      </c>
      <c r="Z10">
        <v>1.316786830669779E-3</v>
      </c>
      <c r="AA10">
        <v>9.6034493378128615E-4</v>
      </c>
      <c r="AB10">
        <v>1.2253291660447375E-3</v>
      </c>
      <c r="AC10">
        <v>1.2524563705654248E-3</v>
      </c>
      <c r="AD10">
        <v>1.2282599039576203E-3</v>
      </c>
      <c r="AE10">
        <v>1.3347238403368198E-3</v>
      </c>
      <c r="AF10">
        <v>9.828835215683453E-4</v>
      </c>
      <c r="AG10">
        <v>1.3687715506338466E-3</v>
      </c>
      <c r="AH10">
        <v>1.3374927109416786E-3</v>
      </c>
      <c r="AI10">
        <v>1.034359718876208E-3</v>
      </c>
      <c r="AJ10">
        <v>1.3401127681624706E-3</v>
      </c>
      <c r="AK10">
        <v>1.1576185432489291E-3</v>
      </c>
      <c r="AL10">
        <v>1.202452642787052E-3</v>
      </c>
      <c r="AM10">
        <v>1.313316314532817E-3</v>
      </c>
      <c r="AN10">
        <v>1.091308891249508E-3</v>
      </c>
      <c r="AO10">
        <v>1.1423018857162981E-3</v>
      </c>
      <c r="AP10">
        <v>1.2765112986799195E-3</v>
      </c>
      <c r="AQ10">
        <v>1.1629619943227089E-3</v>
      </c>
      <c r="AR10">
        <v>1.045300493711745E-3</v>
      </c>
      <c r="AS10">
        <v>1.2498503516886765E-3</v>
      </c>
      <c r="AT10">
        <v>1.037919738288276E-3</v>
      </c>
      <c r="AU10">
        <v>1.1024203986538259E-3</v>
      </c>
      <c r="AV10">
        <v>1.213372697736454E-3</v>
      </c>
      <c r="AW10">
        <v>1.1673662409293416E-3</v>
      </c>
      <c r="AX10">
        <v>1.2068635773301284E-3</v>
      </c>
      <c r="AY10">
        <v>1.2691199216542013E-3</v>
      </c>
      <c r="AZ10">
        <v>1.1824913625196108E-3</v>
      </c>
      <c r="BA10">
        <v>1.2104434278721638E-3</v>
      </c>
      <c r="BB10">
        <v>1.066887552488406E-3</v>
      </c>
      <c r="BC10">
        <v>1.1005050008746444E-3</v>
      </c>
      <c r="BD10">
        <v>1.0609882081254911E-3</v>
      </c>
      <c r="BE10">
        <v>1.2014711974533505E-3</v>
      </c>
      <c r="BF10">
        <v>1.1171559248698028E-3</v>
      </c>
      <c r="BG10">
        <v>1.2062058730636417E-3</v>
      </c>
      <c r="BH10">
        <v>1.079106139384126E-3</v>
      </c>
      <c r="BI10">
        <v>1.2016980556625297E-3</v>
      </c>
      <c r="BJ10">
        <v>1.1679443999519301E-3</v>
      </c>
      <c r="BK10">
        <v>1.0848807307735006E-3</v>
      </c>
      <c r="BL10">
        <v>1.1934141309598947E-3</v>
      </c>
      <c r="BM10">
        <v>1.0993172988442359E-3</v>
      </c>
      <c r="BN10">
        <v>1.0884847715403575E-3</v>
      </c>
      <c r="BO10">
        <v>1.0894576792456515E-3</v>
      </c>
      <c r="BP10">
        <v>1.1409879923544664E-3</v>
      </c>
      <c r="BQ10">
        <v>1.14345715686382E-3</v>
      </c>
      <c r="BR10">
        <v>1.1386005270286347E-3</v>
      </c>
      <c r="BS10">
        <v>1.1622964315478228E-3</v>
      </c>
    </row>
    <row r="11" spans="1:71" x14ac:dyDescent="0.25">
      <c r="A11">
        <v>2.4990563972589227E-5</v>
      </c>
      <c r="B11">
        <v>2.4814943098148384E-5</v>
      </c>
      <c r="C11">
        <v>2.470124169953528E-5</v>
      </c>
      <c r="D11">
        <v>2.4745043161032661E-5</v>
      </c>
      <c r="E11">
        <v>2.4813482349297034E-5</v>
      </c>
      <c r="F11">
        <v>2.4683436166234244E-5</v>
      </c>
      <c r="G11">
        <v>2.477737155844674E-5</v>
      </c>
      <c r="H11">
        <v>2.4869934973546852E-5</v>
      </c>
      <c r="I11">
        <v>1.7464968113935241E-5</v>
      </c>
      <c r="J11">
        <v>2.5155079426840964E-5</v>
      </c>
      <c r="K11">
        <v>2.2768348101818776E-5</v>
      </c>
      <c r="L11">
        <v>2.5283513172290891E-5</v>
      </c>
      <c r="M11">
        <v>2.225999909754503E-5</v>
      </c>
      <c r="N11">
        <v>2.4822324529010158E-5</v>
      </c>
      <c r="O11">
        <v>2.4234628970637636E-5</v>
      </c>
      <c r="P11">
        <v>2.0487109392400156E-5</v>
      </c>
      <c r="Q11">
        <v>2.462050306158017E-5</v>
      </c>
      <c r="R11">
        <v>2.4341500154583032E-5</v>
      </c>
      <c r="S11">
        <v>2.3493348417340643E-5</v>
      </c>
      <c r="T11">
        <v>2.0358785959990393E-5</v>
      </c>
      <c r="U11">
        <v>2.4668392676294579E-5</v>
      </c>
      <c r="V11">
        <v>2.1491097824565124E-5</v>
      </c>
      <c r="W11">
        <v>2.4659894069593333E-5</v>
      </c>
      <c r="X11">
        <v>2.5089493806350793E-5</v>
      </c>
      <c r="Y11">
        <v>2.5140456655847942E-5</v>
      </c>
      <c r="Z11">
        <v>2.3517905053605447E-5</v>
      </c>
      <c r="AA11">
        <v>2.5146327546429032E-5</v>
      </c>
      <c r="AB11">
        <v>2.4118209887799257E-5</v>
      </c>
      <c r="AC11">
        <v>2.390359392063453E-5</v>
      </c>
      <c r="AD11">
        <v>2.4190378514226114E-5</v>
      </c>
      <c r="AE11">
        <v>2.3341075043185749E-5</v>
      </c>
      <c r="AF11">
        <v>2.5156235835362108E-5</v>
      </c>
      <c r="AG11">
        <v>2.2883721761593933E-5</v>
      </c>
      <c r="AH11">
        <v>2.3220806491409772E-5</v>
      </c>
      <c r="AI11">
        <v>2.5026285998831152E-5</v>
      </c>
      <c r="AJ11">
        <v>2.3257122762786483E-5</v>
      </c>
      <c r="AK11">
        <v>2.4609129850611571E-5</v>
      </c>
      <c r="AL11">
        <v>2.431330122591092E-5</v>
      </c>
      <c r="AM11">
        <v>2.344508451811027E-5</v>
      </c>
      <c r="AN11">
        <v>2.4918731369094811E-5</v>
      </c>
      <c r="AO11">
        <v>2.4678082538282629E-5</v>
      </c>
      <c r="AP11">
        <v>2.3728138895253199E-5</v>
      </c>
      <c r="AQ11">
        <v>2.4589293455618297E-5</v>
      </c>
      <c r="AR11">
        <v>2.5069188144750922E-5</v>
      </c>
      <c r="AS11">
        <v>2.3952727394565842E-5</v>
      </c>
      <c r="AT11">
        <v>2.5076999810609797E-5</v>
      </c>
      <c r="AU11">
        <v>2.4855321863582592E-5</v>
      </c>
      <c r="AV11">
        <v>2.4292316351535331E-5</v>
      </c>
      <c r="AW11">
        <v>2.4520651093770928E-5</v>
      </c>
      <c r="AX11">
        <v>2.4257379021594609E-5</v>
      </c>
      <c r="AY11">
        <v>2.3817433554287638E-5</v>
      </c>
      <c r="AZ11">
        <v>2.4441423265050361E-5</v>
      </c>
      <c r="BA11">
        <v>2.4288303152896099E-5</v>
      </c>
      <c r="BB11">
        <v>2.4989983438785906E-5</v>
      </c>
      <c r="BC11">
        <v>2.487296820275843E-5</v>
      </c>
      <c r="BD11">
        <v>2.5019237692823373E-5</v>
      </c>
      <c r="BE11">
        <v>2.4333853253566352E-5</v>
      </c>
      <c r="BF11">
        <v>2.4776885449105023E-5</v>
      </c>
      <c r="BG11">
        <v>2.4327143145405512E-5</v>
      </c>
      <c r="BH11">
        <v>2.492877347784305E-5</v>
      </c>
      <c r="BI11">
        <v>2.4331824135341749E-5</v>
      </c>
      <c r="BJ11">
        <v>2.4518244414692286E-5</v>
      </c>
      <c r="BK11">
        <v>2.4903827081846711E-5</v>
      </c>
      <c r="BL11">
        <v>2.4404619600501032E-5</v>
      </c>
      <c r="BM11">
        <v>2.487568858268586E-5</v>
      </c>
      <c r="BN11">
        <v>2.4919416683429121E-5</v>
      </c>
      <c r="BO11">
        <v>2.4914608910822242E-5</v>
      </c>
      <c r="BP11">
        <v>2.4688982804516512E-5</v>
      </c>
      <c r="BQ11">
        <v>2.4650295123951108E-5</v>
      </c>
      <c r="BR11">
        <v>2.4692087208291309E-5</v>
      </c>
      <c r="BS11">
        <v>2.4570365601573071E-5</v>
      </c>
    </row>
    <row r="12" spans="1:71" x14ac:dyDescent="0.25">
      <c r="A12">
        <v>7.9924063766019244E-4</v>
      </c>
      <c r="B12">
        <v>7.9690655588714339E-4</v>
      </c>
      <c r="C12">
        <v>7.9464652219024957E-4</v>
      </c>
      <c r="D12">
        <v>7.9447127503486971E-4</v>
      </c>
      <c r="E12">
        <v>7.9741558505772026E-4</v>
      </c>
      <c r="F12">
        <v>7.9495855339988648E-4</v>
      </c>
      <c r="G12">
        <v>7.9624444793187984E-4</v>
      </c>
      <c r="H12">
        <v>7.9770347595232104E-4</v>
      </c>
      <c r="I12">
        <v>7.2071874155336501E-4</v>
      </c>
      <c r="J12">
        <v>8.2119988423722066E-4</v>
      </c>
      <c r="K12">
        <v>8.5223769924167557E-4</v>
      </c>
      <c r="L12">
        <v>8.4146639318205465E-4</v>
      </c>
      <c r="M12">
        <v>8.4341656272481731E-4</v>
      </c>
      <c r="N12">
        <v>8.690896723150234E-4</v>
      </c>
      <c r="O12">
        <v>8.7326828919137935E-4</v>
      </c>
      <c r="P12">
        <v>8.0266052863564379E-4</v>
      </c>
      <c r="Q12">
        <v>7.9551885686938691E-4</v>
      </c>
      <c r="R12">
        <v>8.7345877622891862E-4</v>
      </c>
      <c r="S12">
        <v>8.6478130061703649E-4</v>
      </c>
      <c r="T12">
        <v>7.9931991027662507E-4</v>
      </c>
      <c r="U12">
        <v>8.725517065395035E-4</v>
      </c>
      <c r="V12">
        <v>8.2643496765250784E-4</v>
      </c>
      <c r="W12">
        <v>8.7182200922977142E-4</v>
      </c>
      <c r="X12">
        <v>8.606478777671905E-4</v>
      </c>
      <c r="Y12">
        <v>8.6412555389320386E-4</v>
      </c>
      <c r="Z12">
        <v>8.6498904382103158E-4</v>
      </c>
      <c r="AA12">
        <v>8.5589850881306244E-4</v>
      </c>
      <c r="AB12">
        <v>8.7214422196410513E-4</v>
      </c>
      <c r="AC12">
        <v>8.6956115565211373E-4</v>
      </c>
      <c r="AD12">
        <v>8.7244443145209638E-4</v>
      </c>
      <c r="AE12">
        <v>8.6258615443353436E-4</v>
      </c>
      <c r="AF12">
        <v>8.5989247205524755E-4</v>
      </c>
      <c r="AG12">
        <v>8.5511947696615591E-4</v>
      </c>
      <c r="AH12">
        <v>8.60959086351449E-4</v>
      </c>
      <c r="AI12">
        <v>8.6605412329145441E-4</v>
      </c>
      <c r="AJ12">
        <v>8.6146788791743292E-4</v>
      </c>
      <c r="AK12">
        <v>8.7411597220542171E-4</v>
      </c>
      <c r="AL12">
        <v>8.7290362102711533E-4</v>
      </c>
      <c r="AM12">
        <v>8.6413261896397609E-4</v>
      </c>
      <c r="AN12">
        <v>8.7152771788417179E-4</v>
      </c>
      <c r="AO12">
        <v>8.7350156917677315E-4</v>
      </c>
      <c r="AP12">
        <v>8.6776236344572079E-4</v>
      </c>
      <c r="AQ12">
        <v>8.7395474180533897E-4</v>
      </c>
      <c r="AR12">
        <v>8.6782035862861752E-4</v>
      </c>
      <c r="AS12">
        <v>8.7022212987904635E-4</v>
      </c>
      <c r="AT12">
        <v>8.6698647098642557E-4</v>
      </c>
      <c r="AU12">
        <v>8.7195163523485619E-4</v>
      </c>
      <c r="AV12">
        <v>8.7328313736739251E-4</v>
      </c>
      <c r="AW12">
        <v>8.7355276326922103E-4</v>
      </c>
      <c r="AX12">
        <v>8.7265869664197133E-4</v>
      </c>
      <c r="AY12">
        <v>8.6886030348134113E-4</v>
      </c>
      <c r="AZ12">
        <v>8.735409278985307E-4</v>
      </c>
      <c r="BA12">
        <v>8.7309477391726484E-4</v>
      </c>
      <c r="BB12">
        <v>8.6961391247448593E-4</v>
      </c>
      <c r="BC12">
        <v>8.719047712217508E-4</v>
      </c>
      <c r="BD12">
        <v>8.6932957126668517E-4</v>
      </c>
      <c r="BE12">
        <v>8.7316275130095951E-4</v>
      </c>
      <c r="BF12">
        <v>8.7265648626913051E-4</v>
      </c>
      <c r="BG12">
        <v>8.7329331634830403E-4</v>
      </c>
      <c r="BH12">
        <v>8.7047461496755376E-4</v>
      </c>
      <c r="BI12">
        <v>8.7324888863402658E-4</v>
      </c>
      <c r="BJ12">
        <v>8.7351680199118133E-4</v>
      </c>
      <c r="BK12">
        <v>8.7075673300264337E-4</v>
      </c>
      <c r="BL12">
        <v>8.7365570177459653E-4</v>
      </c>
      <c r="BM12">
        <v>8.7195191643945496E-4</v>
      </c>
      <c r="BN12">
        <v>8.7121857754833716E-4</v>
      </c>
      <c r="BO12">
        <v>8.7134238908765532E-4</v>
      </c>
      <c r="BP12">
        <v>8.7352616972449315E-4</v>
      </c>
      <c r="BQ12">
        <v>8.7327827189512654E-4</v>
      </c>
      <c r="BR12">
        <v>8.7338457958554324E-4</v>
      </c>
      <c r="BS12">
        <v>8.7371992191889747E-4</v>
      </c>
    </row>
    <row r="13" spans="1:71" x14ac:dyDescent="0.25">
      <c r="A13">
        <v>2.2802703792486209E-4</v>
      </c>
      <c r="B13">
        <v>2.2646128440333653E-4</v>
      </c>
      <c r="C13">
        <v>2.2552015390116072E-4</v>
      </c>
      <c r="D13">
        <v>2.255151667502185E-4</v>
      </c>
      <c r="E13">
        <v>2.266988627090094E-4</v>
      </c>
      <c r="F13">
        <v>2.2540858810387985E-4</v>
      </c>
      <c r="G13">
        <v>2.26292269921535E-4</v>
      </c>
      <c r="H13">
        <v>2.2672118889987113E-4</v>
      </c>
      <c r="I13">
        <v>3.0256981936727909E-4</v>
      </c>
      <c r="J13">
        <v>2.4025337738359232E-4</v>
      </c>
      <c r="K13">
        <v>3.1010176503732485E-4</v>
      </c>
      <c r="L13">
        <v>2.5303909259773719E-4</v>
      </c>
      <c r="M13">
        <v>3.0992231580174485E-4</v>
      </c>
      <c r="N13">
        <v>2.8076717830276032E-4</v>
      </c>
      <c r="O13">
        <v>2.9692261530004841E-4</v>
      </c>
      <c r="P13">
        <v>3.124605401912971E-4</v>
      </c>
      <c r="Q13">
        <v>2.2552082344621515E-4</v>
      </c>
      <c r="R13">
        <v>2.9431143579846503E-4</v>
      </c>
      <c r="S13">
        <v>3.0389963803913905E-4</v>
      </c>
      <c r="T13">
        <v>3.1373935956765755E-4</v>
      </c>
      <c r="U13">
        <v>2.8776642174520512E-4</v>
      </c>
      <c r="V13">
        <v>3.1318721341247431E-4</v>
      </c>
      <c r="W13">
        <v>2.8675287714016398E-4</v>
      </c>
      <c r="X13">
        <v>2.6913802020775098E-4</v>
      </c>
      <c r="Y13">
        <v>2.7293223475372892E-4</v>
      </c>
      <c r="Z13">
        <v>3.0544195928663032E-4</v>
      </c>
      <c r="AA13">
        <v>2.6504982619261096E-4</v>
      </c>
      <c r="AB13">
        <v>2.9748952349981664E-4</v>
      </c>
      <c r="AC13">
        <v>2.9970977055341247E-4</v>
      </c>
      <c r="AD13">
        <v>2.9770775212188173E-4</v>
      </c>
      <c r="AE13">
        <v>3.0669535474153585E-4</v>
      </c>
      <c r="AF13">
        <v>2.6846107811756E-4</v>
      </c>
      <c r="AG13">
        <v>3.0825865345491036E-4</v>
      </c>
      <c r="AH13">
        <v>3.0665967555237937E-4</v>
      </c>
      <c r="AI13">
        <v>2.7554566029350925E-4</v>
      </c>
      <c r="AJ13">
        <v>3.0709460155022407E-4</v>
      </c>
      <c r="AK13">
        <v>2.908313512193782E-4</v>
      </c>
      <c r="AL13">
        <v>2.9511970293036251E-4</v>
      </c>
      <c r="AM13">
        <v>3.0475627163097823E-4</v>
      </c>
      <c r="AN13">
        <v>2.8302990657539328E-4</v>
      </c>
      <c r="AO13">
        <v>2.8900360531986977E-4</v>
      </c>
      <c r="AP13">
        <v>3.0179196638841806E-4</v>
      </c>
      <c r="AQ13">
        <v>2.9121796986655206E-4</v>
      </c>
      <c r="AR13">
        <v>2.7715853834892388E-4</v>
      </c>
      <c r="AS13">
        <v>2.9950483198908442E-4</v>
      </c>
      <c r="AT13">
        <v>2.7612121506145106E-4</v>
      </c>
      <c r="AU13">
        <v>2.842749771442776E-4</v>
      </c>
      <c r="AV13">
        <v>2.9647760297534572E-4</v>
      </c>
      <c r="AW13">
        <v>2.9159138220592225E-4</v>
      </c>
      <c r="AX13">
        <v>2.9559660838399061E-4</v>
      </c>
      <c r="AY13">
        <v>3.0119985757447334E-4</v>
      </c>
      <c r="AZ13">
        <v>2.931856773397385E-4</v>
      </c>
      <c r="BA13">
        <v>2.9609433469230827E-4</v>
      </c>
      <c r="BB13">
        <v>2.7986534544630369E-4</v>
      </c>
      <c r="BC13">
        <v>2.8402555984839429E-4</v>
      </c>
      <c r="BD13">
        <v>2.7922192702665554E-4</v>
      </c>
      <c r="BE13">
        <v>2.9513860874569531E-4</v>
      </c>
      <c r="BF13">
        <v>2.860317992957739E-4</v>
      </c>
      <c r="BG13">
        <v>2.9567486750815564E-4</v>
      </c>
      <c r="BH13">
        <v>2.8140166111728947E-4</v>
      </c>
      <c r="BI13">
        <v>2.9519333534999096E-4</v>
      </c>
      <c r="BJ13">
        <v>2.9165065501569041E-4</v>
      </c>
      <c r="BK13">
        <v>2.820568876458921E-4</v>
      </c>
      <c r="BL13">
        <v>2.9442716326086765E-4</v>
      </c>
      <c r="BM13">
        <v>2.8395638121016573E-4</v>
      </c>
      <c r="BN13">
        <v>2.8258054596051648E-4</v>
      </c>
      <c r="BO13">
        <v>2.8273549005163897E-4</v>
      </c>
      <c r="BP13">
        <v>2.887773496548817E-4</v>
      </c>
      <c r="BQ13">
        <v>2.8895143529805017E-4</v>
      </c>
      <c r="BR13">
        <v>2.8848155023580998E-4</v>
      </c>
      <c r="BS13">
        <v>2.9109365389801806E-4</v>
      </c>
    </row>
    <row r="14" spans="1:71" x14ac:dyDescent="0.25">
      <c r="A14">
        <v>6.6131730586622356E-3</v>
      </c>
      <c r="B14">
        <v>6.6068730584843876E-3</v>
      </c>
      <c r="C14">
        <v>6.5960229042522746E-3</v>
      </c>
      <c r="D14">
        <v>6.5924536591291877E-3</v>
      </c>
      <c r="E14">
        <v>6.6095693609967057E-3</v>
      </c>
      <c r="F14">
        <v>6.5989441595372357E-3</v>
      </c>
      <c r="G14">
        <v>6.6037545833758354E-3</v>
      </c>
      <c r="H14">
        <v>6.6086335060775445E-3</v>
      </c>
      <c r="I14">
        <v>9.1303820307938946E-3</v>
      </c>
      <c r="J14">
        <v>7.0218864252909012E-3</v>
      </c>
      <c r="K14">
        <v>9.2092519409219965E-3</v>
      </c>
      <c r="L14">
        <v>7.4132216164056559E-3</v>
      </c>
      <c r="M14">
        <v>9.2515356526507112E-3</v>
      </c>
      <c r="N14">
        <v>8.3126956195475627E-3</v>
      </c>
      <c r="O14">
        <v>8.797256865777342E-3</v>
      </c>
      <c r="P14">
        <v>9.3459731706334072E-3</v>
      </c>
      <c r="Q14">
        <v>6.615465639054993E-3</v>
      </c>
      <c r="R14">
        <v>8.7242747267231129E-3</v>
      </c>
      <c r="S14">
        <v>9.0336273649892461E-3</v>
      </c>
      <c r="T14">
        <v>9.3543459018617086E-3</v>
      </c>
      <c r="U14">
        <v>8.5214577634078817E-3</v>
      </c>
      <c r="V14">
        <v>9.3306566651285318E-3</v>
      </c>
      <c r="W14">
        <v>8.4947691585773692E-3</v>
      </c>
      <c r="X14">
        <v>7.9436730842481693E-3</v>
      </c>
      <c r="Y14">
        <v>8.041550699813528E-3</v>
      </c>
      <c r="Z14">
        <v>9.0577877261317531E-3</v>
      </c>
      <c r="AA14">
        <v>7.8171316549835237E-3</v>
      </c>
      <c r="AB14">
        <v>8.823623628588741E-3</v>
      </c>
      <c r="AC14">
        <v>8.9007122890104474E-3</v>
      </c>
      <c r="AD14">
        <v>8.8176883620557974E-3</v>
      </c>
      <c r="AE14">
        <v>9.1012319625308601E-3</v>
      </c>
      <c r="AF14">
        <v>7.9124951761986272E-3</v>
      </c>
      <c r="AG14">
        <v>9.174105178567267E-3</v>
      </c>
      <c r="AH14">
        <v>9.1146908182462936E-3</v>
      </c>
      <c r="AI14">
        <v>8.1366797491422508E-3</v>
      </c>
      <c r="AJ14">
        <v>9.1159451686332552E-3</v>
      </c>
      <c r="AK14">
        <v>8.6003834873225344E-3</v>
      </c>
      <c r="AL14">
        <v>8.7452717863689862E-3</v>
      </c>
      <c r="AM14">
        <v>9.0569255761012938E-3</v>
      </c>
      <c r="AN14">
        <v>8.3535736396538173E-3</v>
      </c>
      <c r="AO14">
        <v>8.5443890962102666E-3</v>
      </c>
      <c r="AP14">
        <v>8.9649815613965077E-3</v>
      </c>
      <c r="AQ14">
        <v>8.6108576204841306E-3</v>
      </c>
      <c r="AR14">
        <v>8.1738635445020979E-3</v>
      </c>
      <c r="AS14">
        <v>8.8921391693968788E-3</v>
      </c>
      <c r="AT14">
        <v>8.1426129442536896E-3</v>
      </c>
      <c r="AU14">
        <v>8.3987853681698546E-3</v>
      </c>
      <c r="AV14">
        <v>8.7769724124576419E-3</v>
      </c>
      <c r="AW14">
        <v>8.6317655440714541E-3</v>
      </c>
      <c r="AX14">
        <v>8.7638733158466476E-3</v>
      </c>
      <c r="AY14">
        <v>8.9417292943945858E-3</v>
      </c>
      <c r="AZ14">
        <v>8.6818964715278408E-3</v>
      </c>
      <c r="BA14">
        <v>8.7702483328313818E-3</v>
      </c>
      <c r="BB14">
        <v>8.2595464186919834E-3</v>
      </c>
      <c r="BC14">
        <v>8.3881699511843214E-3</v>
      </c>
      <c r="BD14">
        <v>8.2373340973676216E-3</v>
      </c>
      <c r="BE14">
        <v>8.7417259235726703E-3</v>
      </c>
      <c r="BF14">
        <v>8.4566337076650133E-3</v>
      </c>
      <c r="BG14">
        <v>8.7545656182116023E-3</v>
      </c>
      <c r="BH14">
        <v>8.3121988073341299E-3</v>
      </c>
      <c r="BI14">
        <v>8.7425103534648132E-3</v>
      </c>
      <c r="BJ14">
        <v>8.6340557792078578E-3</v>
      </c>
      <c r="BK14">
        <v>8.3337933008016431E-3</v>
      </c>
      <c r="BL14">
        <v>8.7146953353985195E-3</v>
      </c>
      <c r="BM14">
        <v>8.386245223823743E-3</v>
      </c>
      <c r="BN14">
        <v>8.3437108135961217E-3</v>
      </c>
      <c r="BO14">
        <v>8.348216377787876E-3</v>
      </c>
      <c r="BP14">
        <v>8.5376510754909245E-3</v>
      </c>
      <c r="BQ14">
        <v>8.5491089228338108E-3</v>
      </c>
      <c r="BR14">
        <v>8.5301918164332191E-3</v>
      </c>
      <c r="BS14">
        <v>8.6125096448532827E-3</v>
      </c>
    </row>
    <row r="15" spans="1:71" x14ac:dyDescent="0.25">
      <c r="A15">
        <v>1.3139099261902929E-5</v>
      </c>
      <c r="B15">
        <v>1.3042645983529389E-5</v>
      </c>
      <c r="C15">
        <v>1.3009152356270975E-5</v>
      </c>
      <c r="D15">
        <v>1.3041547122068207E-5</v>
      </c>
      <c r="E15">
        <v>1.3041000489932274E-5</v>
      </c>
      <c r="F15">
        <v>1.2987482667633837E-5</v>
      </c>
      <c r="G15">
        <v>1.3040750175186819E-5</v>
      </c>
      <c r="H15">
        <v>1.3062615877905792E-5</v>
      </c>
      <c r="I15">
        <v>3.1668257683834701E-5</v>
      </c>
      <c r="J15">
        <v>1.4505536451320198E-5</v>
      </c>
      <c r="K15">
        <v>2.6044558155454147E-5</v>
      </c>
      <c r="L15">
        <v>1.59054748212199E-5</v>
      </c>
      <c r="M15">
        <v>2.6514432144220189E-5</v>
      </c>
      <c r="N15">
        <v>1.9746837646551392E-5</v>
      </c>
      <c r="O15">
        <v>2.252138118705844E-5</v>
      </c>
      <c r="P15">
        <v>2.9121765431885044E-5</v>
      </c>
      <c r="Q15">
        <v>1.3002457907987336E-5</v>
      </c>
      <c r="R15">
        <v>2.2004370106047028E-5</v>
      </c>
      <c r="S15">
        <v>2.4233277704430171E-5</v>
      </c>
      <c r="T15">
        <v>2.9476001917126374E-5</v>
      </c>
      <c r="U15">
        <v>2.0884216076157267E-5</v>
      </c>
      <c r="V15">
        <v>2.7977664212246341E-5</v>
      </c>
      <c r="W15">
        <v>2.0733498263610384E-5</v>
      </c>
      <c r="X15">
        <v>1.7997259047354711E-5</v>
      </c>
      <c r="Y15">
        <v>1.8530426031627162E-5</v>
      </c>
      <c r="Z15">
        <v>2.450968498817217E-5</v>
      </c>
      <c r="AA15">
        <v>1.7488581434282308E-5</v>
      </c>
      <c r="AB15">
        <v>2.2674011864916469E-5</v>
      </c>
      <c r="AC15">
        <v>2.3229914770760233E-5</v>
      </c>
      <c r="AD15">
        <v>2.2721697564569016E-5</v>
      </c>
      <c r="AE15">
        <v>2.486882798983295E-5</v>
      </c>
      <c r="AF15">
        <v>1.7915274663109985E-5</v>
      </c>
      <c r="AG15">
        <v>2.5567793743148168E-5</v>
      </c>
      <c r="AH15">
        <v>2.4938259811516171E-5</v>
      </c>
      <c r="AI15">
        <v>1.892227889951831E-5</v>
      </c>
      <c r="AJ15">
        <v>2.4984556769866546E-5</v>
      </c>
      <c r="AK15">
        <v>2.1331596484075277E-5</v>
      </c>
      <c r="AL15">
        <v>2.2219047017436679E-5</v>
      </c>
      <c r="AM15">
        <v>2.4444505722936335E-5</v>
      </c>
      <c r="AN15">
        <v>2.0024450008643949E-5</v>
      </c>
      <c r="AO15">
        <v>2.1031481866671397E-5</v>
      </c>
      <c r="AP15">
        <v>2.3707416901990847E-5</v>
      </c>
      <c r="AQ15">
        <v>2.1428693343657456E-5</v>
      </c>
      <c r="AR15">
        <v>1.9126666824698059E-5</v>
      </c>
      <c r="AS15">
        <v>2.316875392190045E-5</v>
      </c>
      <c r="AT15">
        <v>1.8980363339740373E-5</v>
      </c>
      <c r="AU15">
        <v>2.0244126458851787E-5</v>
      </c>
      <c r="AV15">
        <v>2.2431393725625239E-5</v>
      </c>
      <c r="AW15">
        <v>2.1522550208996621E-5</v>
      </c>
      <c r="AX15">
        <v>2.2309268124895051E-5</v>
      </c>
      <c r="AY15">
        <v>2.354965230426685E-5</v>
      </c>
      <c r="AZ15">
        <v>2.1820947105662073E-5</v>
      </c>
      <c r="BA15">
        <v>2.237568680681572E-5</v>
      </c>
      <c r="BB15">
        <v>1.954556053806005E-5</v>
      </c>
      <c r="BC15">
        <v>2.0202226098812135E-5</v>
      </c>
      <c r="BD15">
        <v>1.9430636770046734E-5</v>
      </c>
      <c r="BE15">
        <v>2.2198348816810841E-5</v>
      </c>
      <c r="BF15">
        <v>2.0533309328263448E-5</v>
      </c>
      <c r="BG15">
        <v>2.2290128015171036E-5</v>
      </c>
      <c r="BH15">
        <v>1.9787319958600083E-5</v>
      </c>
      <c r="BI15">
        <v>2.2200994351606507E-5</v>
      </c>
      <c r="BJ15">
        <v>2.1535018777664495E-5</v>
      </c>
      <c r="BK15">
        <v>1.9899959544731697E-5</v>
      </c>
      <c r="BL15">
        <v>2.2036358233580167E-5</v>
      </c>
      <c r="BM15">
        <v>2.0180606212125488E-5</v>
      </c>
      <c r="BN15">
        <v>1.996774743368149E-5</v>
      </c>
      <c r="BO15">
        <v>1.9986997950020097E-5</v>
      </c>
      <c r="BP15">
        <v>2.0999080379208077E-5</v>
      </c>
      <c r="BQ15">
        <v>2.1050712045842857E-5</v>
      </c>
      <c r="BR15">
        <v>2.0952864595250007E-5</v>
      </c>
      <c r="BS15">
        <v>2.1420726250444557E-5</v>
      </c>
    </row>
    <row r="16" spans="1:71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8</v>
      </c>
    </row>
    <row r="2" spans="1:15" x14ac:dyDescent="0.25">
      <c r="A2">
        <f t="array" ref="A2:O16">MMULT('Matrix (R)^t'!$A$2:$BS$16,'Matrix (R)'!$B$2:$P$72)</f>
        <v>1.5687643613335116</v>
      </c>
      <c r="B2">
        <v>1.7516612971397254E-4</v>
      </c>
      <c r="C2">
        <v>1.3358124912959788E-2</v>
      </c>
      <c r="D2">
        <v>1.4358434298363237E-3</v>
      </c>
      <c r="E2">
        <v>1.8474163369246236E-2</v>
      </c>
      <c r="F2">
        <v>3.6674123676957282E-4</v>
      </c>
      <c r="G2">
        <v>3.8286910141873055E-2</v>
      </c>
      <c r="H2">
        <v>2.1438353145083926E-5</v>
      </c>
      <c r="I2">
        <v>1.1934626279843345E-2</v>
      </c>
      <c r="J2">
        <v>2.3691444352819859E-4</v>
      </c>
      <c r="K2">
        <v>8.5006191433716471E-3</v>
      </c>
      <c r="L2">
        <v>2.8866702435078428E-3</v>
      </c>
      <c r="M2">
        <v>8.5539024914447051E-2</v>
      </c>
      <c r="N2">
        <v>2.2112989790580074E-4</v>
      </c>
      <c r="O2">
        <v>9.9503545419022785</v>
      </c>
    </row>
    <row r="3" spans="1:15" x14ac:dyDescent="0.25">
      <c r="A3">
        <v>1.7516612971397254E-4</v>
      </c>
      <c r="B3">
        <v>2.0850173983420942E-8</v>
      </c>
      <c r="C3">
        <v>1.6443629015765688E-6</v>
      </c>
      <c r="D3">
        <v>1.6795409898749431E-7</v>
      </c>
      <c r="E3">
        <v>2.2732072247304893E-6</v>
      </c>
      <c r="F3">
        <v>4.1087361532902436E-8</v>
      </c>
      <c r="G3">
        <v>4.5345574162130909E-6</v>
      </c>
      <c r="H3">
        <v>2.4427719363677699E-9</v>
      </c>
      <c r="I3">
        <v>1.3904427017810134E-6</v>
      </c>
      <c r="J3">
        <v>2.9193834354123038E-8</v>
      </c>
      <c r="K3">
        <v>1.0353526765331121E-6</v>
      </c>
      <c r="L3">
        <v>3.4507366550276118E-7</v>
      </c>
      <c r="M3">
        <v>1.0211115886187578E-5</v>
      </c>
      <c r="N3">
        <v>2.5677206705738132E-8</v>
      </c>
      <c r="O3">
        <v>1.210112436757939E-3</v>
      </c>
    </row>
    <row r="4" spans="1:15" x14ac:dyDescent="0.25">
      <c r="A4">
        <v>1.3358124912959788E-2</v>
      </c>
      <c r="B4">
        <v>1.6443629015765688E-6</v>
      </c>
      <c r="C4">
        <v>1.3209743187830633E-4</v>
      </c>
      <c r="D4">
        <v>1.3122400340484746E-5</v>
      </c>
      <c r="E4">
        <v>1.8257357100785843E-4</v>
      </c>
      <c r="F4">
        <v>3.138712246814425E-6</v>
      </c>
      <c r="G4">
        <v>3.5665505215716855E-4</v>
      </c>
      <c r="H4">
        <v>1.8824166879109969E-7</v>
      </c>
      <c r="I4">
        <v>1.0840578708825598E-4</v>
      </c>
      <c r="J4">
        <v>2.3466091027576882E-6</v>
      </c>
      <c r="K4">
        <v>8.268513226166001E-5</v>
      </c>
      <c r="L4">
        <v>2.7277642352492577E-5</v>
      </c>
      <c r="M4">
        <v>8.0655580035451479E-4</v>
      </c>
      <c r="N4">
        <v>1.9984012569125197E-6</v>
      </c>
      <c r="O4">
        <v>9.6727814927731984E-2</v>
      </c>
    </row>
    <row r="5" spans="1:15" x14ac:dyDescent="0.25">
      <c r="A5">
        <v>1.4358434298363237E-3</v>
      </c>
      <c r="B5">
        <v>1.6795409898749431E-7</v>
      </c>
      <c r="C5">
        <v>1.3122400340484746E-5</v>
      </c>
      <c r="D5">
        <v>1.3594351060189906E-6</v>
      </c>
      <c r="E5">
        <v>1.814279775875906E-5</v>
      </c>
      <c r="F5">
        <v>3.3648961705156351E-7</v>
      </c>
      <c r="G5">
        <v>3.6577730385433143E-5</v>
      </c>
      <c r="H5">
        <v>1.9913996140457403E-8</v>
      </c>
      <c r="I5">
        <v>1.1266710622527382E-5</v>
      </c>
      <c r="J5">
        <v>2.3290547735185726E-7</v>
      </c>
      <c r="K5">
        <v>8.2869798694856694E-6</v>
      </c>
      <c r="L5">
        <v>2.7763797726147288E-6</v>
      </c>
      <c r="M5">
        <v>8.2188239013050867E-5</v>
      </c>
      <c r="N5">
        <v>2.0825097936519413E-7</v>
      </c>
      <c r="O5">
        <v>9.6856780063332114E-3</v>
      </c>
    </row>
    <row r="6" spans="1:15" x14ac:dyDescent="0.25">
      <c r="A6">
        <v>1.8474163369246236E-2</v>
      </c>
      <c r="B6">
        <v>2.2732072247304893E-6</v>
      </c>
      <c r="C6">
        <v>1.8257357100785843E-4</v>
      </c>
      <c r="D6">
        <v>1.814279775875906E-5</v>
      </c>
      <c r="E6">
        <v>2.5233803348222557E-4</v>
      </c>
      <c r="F6">
        <v>4.3407189080973192E-6</v>
      </c>
      <c r="G6">
        <v>4.9306490897260572E-4</v>
      </c>
      <c r="H6">
        <v>2.6030352920524525E-7</v>
      </c>
      <c r="I6">
        <v>1.4988384832699555E-4</v>
      </c>
      <c r="J6">
        <v>3.2432566871243114E-6</v>
      </c>
      <c r="K6">
        <v>1.142883911907345E-4</v>
      </c>
      <c r="L6">
        <v>3.7708202496044196E-5</v>
      </c>
      <c r="M6">
        <v>1.1149808837214658E-3</v>
      </c>
      <c r="N6">
        <v>2.7630861871570397E-6</v>
      </c>
      <c r="O6">
        <v>0.13369647183094754</v>
      </c>
    </row>
    <row r="7" spans="1:15" x14ac:dyDescent="0.25">
      <c r="A7">
        <v>3.6674123676957282E-4</v>
      </c>
      <c r="B7">
        <v>4.1087361532902436E-8</v>
      </c>
      <c r="C7">
        <v>3.138712246814425E-6</v>
      </c>
      <c r="D7">
        <v>3.3648961705156351E-7</v>
      </c>
      <c r="E7">
        <v>4.3407189080973192E-6</v>
      </c>
      <c r="F7">
        <v>8.5750967442316632E-8</v>
      </c>
      <c r="G7">
        <v>8.978335590050555E-6</v>
      </c>
      <c r="H7">
        <v>5.017174340342834E-9</v>
      </c>
      <c r="I7">
        <v>2.7962942969498829E-6</v>
      </c>
      <c r="J7">
        <v>5.5669880313767946E-8</v>
      </c>
      <c r="K7">
        <v>1.9962799311729074E-6</v>
      </c>
      <c r="L7">
        <v>6.7725318495161893E-7</v>
      </c>
      <c r="M7">
        <v>2.0067203324012133E-5</v>
      </c>
      <c r="N7">
        <v>5.1801940121903219E-8</v>
      </c>
      <c r="O7">
        <v>2.3363260755753261E-3</v>
      </c>
    </row>
    <row r="8" spans="1:15" x14ac:dyDescent="0.25">
      <c r="A8">
        <v>3.8286910141873055E-2</v>
      </c>
      <c r="B8">
        <v>4.5345574162130909E-6</v>
      </c>
      <c r="C8">
        <v>3.5665505215716855E-4</v>
      </c>
      <c r="D8">
        <v>3.6577730385433143E-5</v>
      </c>
      <c r="E8">
        <v>4.9306490897260572E-4</v>
      </c>
      <c r="F8">
        <v>8.978335590050555E-6</v>
      </c>
      <c r="G8">
        <v>9.8658236106964983E-4</v>
      </c>
      <c r="H8">
        <v>5.3309111943292817E-7</v>
      </c>
      <c r="I8">
        <v>3.0291185501173221E-4</v>
      </c>
      <c r="J8">
        <v>6.3314777227960167E-6</v>
      </c>
      <c r="K8">
        <v>2.2475683790419603E-4</v>
      </c>
      <c r="L8">
        <v>7.5022028870591628E-5</v>
      </c>
      <c r="M8">
        <v>2.2202357925297442E-3</v>
      </c>
      <c r="N8">
        <v>5.5953148896283355E-6</v>
      </c>
      <c r="O8">
        <v>0.26268467442986976</v>
      </c>
    </row>
    <row r="9" spans="1:15" x14ac:dyDescent="0.25">
      <c r="A9">
        <v>2.1438353145083926E-5</v>
      </c>
      <c r="B9">
        <v>2.4427719363677699E-9</v>
      </c>
      <c r="C9">
        <v>1.8824166879109969E-7</v>
      </c>
      <c r="D9">
        <v>1.9913996140457403E-8</v>
      </c>
      <c r="E9">
        <v>2.6030352920524525E-7</v>
      </c>
      <c r="F9">
        <v>5.017174340342834E-9</v>
      </c>
      <c r="G9">
        <v>5.3309111943292817E-7</v>
      </c>
      <c r="H9">
        <v>2.9487389911165418E-10</v>
      </c>
      <c r="I9">
        <v>1.6531522635293427E-7</v>
      </c>
      <c r="J9">
        <v>3.3396458593186839E-9</v>
      </c>
      <c r="K9">
        <v>1.1939673961710776E-7</v>
      </c>
      <c r="L9">
        <v>4.0309726894357486E-8</v>
      </c>
      <c r="M9">
        <v>1.1939530972144043E-6</v>
      </c>
      <c r="N9">
        <v>3.0598157127870391E-9</v>
      </c>
      <c r="O9">
        <v>1.3963213872249732E-4</v>
      </c>
    </row>
    <row r="10" spans="1:15" x14ac:dyDescent="0.25">
      <c r="A10">
        <v>1.1934626279843345E-2</v>
      </c>
      <c r="B10">
        <v>1.3904427017810134E-6</v>
      </c>
      <c r="C10">
        <v>1.0840578708825598E-4</v>
      </c>
      <c r="D10">
        <v>1.1266710622527382E-5</v>
      </c>
      <c r="E10">
        <v>1.4988384832699555E-4</v>
      </c>
      <c r="F10">
        <v>2.7962942969498829E-6</v>
      </c>
      <c r="G10">
        <v>3.0291185501173221E-4</v>
      </c>
      <c r="H10">
        <v>1.6531522635293427E-7</v>
      </c>
      <c r="I10">
        <v>9.3399852663959924E-5</v>
      </c>
      <c r="J10">
        <v>1.923939657916411E-6</v>
      </c>
      <c r="K10">
        <v>6.8505874909553628E-5</v>
      </c>
      <c r="L10">
        <v>2.2978638907943352E-5</v>
      </c>
      <c r="M10">
        <v>6.8028739370333817E-4</v>
      </c>
      <c r="N10">
        <v>1.7267389601778936E-6</v>
      </c>
      <c r="O10">
        <v>8.00724278524792E-2</v>
      </c>
    </row>
    <row r="11" spans="1:15" x14ac:dyDescent="0.25">
      <c r="A11">
        <v>2.3691444352819859E-4</v>
      </c>
      <c r="B11">
        <v>2.9193834354123038E-8</v>
      </c>
      <c r="C11">
        <v>2.3466091027576882E-6</v>
      </c>
      <c r="D11">
        <v>2.3290547735185726E-7</v>
      </c>
      <c r="E11">
        <v>3.2432566871243114E-6</v>
      </c>
      <c r="F11">
        <v>5.5669880313767946E-8</v>
      </c>
      <c r="G11">
        <v>6.3314777227960167E-6</v>
      </c>
      <c r="H11">
        <v>3.3396458593186839E-9</v>
      </c>
      <c r="I11">
        <v>1.923939657916411E-6</v>
      </c>
      <c r="J11">
        <v>4.1686584675938209E-8</v>
      </c>
      <c r="K11">
        <v>1.4685616642833447E-6</v>
      </c>
      <c r="L11">
        <v>4.843193820915529E-7</v>
      </c>
      <c r="M11">
        <v>1.4320161118878671E-5</v>
      </c>
      <c r="N11">
        <v>3.5464849511982979E-8</v>
      </c>
      <c r="O11">
        <v>1.7180694335387835E-3</v>
      </c>
    </row>
    <row r="12" spans="1:15" x14ac:dyDescent="0.25">
      <c r="A12">
        <v>8.5006191433716471E-3</v>
      </c>
      <c r="B12">
        <v>1.0353526765331121E-6</v>
      </c>
      <c r="C12">
        <v>8.268513226166001E-5</v>
      </c>
      <c r="D12">
        <v>8.2869798694856694E-6</v>
      </c>
      <c r="E12">
        <v>1.142883911907345E-4</v>
      </c>
      <c r="F12">
        <v>1.9962799311729074E-6</v>
      </c>
      <c r="G12">
        <v>2.2475683790419603E-4</v>
      </c>
      <c r="H12">
        <v>1.1939673961710776E-7</v>
      </c>
      <c r="I12">
        <v>6.8505874909553628E-5</v>
      </c>
      <c r="J12">
        <v>1.4685616642833447E-6</v>
      </c>
      <c r="K12">
        <v>5.1853604176056976E-5</v>
      </c>
      <c r="L12">
        <v>1.7162343555052401E-5</v>
      </c>
      <c r="M12">
        <v>5.0758794154549542E-4</v>
      </c>
      <c r="N12">
        <v>1.2635726359754628E-6</v>
      </c>
      <c r="O12">
        <v>6.0635327523251258E-2</v>
      </c>
    </row>
    <row r="13" spans="1:15" x14ac:dyDescent="0.25">
      <c r="A13">
        <v>2.8866702435078428E-3</v>
      </c>
      <c r="B13">
        <v>3.4507366550276118E-7</v>
      </c>
      <c r="C13">
        <v>2.7277642352492577E-5</v>
      </c>
      <c r="D13">
        <v>2.7763797726147288E-6</v>
      </c>
      <c r="E13">
        <v>3.7708202496044196E-5</v>
      </c>
      <c r="F13">
        <v>6.7725318495161893E-7</v>
      </c>
      <c r="G13">
        <v>7.5022028870591628E-5</v>
      </c>
      <c r="H13">
        <v>4.0309726894357486E-8</v>
      </c>
      <c r="I13">
        <v>2.2978638907943352E-5</v>
      </c>
      <c r="J13">
        <v>4.843193820915529E-7</v>
      </c>
      <c r="K13">
        <v>1.7162343555052401E-5</v>
      </c>
      <c r="L13">
        <v>5.7126935501394844E-6</v>
      </c>
      <c r="M13">
        <v>1.6902868200697501E-4</v>
      </c>
      <c r="N13">
        <v>4.2425012255857749E-7</v>
      </c>
      <c r="O13">
        <v>2.0060263152287188E-2</v>
      </c>
    </row>
    <row r="14" spans="1:15" x14ac:dyDescent="0.25">
      <c r="A14">
        <v>8.5539024914447051E-2</v>
      </c>
      <c r="B14">
        <v>1.0211115886187578E-5</v>
      </c>
      <c r="C14">
        <v>8.0655580035451479E-4</v>
      </c>
      <c r="D14">
        <v>8.2188239013050867E-5</v>
      </c>
      <c r="E14">
        <v>1.1149808837214658E-3</v>
      </c>
      <c r="F14">
        <v>2.0067203324012133E-5</v>
      </c>
      <c r="G14">
        <v>2.2202357925297442E-3</v>
      </c>
      <c r="H14">
        <v>1.1939530972144043E-6</v>
      </c>
      <c r="I14">
        <v>6.8028739370333817E-4</v>
      </c>
      <c r="J14">
        <v>1.4320161118878671E-5</v>
      </c>
      <c r="K14">
        <v>5.0758794154549542E-4</v>
      </c>
      <c r="L14">
        <v>1.6902868200697501E-4</v>
      </c>
      <c r="M14">
        <v>5.0014362676259654E-3</v>
      </c>
      <c r="N14">
        <v>1.2560930745247965E-5</v>
      </c>
      <c r="O14">
        <v>0.59327667266313855</v>
      </c>
    </row>
    <row r="15" spans="1:15" x14ac:dyDescent="0.25">
      <c r="A15">
        <v>2.2112989790580074E-4</v>
      </c>
      <c r="B15">
        <v>2.5677206705738132E-8</v>
      </c>
      <c r="C15">
        <v>1.9984012569125197E-6</v>
      </c>
      <c r="D15">
        <v>2.0825097936519413E-7</v>
      </c>
      <c r="E15">
        <v>2.7630861871570397E-6</v>
      </c>
      <c r="F15">
        <v>5.1801940121903219E-8</v>
      </c>
      <c r="G15">
        <v>5.5953148896283355E-6</v>
      </c>
      <c r="H15">
        <v>3.0598157127870391E-9</v>
      </c>
      <c r="I15">
        <v>1.7267389601778936E-6</v>
      </c>
      <c r="J15">
        <v>3.5464849511982979E-8</v>
      </c>
      <c r="K15">
        <v>1.2635726359754628E-6</v>
      </c>
      <c r="L15">
        <v>4.2425012255857749E-7</v>
      </c>
      <c r="M15">
        <v>1.2560930745247965E-5</v>
      </c>
      <c r="N15">
        <v>3.1928784550559079E-8</v>
      </c>
      <c r="O15">
        <v>1.4769877866890378E-3</v>
      </c>
    </row>
    <row r="16" spans="1:15" x14ac:dyDescent="0.25">
      <c r="A16">
        <v>9.9503545419022785</v>
      </c>
      <c r="B16">
        <v>1.210112436757939E-3</v>
      </c>
      <c r="C16">
        <v>9.6727814927731984E-2</v>
      </c>
      <c r="D16">
        <v>9.6856780063332114E-3</v>
      </c>
      <c r="E16">
        <v>0.13369647183094754</v>
      </c>
      <c r="F16">
        <v>2.3363260755753261E-3</v>
      </c>
      <c r="G16">
        <v>0.26268467442986976</v>
      </c>
      <c r="H16">
        <v>1.3963213872249732E-4</v>
      </c>
      <c r="I16">
        <v>8.00724278524792E-2</v>
      </c>
      <c r="J16">
        <v>1.7180694335387835E-3</v>
      </c>
      <c r="K16">
        <v>6.0635327523251258E-2</v>
      </c>
      <c r="L16">
        <v>2.0060263152287188E-2</v>
      </c>
      <c r="M16">
        <v>0.59327667266313855</v>
      </c>
      <c r="N16">
        <v>1.4769877866890378E-3</v>
      </c>
      <c r="O16">
        <v>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9</v>
      </c>
    </row>
    <row r="2" spans="1:15" x14ac:dyDescent="0.25">
      <c r="A2">
        <f t="array" ref="A2:O16">MINVERSE('Matrix (R)^t.(R)'!$A$2:$O$16)</f>
        <v>292538712.03490329</v>
      </c>
      <c r="B2">
        <v>-3741345627593.8452</v>
      </c>
      <c r="C2">
        <v>79291023519.47496</v>
      </c>
      <c r="D2">
        <v>1057455100904.9943</v>
      </c>
      <c r="E2">
        <v>13933371661.938158</v>
      </c>
      <c r="F2">
        <v>-1582699273360.1184</v>
      </c>
      <c r="G2">
        <v>80010219633.513138</v>
      </c>
      <c r="H2">
        <v>32273802027856.867</v>
      </c>
      <c r="I2">
        <v>134653536889.75645</v>
      </c>
      <c r="J2">
        <v>-2235098710859.0474</v>
      </c>
      <c r="K2">
        <v>-103498924002.3662</v>
      </c>
      <c r="L2">
        <v>-848957822.56566966</v>
      </c>
      <c r="M2">
        <v>-21579203882.939537</v>
      </c>
      <c r="N2">
        <v>-18553235852006.027</v>
      </c>
      <c r="O2">
        <v>-6031126.3466652995</v>
      </c>
    </row>
    <row r="3" spans="1:15" x14ac:dyDescent="0.25">
      <c r="A3">
        <v>-3741365376229.1357</v>
      </c>
      <c r="B3">
        <v>2.5863182391844205E+17</v>
      </c>
      <c r="C3">
        <v>-2350376341356465.5</v>
      </c>
      <c r="D3">
        <v>-1.1439295043167976E+16</v>
      </c>
      <c r="E3">
        <v>-244160181806317.5</v>
      </c>
      <c r="F3">
        <v>1.755693217002576E+16</v>
      </c>
      <c r="G3">
        <v>-2379246417128602.5</v>
      </c>
      <c r="H3">
        <v>-4.9944946717951731E+17</v>
      </c>
      <c r="I3">
        <v>-690619481587801</v>
      </c>
      <c r="J3">
        <v>4.025571055095696E+16</v>
      </c>
      <c r="K3">
        <v>4589092136946744</v>
      </c>
      <c r="L3">
        <v>-6026693788849822</v>
      </c>
      <c r="M3">
        <v>305993489698488.81</v>
      </c>
      <c r="N3">
        <v>2.6047826822066003E+17</v>
      </c>
      <c r="O3">
        <v>158665306264.77451</v>
      </c>
    </row>
    <row r="4" spans="1:15" x14ac:dyDescent="0.25">
      <c r="A4">
        <v>79291180486.233902</v>
      </c>
      <c r="B4">
        <v>-2350372663901095.5</v>
      </c>
      <c r="C4">
        <v>34057647157970.582</v>
      </c>
      <c r="D4">
        <v>271912094786799.88</v>
      </c>
      <c r="E4">
        <v>5442533922415.9238</v>
      </c>
      <c r="F4">
        <v>-389153783970246.13</v>
      </c>
      <c r="G4">
        <v>30966864044678.703</v>
      </c>
      <c r="H4">
        <v>8354805258011942</v>
      </c>
      <c r="I4">
        <v>32758708665804.078</v>
      </c>
      <c r="J4">
        <v>-799698373829384.63</v>
      </c>
      <c r="K4">
        <v>-56737967025464.242</v>
      </c>
      <c r="L4">
        <v>46516546529809.695</v>
      </c>
      <c r="M4">
        <v>-6377355280680.3447</v>
      </c>
      <c r="N4">
        <v>-5257392133881953</v>
      </c>
      <c r="O4">
        <v>-2614270314.1581249</v>
      </c>
    </row>
    <row r="5" spans="1:15" x14ac:dyDescent="0.25">
      <c r="A5">
        <v>1057454591019.6411</v>
      </c>
      <c r="B5">
        <v>-1.1439208015007794E+16</v>
      </c>
      <c r="C5">
        <v>271911309739092.88</v>
      </c>
      <c r="D5">
        <v>4502553819893552</v>
      </c>
      <c r="E5">
        <v>52982952593453.953</v>
      </c>
      <c r="F5">
        <v>-5849346527073657</v>
      </c>
      <c r="G5">
        <v>298929131048010.69</v>
      </c>
      <c r="H5">
        <v>1.2452488234250128E+17</v>
      </c>
      <c r="I5">
        <v>542036337777905.81</v>
      </c>
      <c r="J5">
        <v>-8562686160416314</v>
      </c>
      <c r="K5">
        <v>-273662475340263.63</v>
      </c>
      <c r="L5">
        <v>-210395913826625.38</v>
      </c>
      <c r="M5">
        <v>-91175513787312.375</v>
      </c>
      <c r="N5">
        <v>-7.3118825447216048E+16</v>
      </c>
      <c r="O5">
        <v>-24072831560.257553</v>
      </c>
    </row>
    <row r="6" spans="1:15" x14ac:dyDescent="0.25">
      <c r="A6">
        <v>13933392626.143768</v>
      </c>
      <c r="B6">
        <v>-244159334874562.94</v>
      </c>
      <c r="C6">
        <v>5442531084572.6143</v>
      </c>
      <c r="D6">
        <v>52983065573856.984</v>
      </c>
      <c r="E6">
        <v>1837064289871.637</v>
      </c>
      <c r="F6">
        <v>-66897156770506.617</v>
      </c>
      <c r="G6">
        <v>4171570405623.5142</v>
      </c>
      <c r="H6">
        <v>1223002239681494.8</v>
      </c>
      <c r="I6">
        <v>8557873520843.4922</v>
      </c>
      <c r="J6">
        <v>-153451819593986.19</v>
      </c>
      <c r="K6">
        <v>-10185069441183.68</v>
      </c>
      <c r="L6">
        <v>5986012218507.9424</v>
      </c>
      <c r="M6">
        <v>-1121407331419.9089</v>
      </c>
      <c r="N6">
        <v>-982870876101362.5</v>
      </c>
      <c r="O6">
        <v>-645326394.07723379</v>
      </c>
    </row>
    <row r="7" spans="1:15" x14ac:dyDescent="0.25">
      <c r="A7">
        <v>-1582698788004.2061</v>
      </c>
      <c r="B7">
        <v>1.7556819822936982E+16</v>
      </c>
      <c r="C7">
        <v>-389152800673067.56</v>
      </c>
      <c r="D7">
        <v>-5849347299165973</v>
      </c>
      <c r="E7">
        <v>-66897016734183.961</v>
      </c>
      <c r="F7">
        <v>8756897270699782</v>
      </c>
      <c r="G7">
        <v>-415729545483082.13</v>
      </c>
      <c r="H7">
        <v>-1.8113389248539274E+17</v>
      </c>
      <c r="I7">
        <v>-731404463308063.63</v>
      </c>
      <c r="J7">
        <v>1.1309471168309632E+16</v>
      </c>
      <c r="K7">
        <v>463679701787330.13</v>
      </c>
      <c r="L7">
        <v>158236087769625.03</v>
      </c>
      <c r="M7">
        <v>116148056992510.55</v>
      </c>
      <c r="N7">
        <v>1.0063423952098418E+17</v>
      </c>
      <c r="O7">
        <v>29353157458.617825</v>
      </c>
    </row>
    <row r="8" spans="1:15" x14ac:dyDescent="0.25">
      <c r="A8">
        <v>80010338027.665176</v>
      </c>
      <c r="B8">
        <v>-2379242147192638.5</v>
      </c>
      <c r="C8">
        <v>30966852212306.934</v>
      </c>
      <c r="D8">
        <v>298929763157737.56</v>
      </c>
      <c r="E8">
        <v>4171571000320.749</v>
      </c>
      <c r="F8">
        <v>-415730323608553.38</v>
      </c>
      <c r="G8">
        <v>31946239684086.004</v>
      </c>
      <c r="H8">
        <v>9652712752975060</v>
      </c>
      <c r="I8">
        <v>31720921026423.426</v>
      </c>
      <c r="J8">
        <v>-730639407498500.13</v>
      </c>
      <c r="K8">
        <v>-47174634311549.078</v>
      </c>
      <c r="L8">
        <v>33089396372400.047</v>
      </c>
      <c r="M8">
        <v>-6701044548852.248</v>
      </c>
      <c r="N8">
        <v>-5475803495447502</v>
      </c>
      <c r="O8">
        <v>-2232106362.5178614</v>
      </c>
    </row>
    <row r="9" spans="1:15" x14ac:dyDescent="0.25">
      <c r="A9">
        <v>32273798141338.93</v>
      </c>
      <c r="B9">
        <v>-4.9944720424825402E+17</v>
      </c>
      <c r="C9">
        <v>8354786553978278</v>
      </c>
      <c r="D9">
        <v>1.245249241138257E+17</v>
      </c>
      <c r="E9">
        <v>1222999678577989.3</v>
      </c>
      <c r="F9">
        <v>-1.8113392596549904E+17</v>
      </c>
      <c r="G9">
        <v>9652698360402730</v>
      </c>
      <c r="H9">
        <v>4.0275318033153403E+18</v>
      </c>
      <c r="I9">
        <v>1.432785231154844E+16</v>
      </c>
      <c r="J9">
        <v>-2.2950429007868589E+17</v>
      </c>
      <c r="K9">
        <v>-9978231151582950</v>
      </c>
      <c r="L9">
        <v>-2235444591943825.8</v>
      </c>
      <c r="M9">
        <v>-2481315882675675.5</v>
      </c>
      <c r="N9">
        <v>-2.1378405670667313E+18</v>
      </c>
      <c r="O9">
        <v>-601719945043.28149</v>
      </c>
    </row>
    <row r="10" spans="1:15" x14ac:dyDescent="0.25">
      <c r="A10">
        <v>134653454328.5685</v>
      </c>
      <c r="B10">
        <v>-690608437967602.38</v>
      </c>
      <c r="C10">
        <v>32758605545704.992</v>
      </c>
      <c r="D10">
        <v>542036256424616.38</v>
      </c>
      <c r="E10">
        <v>8557858313048.8281</v>
      </c>
      <c r="F10">
        <v>-731404264627258.88</v>
      </c>
      <c r="G10">
        <v>31720836852782.629</v>
      </c>
      <c r="H10">
        <v>1.4327844992977854E+16</v>
      </c>
      <c r="I10">
        <v>75072920082505.875</v>
      </c>
      <c r="J10">
        <v>-1102868673654283.4</v>
      </c>
      <c r="K10">
        <v>-36707549626740.547</v>
      </c>
      <c r="L10">
        <v>-30910269049763.102</v>
      </c>
      <c r="M10">
        <v>-10774977618294.834</v>
      </c>
      <c r="N10">
        <v>-9033439770833800</v>
      </c>
      <c r="O10">
        <v>-3199368918.0555716</v>
      </c>
    </row>
    <row r="11" spans="1:15" x14ac:dyDescent="0.25">
      <c r="A11">
        <v>-2235100478177.5454</v>
      </c>
      <c r="B11">
        <v>4.0255562866144328E+16</v>
      </c>
      <c r="C11">
        <v>-799697531140328</v>
      </c>
      <c r="D11">
        <v>-8562697708360491</v>
      </c>
      <c r="E11">
        <v>-153451740368897.09</v>
      </c>
      <c r="F11">
        <v>1.130948483738824E+16</v>
      </c>
      <c r="G11">
        <v>-730638902188590.88</v>
      </c>
      <c r="H11">
        <v>-2.295045208470105E+17</v>
      </c>
      <c r="I11">
        <v>-1102870281279282.9</v>
      </c>
      <c r="J11">
        <v>2.2203138420264504E+16</v>
      </c>
      <c r="K11">
        <v>1137094969376582</v>
      </c>
      <c r="L11">
        <v>-454616894690943</v>
      </c>
      <c r="M11">
        <v>191326122108735.72</v>
      </c>
      <c r="N11">
        <v>1.5164133335276355E+17</v>
      </c>
      <c r="O11">
        <v>66687712213.497086</v>
      </c>
    </row>
    <row r="12" spans="1:15" x14ac:dyDescent="0.25">
      <c r="A12">
        <v>-103499341571.80276</v>
      </c>
      <c r="B12">
        <v>4589090717010955</v>
      </c>
      <c r="C12">
        <v>-56738033245058.766</v>
      </c>
      <c r="D12">
        <v>-273664346890420.44</v>
      </c>
      <c r="E12">
        <v>-10185085688800.068</v>
      </c>
      <c r="F12">
        <v>463682113412937.81</v>
      </c>
      <c r="G12">
        <v>-47174715892130.633</v>
      </c>
      <c r="H12">
        <v>-9978279314249208</v>
      </c>
      <c r="I12">
        <v>-36707788536349.094</v>
      </c>
      <c r="J12">
        <v>1137097950661337.8</v>
      </c>
      <c r="K12">
        <v>116257670039634.23</v>
      </c>
      <c r="L12">
        <v>-130075124048368.25</v>
      </c>
      <c r="M12">
        <v>7045379401364.2832</v>
      </c>
      <c r="N12">
        <v>6584663285851910</v>
      </c>
      <c r="O12">
        <v>4499045470.8691721</v>
      </c>
    </row>
    <row r="13" spans="1:15" x14ac:dyDescent="0.25">
      <c r="A13">
        <v>-848239694.70330894</v>
      </c>
      <c r="B13">
        <v>-6026704285920629</v>
      </c>
      <c r="C13">
        <v>46516763385944.313</v>
      </c>
      <c r="D13">
        <v>-210393025928889.88</v>
      </c>
      <c r="E13">
        <v>5986053912888.875</v>
      </c>
      <c r="F13">
        <v>158232258832782.25</v>
      </c>
      <c r="G13">
        <v>33089614396306.371</v>
      </c>
      <c r="H13">
        <v>-2235364317405742.3</v>
      </c>
      <c r="I13">
        <v>-30909912086700.836</v>
      </c>
      <c r="J13">
        <v>-454623187570807.81</v>
      </c>
      <c r="K13">
        <v>-130075397377014.23</v>
      </c>
      <c r="L13">
        <v>233589816879773.03</v>
      </c>
      <c r="M13">
        <v>1696973505321.3662</v>
      </c>
      <c r="N13">
        <v>653366630359772.88</v>
      </c>
      <c r="O13">
        <v>-3163807041.5456448</v>
      </c>
    </row>
    <row r="14" spans="1:15" x14ac:dyDescent="0.25">
      <c r="A14">
        <v>-21579202262.60154</v>
      </c>
      <c r="B14">
        <v>305991792502169.06</v>
      </c>
      <c r="C14">
        <v>-6377341530177.3545</v>
      </c>
      <c r="D14">
        <v>-91175550412070.344</v>
      </c>
      <c r="E14">
        <v>-1121405491156.5393</v>
      </c>
      <c r="F14">
        <v>116148089235748.7</v>
      </c>
      <c r="G14">
        <v>-6701034019878.3662</v>
      </c>
      <c r="H14">
        <v>-2481316019816031</v>
      </c>
      <c r="I14">
        <v>-10774983872623.15</v>
      </c>
      <c r="J14">
        <v>191325959355882</v>
      </c>
      <c r="K14">
        <v>7045343537110.3711</v>
      </c>
      <c r="L14">
        <v>1697034215962.8364</v>
      </c>
      <c r="M14">
        <v>1930435706624.626</v>
      </c>
      <c r="N14">
        <v>1502696120501592.3</v>
      </c>
      <c r="O14">
        <v>532112750.62463266</v>
      </c>
    </row>
    <row r="15" spans="1:15" x14ac:dyDescent="0.25">
      <c r="A15">
        <v>-18553236156131.684</v>
      </c>
      <c r="B15">
        <v>2.6047692378946877E+17</v>
      </c>
      <c r="C15">
        <v>-5257381514349630</v>
      </c>
      <c r="D15">
        <v>-7.3118861423593744E+16</v>
      </c>
      <c r="E15">
        <v>-982869471812001.88</v>
      </c>
      <c r="F15">
        <v>1.0063427422359742E+17</v>
      </c>
      <c r="G15">
        <v>-5475795496605536</v>
      </c>
      <c r="H15">
        <v>-2.1378408629200781E+18</v>
      </c>
      <c r="I15">
        <v>-9033445578384802</v>
      </c>
      <c r="J15">
        <v>1.5164121555556214E+17</v>
      </c>
      <c r="K15">
        <v>6584634928406395</v>
      </c>
      <c r="L15">
        <v>653415624010514.88</v>
      </c>
      <c r="M15">
        <v>1502696255215402.8</v>
      </c>
      <c r="N15">
        <v>1.2508926349399281E+18</v>
      </c>
      <c r="O15">
        <v>432662763593.94208</v>
      </c>
    </row>
    <row r="16" spans="1:15" x14ac:dyDescent="0.25">
      <c r="A16">
        <v>-6031137.5026632799</v>
      </c>
      <c r="B16">
        <v>158664957096.92374</v>
      </c>
      <c r="C16">
        <v>-2614269620.2952256</v>
      </c>
      <c r="D16">
        <v>-24072889381.818104</v>
      </c>
      <c r="E16">
        <v>-645326506.9232738</v>
      </c>
      <c r="F16">
        <v>29353229454.32275</v>
      </c>
      <c r="G16">
        <v>-2232106667.1643996</v>
      </c>
      <c r="H16">
        <v>-601721288288.89539</v>
      </c>
      <c r="I16">
        <v>-3199376612.185998</v>
      </c>
      <c r="J16">
        <v>66687764113.119263</v>
      </c>
      <c r="K16">
        <v>4499038954.9215708</v>
      </c>
      <c r="L16">
        <v>-3163788504.3499584</v>
      </c>
      <c r="M16">
        <v>532113729.54612243</v>
      </c>
      <c r="N16">
        <v>432663515337.75891</v>
      </c>
      <c r="O16">
        <v>276723.24692770274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S16"/>
  <sheetViews>
    <sheetView workbookViewId="0">
      <selection activeCell="A2" sqref="A2:BS16"/>
    </sheetView>
  </sheetViews>
  <sheetFormatPr defaultRowHeight="15" x14ac:dyDescent="0.25"/>
  <sheetData>
    <row r="1" spans="1:71" x14ac:dyDescent="0.25">
      <c r="A1" t="s">
        <v>10</v>
      </c>
    </row>
    <row r="2" spans="1:71" x14ac:dyDescent="0.25">
      <c r="A2">
        <f t="array" ref="A2:BS16">MMULT('Matrix ((R)^t.(R))^(-1)'!$A$2:$O$16,'Matrix (R)^t'!$A$2:$BS$16)</f>
        <v>-4717.9646979039535</v>
      </c>
      <c r="B2">
        <v>2123.7206883067265</v>
      </c>
      <c r="C2">
        <v>-524.87753719743341</v>
      </c>
      <c r="D2">
        <v>-588.53519553598017</v>
      </c>
      <c r="E2">
        <v>1377.1296369666234</v>
      </c>
      <c r="F2">
        <v>1864.415771597065</v>
      </c>
      <c r="G2">
        <v>1197.0438063973561</v>
      </c>
      <c r="H2">
        <v>1072.175581776537</v>
      </c>
      <c r="I2">
        <v>499.15576251689345</v>
      </c>
      <c r="J2">
        <v>-200.99692282732576</v>
      </c>
      <c r="K2">
        <v>3634.0082734460011</v>
      </c>
      <c r="L2">
        <v>27.009492420591414</v>
      </c>
      <c r="M2">
        <v>2939.4948529833928</v>
      </c>
      <c r="N2">
        <v>-3676.5497261648998</v>
      </c>
      <c r="O2">
        <v>-2464.3991948729381</v>
      </c>
      <c r="P2">
        <v>731.00516995135695</v>
      </c>
      <c r="Q2">
        <v>-1955.46229315456</v>
      </c>
      <c r="R2">
        <v>2429.4245383376256</v>
      </c>
      <c r="S2">
        <v>4059.2978253001347</v>
      </c>
      <c r="T2">
        <v>-2838.8668840294704</v>
      </c>
      <c r="U2">
        <v>-6244.2756988173351</v>
      </c>
      <c r="V2">
        <v>6.4277413720265031</v>
      </c>
      <c r="W2">
        <v>-6717.2286138897762</v>
      </c>
      <c r="X2">
        <v>54.065403484739363</v>
      </c>
      <c r="Y2">
        <v>253.61117895785719</v>
      </c>
      <c r="Z2">
        <v>-2229.795861816965</v>
      </c>
      <c r="AA2">
        <v>1499.2377107376233</v>
      </c>
      <c r="AB2">
        <v>-861.49504921492189</v>
      </c>
      <c r="AC2">
        <v>3195.1857944959775</v>
      </c>
      <c r="AD2">
        <v>1548.5215648645535</v>
      </c>
      <c r="AE2">
        <v>-1586.8354147439823</v>
      </c>
      <c r="AF2">
        <v>-1007.6685323482379</v>
      </c>
      <c r="AG2">
        <v>-1351.8721781140193</v>
      </c>
      <c r="AH2">
        <v>-1443.0278486972675</v>
      </c>
      <c r="AI2">
        <v>476.32585575524718</v>
      </c>
      <c r="AJ2">
        <v>-1129.8812997704372</v>
      </c>
      <c r="AK2">
        <v>4018.9064596528187</v>
      </c>
      <c r="AL2">
        <v>-1981.6242683297023</v>
      </c>
      <c r="AM2">
        <v>-2186.8644597297534</v>
      </c>
      <c r="AN2">
        <v>1975.331645690836</v>
      </c>
      <c r="AO2">
        <v>1321.1631198162213</v>
      </c>
      <c r="AP2">
        <v>-1066.4631204968318</v>
      </c>
      <c r="AQ2">
        <v>-251.10953245218843</v>
      </c>
      <c r="AR2">
        <v>374.78176858369261</v>
      </c>
      <c r="AS2">
        <v>-2178.4968107109889</v>
      </c>
      <c r="AT2">
        <v>87.280447506345809</v>
      </c>
      <c r="AU2">
        <v>1414.6719961399212</v>
      </c>
      <c r="AV2">
        <v>2361.8143567675725</v>
      </c>
      <c r="AW2">
        <v>-1847.7675637966022</v>
      </c>
      <c r="AX2">
        <v>-740.53259435947984</v>
      </c>
      <c r="AY2">
        <v>1118.1347127789631</v>
      </c>
      <c r="AZ2">
        <v>-212.86015263851732</v>
      </c>
      <c r="BA2">
        <v>1712.3047317499295</v>
      </c>
      <c r="BB2">
        <v>-1255.4736436372623</v>
      </c>
      <c r="BC2">
        <v>323.32779564801604</v>
      </c>
      <c r="BD2">
        <v>2291.7638277644292</v>
      </c>
      <c r="BE2">
        <v>-190.3584992652759</v>
      </c>
      <c r="BF2">
        <v>1156.0638695592061</v>
      </c>
      <c r="BG2">
        <v>182.37991073075682</v>
      </c>
      <c r="BH2">
        <v>465.63077475968748</v>
      </c>
      <c r="BI2">
        <v>945.65193798486143</v>
      </c>
      <c r="BJ2">
        <v>-254.34056738670915</v>
      </c>
      <c r="BK2">
        <v>-583.17093405779451</v>
      </c>
      <c r="BL2">
        <v>891.50127586070448</v>
      </c>
      <c r="BM2">
        <v>1200.8830400342122</v>
      </c>
      <c r="BN2">
        <v>550.99691047612578</v>
      </c>
      <c r="BO2">
        <v>906.97533639613539</v>
      </c>
      <c r="BP2">
        <v>535.72560080233961</v>
      </c>
      <c r="BQ2">
        <v>-980.95011732634157</v>
      </c>
      <c r="BR2">
        <v>346.95139964763075</v>
      </c>
      <c r="BS2">
        <v>100.2473853463307</v>
      </c>
    </row>
    <row r="3" spans="1:71" x14ac:dyDescent="0.25">
      <c r="A3">
        <v>107087406.75741577</v>
      </c>
      <c r="B3">
        <v>-2463357.9066467285</v>
      </c>
      <c r="C3">
        <v>32015603.525482178</v>
      </c>
      <c r="D3">
        <v>-68615516.387115479</v>
      </c>
      <c r="E3">
        <v>-8823201.4354553223</v>
      </c>
      <c r="F3">
        <v>-20480483.95010376</v>
      </c>
      <c r="G3">
        <v>82410113.776947021</v>
      </c>
      <c r="H3">
        <v>-101278206.71963501</v>
      </c>
      <c r="I3">
        <v>33361216.793060303</v>
      </c>
      <c r="J3">
        <v>-118603974.94229126</v>
      </c>
      <c r="K3">
        <v>88027685.025482178</v>
      </c>
      <c r="L3">
        <v>2272312.3843688965</v>
      </c>
      <c r="M3">
        <v>-80600286.11026001</v>
      </c>
      <c r="N3">
        <v>13337910.871185303</v>
      </c>
      <c r="O3">
        <v>156384932.78622437</v>
      </c>
      <c r="P3">
        <v>28902666.914154053</v>
      </c>
      <c r="Q3">
        <v>70310007.275482178</v>
      </c>
      <c r="R3">
        <v>-89739666.053619385</v>
      </c>
      <c r="S3">
        <v>-162692171.70010376</v>
      </c>
      <c r="T3">
        <v>-104373569.00186157</v>
      </c>
      <c r="U3">
        <v>135421889.26473999</v>
      </c>
      <c r="V3">
        <v>13425445.17880249</v>
      </c>
      <c r="W3">
        <v>70993590.989349365</v>
      </c>
      <c r="X3">
        <v>62733122.305755615</v>
      </c>
      <c r="Y3">
        <v>-54582648.92276001</v>
      </c>
      <c r="Z3">
        <v>48488137.486419678</v>
      </c>
      <c r="AA3">
        <v>-970313.97549438477</v>
      </c>
      <c r="AB3">
        <v>-80494335.132720947</v>
      </c>
      <c r="AC3">
        <v>-71154498.60635376</v>
      </c>
      <c r="AD3">
        <v>33778972.886810303</v>
      </c>
      <c r="AE3">
        <v>131940816.1368103</v>
      </c>
      <c r="AF3">
        <v>-2552415.0321350098</v>
      </c>
      <c r="AG3">
        <v>-2292464.3719787598</v>
      </c>
      <c r="AH3">
        <v>-31975678.20791626</v>
      </c>
      <c r="AI3">
        <v>-33579750.882720947</v>
      </c>
      <c r="AJ3">
        <v>-53875950.089752197</v>
      </c>
      <c r="AK3">
        <v>19741043.127044678</v>
      </c>
      <c r="AL3">
        <v>70213513.379974365</v>
      </c>
      <c r="AM3">
        <v>83071129.853607178</v>
      </c>
      <c r="AN3">
        <v>-44501302.326080322</v>
      </c>
      <c r="AO3">
        <v>-36641701.052642822</v>
      </c>
      <c r="AP3">
        <v>-74856859.04385376</v>
      </c>
      <c r="AQ3">
        <v>-70697179.208892822</v>
      </c>
      <c r="AR3">
        <v>2678470.9707946777</v>
      </c>
      <c r="AS3">
        <v>118517718.47860718</v>
      </c>
      <c r="AT3">
        <v>12787033.212982178</v>
      </c>
      <c r="AU3">
        <v>7666900.3204040527</v>
      </c>
      <c r="AV3">
        <v>8814010.9551696777</v>
      </c>
      <c r="AW3">
        <v>-22242749.31338501</v>
      </c>
      <c r="AX3">
        <v>-24347640.790924072</v>
      </c>
      <c r="AY3">
        <v>-12860865.93447876</v>
      </c>
      <c r="AZ3">
        <v>34985938.494232178</v>
      </c>
      <c r="BA3">
        <v>29704359.01864624</v>
      </c>
      <c r="BB3">
        <v>-15390150.178619385</v>
      </c>
      <c r="BC3">
        <v>-31824038.550689697</v>
      </c>
      <c r="BD3">
        <v>-14730700.35244751</v>
      </c>
      <c r="BE3">
        <v>-11759199.08682251</v>
      </c>
      <c r="BF3">
        <v>8560447.2569274902</v>
      </c>
      <c r="BG3">
        <v>33554954.253997803</v>
      </c>
      <c r="BH3">
        <v>13282220.306732178</v>
      </c>
      <c r="BI3">
        <v>-46726203.40713501</v>
      </c>
      <c r="BJ3">
        <v>-17919987.203033447</v>
      </c>
      <c r="BK3">
        <v>12583300.433685303</v>
      </c>
      <c r="BL3">
        <v>3000064.3223571777</v>
      </c>
      <c r="BM3">
        <v>-23699390.577056885</v>
      </c>
      <c r="BN3">
        <v>-9304583.9598693848</v>
      </c>
      <c r="BO3">
        <v>-13193707.74697876</v>
      </c>
      <c r="BP3">
        <v>-10203323.86416626</v>
      </c>
      <c r="BQ3">
        <v>8410194.8702087402</v>
      </c>
      <c r="BR3">
        <v>-10926221.91885376</v>
      </c>
      <c r="BS3">
        <v>2511164.9229431152</v>
      </c>
    </row>
    <row r="4" spans="1:71" x14ac:dyDescent="0.25">
      <c r="A4">
        <v>-2106524.214307785</v>
      </c>
      <c r="B4">
        <v>10847.800737380981</v>
      </c>
      <c r="C4">
        <v>-752201.69000816345</v>
      </c>
      <c r="D4">
        <v>315037.63112068176</v>
      </c>
      <c r="E4">
        <v>1063123.9563388824</v>
      </c>
      <c r="F4">
        <v>912637.22590827942</v>
      </c>
      <c r="G4">
        <v>188963.84599494934</v>
      </c>
      <c r="H4">
        <v>934727.3594379425</v>
      </c>
      <c r="I4">
        <v>30875.2340259552</v>
      </c>
      <c r="J4">
        <v>507823.01005744934</v>
      </c>
      <c r="K4">
        <v>-109032.69582939148</v>
      </c>
      <c r="L4">
        <v>-265228.32189750671</v>
      </c>
      <c r="M4">
        <v>1282251.0203113556</v>
      </c>
      <c r="N4">
        <v>-922708.55468559265</v>
      </c>
      <c r="O4">
        <v>-1677043.9109325409</v>
      </c>
      <c r="P4">
        <v>-574303.12415885925</v>
      </c>
      <c r="Q4">
        <v>-946589.18960380554</v>
      </c>
      <c r="R4">
        <v>1010420.8337726593</v>
      </c>
      <c r="S4">
        <v>1424383.4258441925</v>
      </c>
      <c r="T4">
        <v>-70430.904401779175</v>
      </c>
      <c r="U4">
        <v>-1747582.4877605438</v>
      </c>
      <c r="V4">
        <v>234239.56953620911</v>
      </c>
      <c r="W4">
        <v>-1725091.232465744</v>
      </c>
      <c r="X4">
        <v>-861065.42623710632</v>
      </c>
      <c r="Y4">
        <v>497925.24232673645</v>
      </c>
      <c r="Z4">
        <v>-218612.2121257782</v>
      </c>
      <c r="AA4">
        <v>569319.58459663391</v>
      </c>
      <c r="AB4">
        <v>82767.794191360474</v>
      </c>
      <c r="AC4">
        <v>658601.60455513</v>
      </c>
      <c r="AD4">
        <v>-27534.030118942261</v>
      </c>
      <c r="AE4">
        <v>-824389.1218547821</v>
      </c>
      <c r="AF4">
        <v>-183225.87411308289</v>
      </c>
      <c r="AG4">
        <v>24153.883012771606</v>
      </c>
      <c r="AH4">
        <v>62532.315584182739</v>
      </c>
      <c r="AI4">
        <v>430708.85566902161</v>
      </c>
      <c r="AJ4">
        <v>476769.41159248352</v>
      </c>
      <c r="AK4">
        <v>601392.62271308899</v>
      </c>
      <c r="AL4">
        <v>-920981.98118400574</v>
      </c>
      <c r="AM4">
        <v>-890335.50820732117</v>
      </c>
      <c r="AN4">
        <v>748670.83694648743</v>
      </c>
      <c r="AO4">
        <v>661418.52348518372</v>
      </c>
      <c r="AP4">
        <v>247705.18637275696</v>
      </c>
      <c r="AQ4">
        <v>554871.16540718079</v>
      </c>
      <c r="AR4">
        <v>399944.73864936829</v>
      </c>
      <c r="AS4">
        <v>-1378852.7017040253</v>
      </c>
      <c r="AT4">
        <v>-154921.98577690125</v>
      </c>
      <c r="AU4">
        <v>254014.64776802063</v>
      </c>
      <c r="AV4">
        <v>438189.01092720032</v>
      </c>
      <c r="AW4">
        <v>-212578.67384147644</v>
      </c>
      <c r="AX4">
        <v>-94473.970518112183</v>
      </c>
      <c r="AY4">
        <v>126777.1246509552</v>
      </c>
      <c r="AZ4">
        <v>-409375.68415641785</v>
      </c>
      <c r="BA4">
        <v>103516.09071540833</v>
      </c>
      <c r="BB4">
        <v>-55923.586988449097</v>
      </c>
      <c r="BC4">
        <v>272415.2994556427</v>
      </c>
      <c r="BD4">
        <v>587355.02076911926</v>
      </c>
      <c r="BE4">
        <v>97371.758226394653</v>
      </c>
      <c r="BF4">
        <v>86974.349779129028</v>
      </c>
      <c r="BG4">
        <v>-124350.59210014343</v>
      </c>
      <c r="BH4">
        <v>-12865.322080612183</v>
      </c>
      <c r="BI4">
        <v>454184.65529060364</v>
      </c>
      <c r="BJ4">
        <v>37826.291536331177</v>
      </c>
      <c r="BK4">
        <v>-218781.18546867371</v>
      </c>
      <c r="BL4">
        <v>182933.03822517395</v>
      </c>
      <c r="BM4">
        <v>431603.01619148254</v>
      </c>
      <c r="BN4">
        <v>210289.47633552551</v>
      </c>
      <c r="BO4">
        <v>281851.45359992981</v>
      </c>
      <c r="BP4">
        <v>166275.18831062317</v>
      </c>
      <c r="BQ4">
        <v>-280853.54386711121</v>
      </c>
      <c r="BR4">
        <v>114967.89961433411</v>
      </c>
      <c r="BS4">
        <v>-12799.251615524292</v>
      </c>
    </row>
    <row r="5" spans="1:71" x14ac:dyDescent="0.25">
      <c r="A5">
        <v>-20107849.201278687</v>
      </c>
      <c r="B5">
        <v>-1163791.7343597412</v>
      </c>
      <c r="C5">
        <v>-6542863.4078216553</v>
      </c>
      <c r="D5">
        <v>5982281.5155181885</v>
      </c>
      <c r="E5">
        <v>3226801.9109039307</v>
      </c>
      <c r="F5">
        <v>6940867.2284088135</v>
      </c>
      <c r="G5">
        <v>9811053.5838775635</v>
      </c>
      <c r="H5">
        <v>2725595.9443511963</v>
      </c>
      <c r="I5">
        <v>2570364.0114898682</v>
      </c>
      <c r="J5">
        <v>2494269.7655181885</v>
      </c>
      <c r="K5">
        <v>14391557.352798462</v>
      </c>
      <c r="L5">
        <v>9668078.3899078369</v>
      </c>
      <c r="M5">
        <v>8522275.9506988525</v>
      </c>
      <c r="N5">
        <v>-13322013.542953491</v>
      </c>
      <c r="O5">
        <v>305806.32960510254</v>
      </c>
      <c r="P5">
        <v>-861917.36131286621</v>
      </c>
      <c r="Q5">
        <v>-7288393.9761810303</v>
      </c>
      <c r="R5">
        <v>6325609.2495269775</v>
      </c>
      <c r="S5">
        <v>18447924.248306274</v>
      </c>
      <c r="T5">
        <v>-11098417.90574646</v>
      </c>
      <c r="U5">
        <v>-25903601.06980896</v>
      </c>
      <c r="V5">
        <v>-967996.96409606934</v>
      </c>
      <c r="W5">
        <v>-24817480.751449585</v>
      </c>
      <c r="X5">
        <v>4293812.4611968994</v>
      </c>
      <c r="Y5">
        <v>494386.45997619629</v>
      </c>
      <c r="Z5">
        <v>-10521815.025863647</v>
      </c>
      <c r="AA5">
        <v>4934516.2961578369</v>
      </c>
      <c r="AB5">
        <v>-133770.58421325684</v>
      </c>
      <c r="AC5">
        <v>12485615.176528931</v>
      </c>
      <c r="AD5">
        <v>5189391.7546539307</v>
      </c>
      <c r="AE5">
        <v>-1193898.5969085693</v>
      </c>
      <c r="AF5">
        <v>-2068639.7465667725</v>
      </c>
      <c r="AG5">
        <v>-4643397.7993011475</v>
      </c>
      <c r="AH5">
        <v>-354295.21678161621</v>
      </c>
      <c r="AI5">
        <v>-384959.03611755371</v>
      </c>
      <c r="AJ5">
        <v>-1319441.2372894287</v>
      </c>
      <c r="AK5">
        <v>18655968.692153931</v>
      </c>
      <c r="AL5">
        <v>-6986747.8661956787</v>
      </c>
      <c r="AM5">
        <v>-4909448.6833343506</v>
      </c>
      <c r="AN5">
        <v>6928493.5078277588</v>
      </c>
      <c r="AO5">
        <v>3185039.3503570557</v>
      </c>
      <c r="AP5">
        <v>-6576120.5204925537</v>
      </c>
      <c r="AQ5">
        <v>-5999938.9264984131</v>
      </c>
      <c r="AR5">
        <v>1195678.4026031494</v>
      </c>
      <c r="AS5">
        <v>-4602132.0707855225</v>
      </c>
      <c r="AT5">
        <v>3047179.3308258057</v>
      </c>
      <c r="AU5">
        <v>4562862.7146148682</v>
      </c>
      <c r="AV5">
        <v>9101480.5842437744</v>
      </c>
      <c r="AW5">
        <v>-9428709.6638031006</v>
      </c>
      <c r="AX5">
        <v>-4622769.2626800537</v>
      </c>
      <c r="AY5">
        <v>4105945.283706665</v>
      </c>
      <c r="AZ5">
        <v>-187919.50657653809</v>
      </c>
      <c r="BA5">
        <v>6765105.3339996338</v>
      </c>
      <c r="BB5">
        <v>-5427542.3544769287</v>
      </c>
      <c r="BC5">
        <v>-1112625.2961273193</v>
      </c>
      <c r="BD5">
        <v>8590461.2119293213</v>
      </c>
      <c r="BE5">
        <v>-3668147.9406585693</v>
      </c>
      <c r="BF5">
        <v>3622334.6162261963</v>
      </c>
      <c r="BG5">
        <v>389706.77711486816</v>
      </c>
      <c r="BH5">
        <v>1241199.0940093994</v>
      </c>
      <c r="BI5">
        <v>982867.88648986816</v>
      </c>
      <c r="BJ5">
        <v>-3696373.2726898193</v>
      </c>
      <c r="BK5">
        <v>-3467240.2980804443</v>
      </c>
      <c r="BL5">
        <v>2670321.01222229</v>
      </c>
      <c r="BM5">
        <v>2972221.963394165</v>
      </c>
      <c r="BN5">
        <v>582749.06910705566</v>
      </c>
      <c r="BO5">
        <v>2486351.6269683838</v>
      </c>
      <c r="BP5">
        <v>531879.26417541504</v>
      </c>
      <c r="BQ5">
        <v>-5573518.8915863037</v>
      </c>
      <c r="BR5">
        <v>-492814.75877380371</v>
      </c>
      <c r="BS5">
        <v>-981461.01414489746</v>
      </c>
    </row>
    <row r="6" spans="1:71" x14ac:dyDescent="0.25">
      <c r="A6">
        <v>-216361.79211950302</v>
      </c>
      <c r="B6">
        <v>-58898.810290813446</v>
      </c>
      <c r="C6">
        <v>6817.642849445343</v>
      </c>
      <c r="D6">
        <v>73404.908016681671</v>
      </c>
      <c r="E6">
        <v>242465.07479143143</v>
      </c>
      <c r="F6">
        <v>139556.42594194412</v>
      </c>
      <c r="G6">
        <v>384432.34204721451</v>
      </c>
      <c r="H6">
        <v>-267346.23054838181</v>
      </c>
      <c r="I6">
        <v>-32205.34072637558</v>
      </c>
      <c r="J6">
        <v>-21313.804311275482</v>
      </c>
      <c r="K6">
        <v>-154082.51025533676</v>
      </c>
      <c r="L6">
        <v>-80165.882535457611</v>
      </c>
      <c r="M6">
        <v>513096.41414117813</v>
      </c>
      <c r="N6">
        <v>-122153.18618917465</v>
      </c>
      <c r="O6">
        <v>-198737.61017370224</v>
      </c>
      <c r="P6">
        <v>-236099.20094060898</v>
      </c>
      <c r="Q6">
        <v>-437378.31998205185</v>
      </c>
      <c r="R6">
        <v>231327.90195322037</v>
      </c>
      <c r="S6">
        <v>74096.066168308258</v>
      </c>
      <c r="T6">
        <v>-9166.8817839622498</v>
      </c>
      <c r="U6">
        <v>-282149.06479406357</v>
      </c>
      <c r="V6">
        <v>238511.91179513931</v>
      </c>
      <c r="W6">
        <v>-396270.6956038475</v>
      </c>
      <c r="X6">
        <v>615.89061975479126</v>
      </c>
      <c r="Y6">
        <v>103337.50493860245</v>
      </c>
      <c r="Z6">
        <v>-74616.831696987152</v>
      </c>
      <c r="AA6">
        <v>380167.30251169205</v>
      </c>
      <c r="AB6">
        <v>-86683.276055812836</v>
      </c>
      <c r="AC6">
        <v>35969.716475009918</v>
      </c>
      <c r="AD6">
        <v>-29842.253591060638</v>
      </c>
      <c r="AE6">
        <v>6443.237238407135</v>
      </c>
      <c r="AF6">
        <v>24275.763498783112</v>
      </c>
      <c r="AG6">
        <v>148206.6106171608</v>
      </c>
      <c r="AH6">
        <v>32174.922956943512</v>
      </c>
      <c r="AI6">
        <v>190340.89317178726</v>
      </c>
      <c r="AJ6">
        <v>48762.918596744537</v>
      </c>
      <c r="AK6">
        <v>199356.23495721817</v>
      </c>
      <c r="AL6">
        <v>-201425.78572225571</v>
      </c>
      <c r="AM6">
        <v>-52828.591561794281</v>
      </c>
      <c r="AN6">
        <v>127215.10313653946</v>
      </c>
      <c r="AO6">
        <v>96608.340204715729</v>
      </c>
      <c r="AP6">
        <v>-64873.993562221527</v>
      </c>
      <c r="AQ6">
        <v>-53522.31289434433</v>
      </c>
      <c r="AR6">
        <v>161518.07540750504</v>
      </c>
      <c r="AS6">
        <v>-180026.97570562363</v>
      </c>
      <c r="AT6">
        <v>-1693.5437560081482</v>
      </c>
      <c r="AU6">
        <v>85607.382105350494</v>
      </c>
      <c r="AV6">
        <v>82643.126036167145</v>
      </c>
      <c r="AW6">
        <v>-153279.58713293076</v>
      </c>
      <c r="AX6">
        <v>-81318.766805171967</v>
      </c>
      <c r="AY6">
        <v>15803.755262851715</v>
      </c>
      <c r="AZ6">
        <v>-101328.33713293076</v>
      </c>
      <c r="BA6">
        <v>41646.670649051666</v>
      </c>
      <c r="BB6">
        <v>-59083.760304927826</v>
      </c>
      <c r="BC6">
        <v>-18051.407086849213</v>
      </c>
      <c r="BD6">
        <v>174880.68393564224</v>
      </c>
      <c r="BE6">
        <v>-47419.847508907318</v>
      </c>
      <c r="BF6">
        <v>42524.126211643219</v>
      </c>
      <c r="BG6">
        <v>-47705.068227291107</v>
      </c>
      <c r="BH6">
        <v>42189.97307062149</v>
      </c>
      <c r="BI6">
        <v>-1290.8828864097595</v>
      </c>
      <c r="BJ6">
        <v>-60343.008126735687</v>
      </c>
      <c r="BK6">
        <v>-37800.367364406586</v>
      </c>
      <c r="BL6">
        <v>-5573.1312689781189</v>
      </c>
      <c r="BM6">
        <v>69323.717863559723</v>
      </c>
      <c r="BN6">
        <v>27934.905222415924</v>
      </c>
      <c r="BO6">
        <v>46515.495485782623</v>
      </c>
      <c r="BP6">
        <v>-23009.301068782806</v>
      </c>
      <c r="BQ6">
        <v>-106835.44605016708</v>
      </c>
      <c r="BR6">
        <v>-31392.744096279144</v>
      </c>
      <c r="BS6">
        <v>-55496.510304927826</v>
      </c>
    </row>
    <row r="7" spans="1:71" x14ac:dyDescent="0.25">
      <c r="A7">
        <v>24221583.910793304</v>
      </c>
      <c r="B7">
        <v>-13805555.41513443</v>
      </c>
      <c r="C7">
        <v>968361.41299057007</v>
      </c>
      <c r="D7">
        <v>3064498.1073265076</v>
      </c>
      <c r="E7">
        <v>-2647182.8775367737</v>
      </c>
      <c r="F7">
        <v>-8210435.6185035706</v>
      </c>
      <c r="G7">
        <v>-4580608.0276832581</v>
      </c>
      <c r="H7">
        <v>-5656633.5567359924</v>
      </c>
      <c r="I7">
        <v>-1857651.1600074768</v>
      </c>
      <c r="J7">
        <v>305257.06264877319</v>
      </c>
      <c r="K7">
        <v>-23304132.401218414</v>
      </c>
      <c r="L7">
        <v>-2827521.9385719299</v>
      </c>
      <c r="M7">
        <v>-12750571.885593414</v>
      </c>
      <c r="N7">
        <v>19985889.040920258</v>
      </c>
      <c r="O7">
        <v>9295059.1822776794</v>
      </c>
      <c r="P7">
        <v>-6840590.7664527893</v>
      </c>
      <c r="Q7">
        <v>8848742.1459007263</v>
      </c>
      <c r="R7">
        <v>-13057879.183444977</v>
      </c>
      <c r="S7">
        <v>-23257905.686862946</v>
      </c>
      <c r="T7">
        <v>14612097.563137054</v>
      </c>
      <c r="U7">
        <v>34280010.260890961</v>
      </c>
      <c r="V7">
        <v>2154794.7447776794</v>
      </c>
      <c r="W7">
        <v>36758995.989650726</v>
      </c>
      <c r="X7">
        <v>-4376579.1116676331</v>
      </c>
      <c r="Y7">
        <v>286439.22329330444</v>
      </c>
      <c r="Z7">
        <v>14550854.349758148</v>
      </c>
      <c r="AA7">
        <v>-7620369.5289039612</v>
      </c>
      <c r="AB7">
        <v>4555220.7745628357</v>
      </c>
      <c r="AC7">
        <v>-19201236.217624664</v>
      </c>
      <c r="AD7">
        <v>-9040401.2435035706</v>
      </c>
      <c r="AE7">
        <v>7772742.8844261169</v>
      </c>
      <c r="AF7">
        <v>5233117.1134300232</v>
      </c>
      <c r="AG7">
        <v>9273484.3517112732</v>
      </c>
      <c r="AH7">
        <v>8030824.4508323669</v>
      </c>
      <c r="AI7">
        <v>-1301383.3306617737</v>
      </c>
      <c r="AJ7">
        <v>8345047.5792503357</v>
      </c>
      <c r="AK7">
        <v>-23607278.776950836</v>
      </c>
      <c r="AL7">
        <v>9661202.6612815857</v>
      </c>
      <c r="AM7">
        <v>10605416.643215179</v>
      </c>
      <c r="AN7">
        <v>-9470116.0181617737</v>
      </c>
      <c r="AO7">
        <v>-5543611.7999000549</v>
      </c>
      <c r="AP7">
        <v>7263500.7467308044</v>
      </c>
      <c r="AQ7">
        <v>4325773.1683616638</v>
      </c>
      <c r="AR7">
        <v>-461040.31552505493</v>
      </c>
      <c r="AS7">
        <v>8671634.7848167419</v>
      </c>
      <c r="AT7">
        <v>-1269337.8677711487</v>
      </c>
      <c r="AU7">
        <v>-7815163.2212867737</v>
      </c>
      <c r="AV7">
        <v>-13055145.781101227</v>
      </c>
      <c r="AW7">
        <v>11215604.655422211</v>
      </c>
      <c r="AX7">
        <v>4097831.1153831482</v>
      </c>
      <c r="AY7">
        <v>-6675966.6131324768</v>
      </c>
      <c r="AZ7">
        <v>-67079.267917633057</v>
      </c>
      <c r="BA7">
        <v>-10343476.528171539</v>
      </c>
      <c r="BB7">
        <v>8001322.6449241638</v>
      </c>
      <c r="BC7">
        <v>-766011.92392349243</v>
      </c>
      <c r="BD7">
        <v>-12311649.799167633</v>
      </c>
      <c r="BE7">
        <v>1999772.0279808044</v>
      </c>
      <c r="BF7">
        <v>-7070141.9209938049</v>
      </c>
      <c r="BG7">
        <v>-1027747.1399879456</v>
      </c>
      <c r="BH7">
        <v>-2981568.5794410706</v>
      </c>
      <c r="BI7">
        <v>-4196372.0320777893</v>
      </c>
      <c r="BJ7">
        <v>1934848.7762718201</v>
      </c>
      <c r="BK7">
        <v>2978069.2188987732</v>
      </c>
      <c r="BL7">
        <v>-4599793.9734840393</v>
      </c>
      <c r="BM7">
        <v>-5824379.4546852112</v>
      </c>
      <c r="BN7">
        <v>-2458936.9383277893</v>
      </c>
      <c r="BO7">
        <v>-4532851.9031715393</v>
      </c>
      <c r="BP7">
        <v>-2464370.5247535706</v>
      </c>
      <c r="BQ7">
        <v>5454041.3602561951</v>
      </c>
      <c r="BR7">
        <v>-1519776.2298316956</v>
      </c>
      <c r="BS7">
        <v>-353582.63168716431</v>
      </c>
    </row>
    <row r="8" spans="1:71" x14ac:dyDescent="0.25">
      <c r="A8">
        <v>-1958854.2607660294</v>
      </c>
      <c r="B8">
        <v>-2015.4128656387329</v>
      </c>
      <c r="C8">
        <v>-510378.37857913971</v>
      </c>
      <c r="D8">
        <v>784197.54917049408</v>
      </c>
      <c r="E8">
        <v>303643.3083562851</v>
      </c>
      <c r="F8">
        <v>637890.57948970795</v>
      </c>
      <c r="G8">
        <v>-139405.2056055069</v>
      </c>
      <c r="H8">
        <v>931010.57565975189</v>
      </c>
      <c r="I8">
        <v>35127.75749874115</v>
      </c>
      <c r="J8">
        <v>836318.85291194916</v>
      </c>
      <c r="K8">
        <v>230805.07030391693</v>
      </c>
      <c r="L8">
        <v>211193.27789974213</v>
      </c>
      <c r="M8">
        <v>777813.70372676849</v>
      </c>
      <c r="N8">
        <v>-879497.25551700592</v>
      </c>
      <c r="O8">
        <v>-1238159.7177362442</v>
      </c>
      <c r="P8">
        <v>-408218.39023685455</v>
      </c>
      <c r="Q8">
        <v>-700862.28659915924</v>
      </c>
      <c r="R8">
        <v>900587.80016231537</v>
      </c>
      <c r="S8">
        <v>1948129.1912908554</v>
      </c>
      <c r="T8">
        <v>116537.51528072357</v>
      </c>
      <c r="U8">
        <v>-2159048.6677789688</v>
      </c>
      <c r="V8">
        <v>-189971.15937137604</v>
      </c>
      <c r="W8">
        <v>-1742193.6672754288</v>
      </c>
      <c r="X8">
        <v>-502914.04659366608</v>
      </c>
      <c r="Y8">
        <v>410059.704413414</v>
      </c>
      <c r="Z8">
        <v>-641718.51833438873</v>
      </c>
      <c r="AA8">
        <v>155250.40978145599</v>
      </c>
      <c r="AB8">
        <v>436511.72428035736</v>
      </c>
      <c r="AC8">
        <v>1048553.8158788681</v>
      </c>
      <c r="AD8">
        <v>99898.772879600525</v>
      </c>
      <c r="AE8">
        <v>-944891.86451053619</v>
      </c>
      <c r="AF8">
        <v>-189299.14402103424</v>
      </c>
      <c r="AG8">
        <v>-281936.74155521393</v>
      </c>
      <c r="AH8">
        <v>123086.04279232025</v>
      </c>
      <c r="AI8">
        <v>180321.16625118256</v>
      </c>
      <c r="AJ8">
        <v>359792.5672826767</v>
      </c>
      <c r="AK8">
        <v>758373.42450618744</v>
      </c>
      <c r="AL8">
        <v>-816400.86667728424</v>
      </c>
      <c r="AM8">
        <v>-891868.00798892975</v>
      </c>
      <c r="AN8">
        <v>700753.81204891205</v>
      </c>
      <c r="AO8">
        <v>502353.49565792084</v>
      </c>
      <c r="AP8">
        <v>212351.25273799896</v>
      </c>
      <c r="AQ8">
        <v>364407.13085079193</v>
      </c>
      <c r="AR8">
        <v>64778.312582969666</v>
      </c>
      <c r="AS8">
        <v>-1150689.9386987686</v>
      </c>
      <c r="AT8">
        <v>-6135.4938135147095</v>
      </c>
      <c r="AU8">
        <v>198210.11478328705</v>
      </c>
      <c r="AV8">
        <v>466320.04473018646</v>
      </c>
      <c r="AW8">
        <v>-246798.08089542389</v>
      </c>
      <c r="AX8">
        <v>-50056.021920204163</v>
      </c>
      <c r="AY8">
        <v>270699.92839717865</v>
      </c>
      <c r="AZ8">
        <v>-249919.1973657608</v>
      </c>
      <c r="BA8">
        <v>167399.17809200287</v>
      </c>
      <c r="BB8">
        <v>-132339.54715824127</v>
      </c>
      <c r="BC8">
        <v>236485.05167293549</v>
      </c>
      <c r="BD8">
        <v>520439.00113582611</v>
      </c>
      <c r="BE8">
        <v>-1770.1623620986938</v>
      </c>
      <c r="BF8">
        <v>114755.31745052338</v>
      </c>
      <c r="BG8">
        <v>-132984.70580387115</v>
      </c>
      <c r="BH8">
        <v>-49073.637337684631</v>
      </c>
      <c r="BI8">
        <v>453097.51033687592</v>
      </c>
      <c r="BJ8">
        <v>4134.5087957382202</v>
      </c>
      <c r="BK8">
        <v>-256914.47762393951</v>
      </c>
      <c r="BL8">
        <v>189404.89964962006</v>
      </c>
      <c r="BM8">
        <v>357101.57512569427</v>
      </c>
      <c r="BN8">
        <v>138099.17941951752</v>
      </c>
      <c r="BO8">
        <v>244451.19066524506</v>
      </c>
      <c r="BP8">
        <v>164558.20001888275</v>
      </c>
      <c r="BQ8">
        <v>-289262.23780155182</v>
      </c>
      <c r="BR8">
        <v>111161.49382686615</v>
      </c>
      <c r="BS8">
        <v>-2486.9132928848267</v>
      </c>
    </row>
    <row r="9" spans="1:71" x14ac:dyDescent="0.25">
      <c r="A9">
        <v>-577743610.27758789</v>
      </c>
      <c r="B9">
        <v>263924399.35913086</v>
      </c>
      <c r="C9">
        <v>11980646.210693359</v>
      </c>
      <c r="D9">
        <v>122690595.12866211</v>
      </c>
      <c r="E9">
        <v>-115066903.72290039</v>
      </c>
      <c r="F9">
        <v>141753826.23803711</v>
      </c>
      <c r="G9">
        <v>-30725848.152587891</v>
      </c>
      <c r="H9">
        <v>187074599.42163086</v>
      </c>
      <c r="I9">
        <v>26606282.187255859</v>
      </c>
      <c r="J9">
        <v>157691393.12084961</v>
      </c>
      <c r="K9">
        <v>441009517.72631836</v>
      </c>
      <c r="L9">
        <v>134062720.38647461</v>
      </c>
      <c r="M9">
        <v>137871013.92944336</v>
      </c>
      <c r="N9">
        <v>-408089996.54711914</v>
      </c>
      <c r="O9">
        <v>-162687246.89086914</v>
      </c>
      <c r="P9">
        <v>47968615.070068359</v>
      </c>
      <c r="Q9">
        <v>-171588225.93383789</v>
      </c>
      <c r="R9">
        <v>326876085.25756836</v>
      </c>
      <c r="S9">
        <v>631306903.73413086</v>
      </c>
      <c r="T9">
        <v>-100396344.86743164</v>
      </c>
      <c r="U9">
        <v>-781051313.27368164</v>
      </c>
      <c r="V9">
        <v>-152533846.59399414</v>
      </c>
      <c r="W9">
        <v>-766661678.19555664</v>
      </c>
      <c r="X9">
        <v>106416512.37475586</v>
      </c>
      <c r="Y9">
        <v>-1692651.3674316406</v>
      </c>
      <c r="Z9">
        <v>-356311130.00805664</v>
      </c>
      <c r="AA9">
        <v>110931707.93725586</v>
      </c>
      <c r="AB9">
        <v>8907289.9060058594</v>
      </c>
      <c r="AC9">
        <v>466965118.35913086</v>
      </c>
      <c r="AD9">
        <v>154321774.46069336</v>
      </c>
      <c r="AE9">
        <v>-196020246.12524414</v>
      </c>
      <c r="AF9">
        <v>-96070461.750244141</v>
      </c>
      <c r="AG9">
        <v>-232504522.99243164</v>
      </c>
      <c r="AH9">
        <v>-78418456.968994141</v>
      </c>
      <c r="AI9">
        <v>-423975.44555664063</v>
      </c>
      <c r="AJ9">
        <v>-115204776.25024414</v>
      </c>
      <c r="AK9">
        <v>491239328.91381836</v>
      </c>
      <c r="AL9">
        <v>-213233638.19555664</v>
      </c>
      <c r="AM9">
        <v>-220860642.21899414</v>
      </c>
      <c r="AN9">
        <v>184297343.99975586</v>
      </c>
      <c r="AO9">
        <v>94876502.765380859</v>
      </c>
      <c r="AP9">
        <v>-114990193.27368164</v>
      </c>
      <c r="AQ9">
        <v>-101028595.67211914</v>
      </c>
      <c r="AR9">
        <v>-37342366.414306641</v>
      </c>
      <c r="AS9">
        <v>-175945923.97680664</v>
      </c>
      <c r="AT9">
        <v>35441834.616943359</v>
      </c>
      <c r="AU9">
        <v>139183781.06225586</v>
      </c>
      <c r="AV9">
        <v>257381908.24975586</v>
      </c>
      <c r="AW9">
        <v>-225213967.96899414</v>
      </c>
      <c r="AX9">
        <v>-59753822.234619141</v>
      </c>
      <c r="AY9">
        <v>147453849.60913086</v>
      </c>
      <c r="AZ9">
        <v>6222373.5622558594</v>
      </c>
      <c r="BA9">
        <v>204995977.46069336</v>
      </c>
      <c r="BB9">
        <v>-169570566.98461914</v>
      </c>
      <c r="BC9">
        <v>11074462.413818359</v>
      </c>
      <c r="BD9">
        <v>235276907.84350586</v>
      </c>
      <c r="BE9">
        <v>-54404993.500244141</v>
      </c>
      <c r="BF9">
        <v>140212284.86694336</v>
      </c>
      <c r="BG9">
        <v>-894375.20336914063</v>
      </c>
      <c r="BH9">
        <v>47718120.265380859</v>
      </c>
      <c r="BI9">
        <v>94837058.116943359</v>
      </c>
      <c r="BJ9">
        <v>-40803444.953369141</v>
      </c>
      <c r="BK9">
        <v>-71224098.047119141</v>
      </c>
      <c r="BL9">
        <v>84787230.663818359</v>
      </c>
      <c r="BM9">
        <v>107520349.20288086</v>
      </c>
      <c r="BN9">
        <v>35511158.921630859</v>
      </c>
      <c r="BO9">
        <v>82654437.671630859</v>
      </c>
      <c r="BP9">
        <v>42997724.335693359</v>
      </c>
      <c r="BQ9">
        <v>-118639244.17993164</v>
      </c>
      <c r="BR9">
        <v>25513821.491943359</v>
      </c>
      <c r="BS9">
        <v>-458352.77368164063</v>
      </c>
    </row>
    <row r="10" spans="1:71" x14ac:dyDescent="0.25">
      <c r="A10">
        <v>-2341628.6958303452</v>
      </c>
      <c r="B10">
        <v>348877.51658725739</v>
      </c>
      <c r="C10">
        <v>-259056.22950649261</v>
      </c>
      <c r="D10">
        <v>126958.13131809235</v>
      </c>
      <c r="E10">
        <v>823763.83879184723</v>
      </c>
      <c r="F10">
        <v>1073753.070649147</v>
      </c>
      <c r="G10">
        <v>1884526.6618204117</v>
      </c>
      <c r="H10">
        <v>-526024.20474147797</v>
      </c>
      <c r="I10">
        <v>445899.48281955719</v>
      </c>
      <c r="J10">
        <v>-449966.87223720551</v>
      </c>
      <c r="K10">
        <v>1648835.2000741959</v>
      </c>
      <c r="L10">
        <v>364719.70419406891</v>
      </c>
      <c r="M10">
        <v>1735086.2344369888</v>
      </c>
      <c r="N10">
        <v>-1997524.8697500229</v>
      </c>
      <c r="O10">
        <v>-28231.801299095154</v>
      </c>
      <c r="P10">
        <v>-548525.98324489594</v>
      </c>
      <c r="Q10">
        <v>-1273092.0919485092</v>
      </c>
      <c r="R10">
        <v>962533.5370798111</v>
      </c>
      <c r="S10">
        <v>1102098.8883676529</v>
      </c>
      <c r="T10">
        <v>-1711001.296538353</v>
      </c>
      <c r="U10">
        <v>-2733114.4427175522</v>
      </c>
      <c r="V10">
        <v>477624.485871315</v>
      </c>
      <c r="W10">
        <v>-3488887.148314476</v>
      </c>
      <c r="X10">
        <v>458774.75799655914</v>
      </c>
      <c r="Y10">
        <v>-14231.498412132263</v>
      </c>
      <c r="Z10">
        <v>-930338.06591701508</v>
      </c>
      <c r="AA10">
        <v>1344900.7594308853</v>
      </c>
      <c r="AB10">
        <v>-786687.85461330414</v>
      </c>
      <c r="AC10">
        <v>1037739.1620187759</v>
      </c>
      <c r="AD10">
        <v>863325.9980173111</v>
      </c>
      <c r="AE10">
        <v>374834.35644626617</v>
      </c>
      <c r="AF10">
        <v>-337982.86511135101</v>
      </c>
      <c r="AG10">
        <v>-220329.50408840179</v>
      </c>
      <c r="AH10">
        <v>-431266.01217556</v>
      </c>
      <c r="AI10">
        <v>206302.90802097321</v>
      </c>
      <c r="AJ10">
        <v>-466448.85839748383</v>
      </c>
      <c r="AK10">
        <v>2441277.0360116959</v>
      </c>
      <c r="AL10">
        <v>-863104.33468532562</v>
      </c>
      <c r="AM10">
        <v>-401960.65212917328</v>
      </c>
      <c r="AN10">
        <v>827992.24612522125</v>
      </c>
      <c r="AO10">
        <v>443530.05282688141</v>
      </c>
      <c r="AP10">
        <v>-1149309.6643667221</v>
      </c>
      <c r="AQ10">
        <v>-792558.89590358734</v>
      </c>
      <c r="AR10">
        <v>483779.17022800446</v>
      </c>
      <c r="AS10">
        <v>-485339.09268093109</v>
      </c>
      <c r="AT10">
        <v>221687.47857761383</v>
      </c>
      <c r="AU10">
        <v>781574.64712619781</v>
      </c>
      <c r="AV10">
        <v>1323334.8537302017</v>
      </c>
      <c r="AW10">
        <v>-1356109.3010854721</v>
      </c>
      <c r="AX10">
        <v>-697461.91439723969</v>
      </c>
      <c r="AY10">
        <v>494566.75363254547</v>
      </c>
      <c r="AZ10">
        <v>-52177.105376243591</v>
      </c>
      <c r="BA10">
        <v>1062737.4256601334</v>
      </c>
      <c r="BB10">
        <v>-792051.73785305023</v>
      </c>
      <c r="BC10">
        <v>-169239.4814748764</v>
      </c>
      <c r="BD10">
        <v>1266099.3796701431</v>
      </c>
      <c r="BE10">
        <v>-359483.53329372406</v>
      </c>
      <c r="BF10">
        <v>596299.19009494781</v>
      </c>
      <c r="BG10">
        <v>192926.36355686188</v>
      </c>
      <c r="BH10">
        <v>318934.23999118805</v>
      </c>
      <c r="BI10">
        <v>75008.160218238831</v>
      </c>
      <c r="BJ10">
        <v>-460075.10592556</v>
      </c>
      <c r="BK10">
        <v>-335489.28384304047</v>
      </c>
      <c r="BL10">
        <v>396201.97369480133</v>
      </c>
      <c r="BM10">
        <v>462104.85165500641</v>
      </c>
      <c r="BN10">
        <v>180852.2961435318</v>
      </c>
      <c r="BO10">
        <v>374336.85321140289</v>
      </c>
      <c r="BP10">
        <v>76842.583191871643</v>
      </c>
      <c r="BQ10">
        <v>-692161.03936672211</v>
      </c>
      <c r="BR10">
        <v>-46908.025084495544</v>
      </c>
      <c r="BS10">
        <v>-102872.77471828461</v>
      </c>
    </row>
    <row r="11" spans="1:71" x14ac:dyDescent="0.25">
      <c r="A11">
        <v>55919614.023452759</v>
      </c>
      <c r="B11">
        <v>10870554.199234009</v>
      </c>
      <c r="C11">
        <v>19782589.677261353</v>
      </c>
      <c r="D11">
        <v>-9234256.0136566162</v>
      </c>
      <c r="E11">
        <v>-31623540.527328491</v>
      </c>
      <c r="F11">
        <v>-27769269.925521851</v>
      </c>
      <c r="G11">
        <v>-26774322.032699585</v>
      </c>
      <c r="H11">
        <v>-6518568.1860198975</v>
      </c>
      <c r="I11">
        <v>-6318381.5868988037</v>
      </c>
      <c r="J11">
        <v>1456815.9331207275</v>
      </c>
      <c r="K11">
        <v>-12575942.052719116</v>
      </c>
      <c r="L11">
        <v>-1319530.442855835</v>
      </c>
      <c r="M11">
        <v>-29592910.795883179</v>
      </c>
      <c r="N11">
        <v>27949354.632827759</v>
      </c>
      <c r="O11">
        <v>24833833.497573853</v>
      </c>
      <c r="P11">
        <v>17794891.586929321</v>
      </c>
      <c r="Q11">
        <v>18194835.884292603</v>
      </c>
      <c r="R11">
        <v>-16031356.30027771</v>
      </c>
      <c r="S11">
        <v>-30073669.15184021</v>
      </c>
      <c r="T11">
        <v>17441578.745132446</v>
      </c>
      <c r="U11">
        <v>51168821.662124634</v>
      </c>
      <c r="V11">
        <v>-10841903.070785522</v>
      </c>
      <c r="W11">
        <v>50988096.368667603</v>
      </c>
      <c r="X11">
        <v>13103597.81300354</v>
      </c>
      <c r="Y11">
        <v>-9821641.6288909912</v>
      </c>
      <c r="Z11">
        <v>6682614.8789215088</v>
      </c>
      <c r="AA11">
        <v>-14036840.010238647</v>
      </c>
      <c r="AB11">
        <v>2403942.2041168213</v>
      </c>
      <c r="AC11">
        <v>-14973025.058578491</v>
      </c>
      <c r="AD11">
        <v>-7196591.3818206787</v>
      </c>
      <c r="AE11">
        <v>7636236.9326324463</v>
      </c>
      <c r="AF11">
        <v>5711769.4839019775</v>
      </c>
      <c r="AG11">
        <v>1411446.4677886963</v>
      </c>
      <c r="AH11">
        <v>1287781.64894104</v>
      </c>
      <c r="AI11">
        <v>-7136537.114730835</v>
      </c>
      <c r="AJ11">
        <v>-9308132.21434021</v>
      </c>
      <c r="AK11">
        <v>-28298522.111312866</v>
      </c>
      <c r="AL11">
        <v>21099272.998550415</v>
      </c>
      <c r="AM11">
        <v>18959548.094741821</v>
      </c>
      <c r="AN11">
        <v>-21194047.741195679</v>
      </c>
      <c r="AO11">
        <v>-16049935.951644897</v>
      </c>
      <c r="AP11">
        <v>5821286.00440979</v>
      </c>
      <c r="AQ11">
        <v>-5402246.895980835</v>
      </c>
      <c r="AR11">
        <v>-10899347.740707397</v>
      </c>
      <c r="AS11">
        <v>28690477.235366821</v>
      </c>
      <c r="AT11">
        <v>-1005270.5341644287</v>
      </c>
      <c r="AU11">
        <v>-9114578.3344573975</v>
      </c>
      <c r="AV11">
        <v>-17874224.453109741</v>
      </c>
      <c r="AW11">
        <v>12409030.370132446</v>
      </c>
      <c r="AX11">
        <v>8692944.4785308838</v>
      </c>
      <c r="AY11">
        <v>-4315950.7070159912</v>
      </c>
      <c r="AZ11">
        <v>7295077.4795074463</v>
      </c>
      <c r="BA11">
        <v>-8468928.0844573975</v>
      </c>
      <c r="BB11">
        <v>4655874.2334136963</v>
      </c>
      <c r="BC11">
        <v>-3917971.7841644287</v>
      </c>
      <c r="BD11">
        <v>-18669162.232894897</v>
      </c>
      <c r="BE11">
        <v>1396867.174331665</v>
      </c>
      <c r="BF11">
        <v>-3836077.9501800537</v>
      </c>
      <c r="BG11">
        <v>-686501.04930114746</v>
      </c>
      <c r="BH11">
        <v>-592283.90623474121</v>
      </c>
      <c r="BI11">
        <v>-8037683.69480896</v>
      </c>
      <c r="BJ11">
        <v>3677653.8154449463</v>
      </c>
      <c r="BK11">
        <v>7519009.8125152588</v>
      </c>
      <c r="BL11">
        <v>-7166993.9579925537</v>
      </c>
      <c r="BM11">
        <v>-10648874.695785522</v>
      </c>
      <c r="BN11">
        <v>-4711286.3339691162</v>
      </c>
      <c r="BO11">
        <v>-7723373.5683441162</v>
      </c>
      <c r="BP11">
        <v>-4108739.3232269287</v>
      </c>
      <c r="BQ11">
        <v>10193446.449234009</v>
      </c>
      <c r="BR11">
        <v>-1684892.8329925537</v>
      </c>
      <c r="BS11">
        <v>504447.49024963379</v>
      </c>
    </row>
    <row r="12" spans="1:71" x14ac:dyDescent="0.25">
      <c r="A12">
        <v>2505296.8898324966</v>
      </c>
      <c r="B12">
        <v>-828763.1543264389</v>
      </c>
      <c r="C12">
        <v>351784.68127536774</v>
      </c>
      <c r="D12">
        <v>-207307.66917324066</v>
      </c>
      <c r="E12">
        <v>-1725739.1580495834</v>
      </c>
      <c r="F12">
        <v>-1147874.3389425278</v>
      </c>
      <c r="G12">
        <v>228608.21443271637</v>
      </c>
      <c r="H12">
        <v>-1127313.1295003891</v>
      </c>
      <c r="I12">
        <v>399825.22976779938</v>
      </c>
      <c r="J12">
        <v>-1115950.2502889633</v>
      </c>
      <c r="K12">
        <v>1899879.7420663834</v>
      </c>
      <c r="L12">
        <v>1736682.3164682388</v>
      </c>
      <c r="M12">
        <v>-3102682.8956594467</v>
      </c>
      <c r="N12">
        <v>961388.94348239899</v>
      </c>
      <c r="O12">
        <v>4032273.2115793228</v>
      </c>
      <c r="P12">
        <v>1336338.7200937271</v>
      </c>
      <c r="Q12">
        <v>2614274.8114786148</v>
      </c>
      <c r="R12">
        <v>-2504003.5425405502</v>
      </c>
      <c r="S12">
        <v>-1791225.3426809311</v>
      </c>
      <c r="T12">
        <v>-1164798.2923574448</v>
      </c>
      <c r="U12">
        <v>2003762.0043344498</v>
      </c>
      <c r="V12">
        <v>-747206.92605495453</v>
      </c>
      <c r="W12">
        <v>2396917.1303110123</v>
      </c>
      <c r="X12">
        <v>1857674.2634134293</v>
      </c>
      <c r="Y12">
        <v>-1077492.2899923325</v>
      </c>
      <c r="Z12">
        <v>81251.793030738831</v>
      </c>
      <c r="AA12">
        <v>-1694925.407286644</v>
      </c>
      <c r="AB12">
        <v>-55634.568114280701</v>
      </c>
      <c r="AC12">
        <v>-725435.64184474945</v>
      </c>
      <c r="AD12">
        <v>633124.97674655914</v>
      </c>
      <c r="AE12">
        <v>1885429.7799692154</v>
      </c>
      <c r="AF12">
        <v>170900.8671579361</v>
      </c>
      <c r="AG12">
        <v>-676289.07781887054</v>
      </c>
      <c r="AH12">
        <v>-183833.64800930023</v>
      </c>
      <c r="AI12">
        <v>-1391123.8812551498</v>
      </c>
      <c r="AJ12">
        <v>-874807.62274074554</v>
      </c>
      <c r="AK12">
        <v>-47953.934752464294</v>
      </c>
      <c r="AL12">
        <v>1729895.1245737076</v>
      </c>
      <c r="AM12">
        <v>1482238.3116464615</v>
      </c>
      <c r="AN12">
        <v>-1055879.752120018</v>
      </c>
      <c r="AO12">
        <v>-1163449.6766042709</v>
      </c>
      <c r="AP12">
        <v>-1073112.0772695541</v>
      </c>
      <c r="AQ12">
        <v>-1396151.0487661362</v>
      </c>
      <c r="AR12">
        <v>-864353.79797267914</v>
      </c>
      <c r="AS12">
        <v>2651159.8433237076</v>
      </c>
      <c r="AT12">
        <v>679796.29954624176</v>
      </c>
      <c r="AU12">
        <v>-331079.80364894867</v>
      </c>
      <c r="AV12">
        <v>-222679.78036403656</v>
      </c>
      <c r="AW12">
        <v>-14210.015471458435</v>
      </c>
      <c r="AX12">
        <v>-203088.89724636078</v>
      </c>
      <c r="AY12">
        <v>-77471.101683616638</v>
      </c>
      <c r="AZ12">
        <v>991637.66238498688</v>
      </c>
      <c r="BA12">
        <v>227686.67440891266</v>
      </c>
      <c r="BB12">
        <v>-74060.065657615662</v>
      </c>
      <c r="BC12">
        <v>-575946.60121059418</v>
      </c>
      <c r="BD12">
        <v>-821660.5300283432</v>
      </c>
      <c r="BE12">
        <v>-422114.33865261078</v>
      </c>
      <c r="BF12">
        <v>-84578.873259544373</v>
      </c>
      <c r="BG12">
        <v>493381.30514621735</v>
      </c>
      <c r="BH12">
        <v>-26302.557646751404</v>
      </c>
      <c r="BI12">
        <v>-876235.61001491547</v>
      </c>
      <c r="BJ12">
        <v>-340234.93075466156</v>
      </c>
      <c r="BK12">
        <v>164777.68414402008</v>
      </c>
      <c r="BL12">
        <v>-59406.247466087341</v>
      </c>
      <c r="BM12">
        <v>-752000.67620754242</v>
      </c>
      <c r="BN12">
        <v>-413751.61013698578</v>
      </c>
      <c r="BO12">
        <v>-429304.16776943207</v>
      </c>
      <c r="BP12">
        <v>-203996.36321926117</v>
      </c>
      <c r="BQ12">
        <v>287765.16409397125</v>
      </c>
      <c r="BR12">
        <v>-212708.736784935</v>
      </c>
      <c r="BS12">
        <v>80386.407380104065</v>
      </c>
    </row>
    <row r="13" spans="1:71" x14ac:dyDescent="0.25">
      <c r="A13">
        <v>-182610.0391626358</v>
      </c>
      <c r="B13">
        <v>306665.88053894043</v>
      </c>
      <c r="C13">
        <v>-453432.93400001526</v>
      </c>
      <c r="D13">
        <v>-393588.86246490479</v>
      </c>
      <c r="E13">
        <v>2283818.0000629425</v>
      </c>
      <c r="F13">
        <v>307519.02934551239</v>
      </c>
      <c r="G13">
        <v>-1894233.924036026</v>
      </c>
      <c r="H13">
        <v>1649131.3794164658</v>
      </c>
      <c r="I13">
        <v>-1275908.5567188263</v>
      </c>
      <c r="J13">
        <v>1662452.3735122681</v>
      </c>
      <c r="K13">
        <v>-5161382.4962329865</v>
      </c>
      <c r="L13">
        <v>-2520340.5704879761</v>
      </c>
      <c r="M13">
        <v>3258535.7484874725</v>
      </c>
      <c r="N13">
        <v>1180984.103061676</v>
      </c>
      <c r="O13">
        <v>-5770554.133605957</v>
      </c>
      <c r="P13">
        <v>-1126972.7567005157</v>
      </c>
      <c r="Q13">
        <v>-2327128.8427753448</v>
      </c>
      <c r="R13">
        <v>2339672.4719429016</v>
      </c>
      <c r="S13">
        <v>1405582.3753128052</v>
      </c>
      <c r="T13">
        <v>3494829.6524524689</v>
      </c>
      <c r="U13">
        <v>-550946.28643798828</v>
      </c>
      <c r="V13">
        <v>1101423.0487709045</v>
      </c>
      <c r="W13">
        <v>414882.1728477478</v>
      </c>
      <c r="X13">
        <v>-2895436.5427455902</v>
      </c>
      <c r="Y13">
        <v>1769514.7659244537</v>
      </c>
      <c r="Z13">
        <v>546154.91206741333</v>
      </c>
      <c r="AA13">
        <v>510315.06792259216</v>
      </c>
      <c r="AB13">
        <v>1608630.4795608521</v>
      </c>
      <c r="AC13">
        <v>-170774.90760421753</v>
      </c>
      <c r="AD13">
        <v>-1787754.6561832428</v>
      </c>
      <c r="AE13">
        <v>-3562696.4410476685</v>
      </c>
      <c r="AF13">
        <v>213555.14462852478</v>
      </c>
      <c r="AG13">
        <v>1434840.0339794159</v>
      </c>
      <c r="AH13">
        <v>636300.50166511536</v>
      </c>
      <c r="AI13">
        <v>1821689.8819103241</v>
      </c>
      <c r="AJ13">
        <v>1865642.3837757111</v>
      </c>
      <c r="AK13">
        <v>-2812197.2087974548</v>
      </c>
      <c r="AL13">
        <v>-1662508.9629936218</v>
      </c>
      <c r="AM13">
        <v>-2013409.5176696777</v>
      </c>
      <c r="AN13">
        <v>832675.45510482788</v>
      </c>
      <c r="AO13">
        <v>1230334.7650794983</v>
      </c>
      <c r="AP13">
        <v>2953362.8442802429</v>
      </c>
      <c r="AQ13">
        <v>3180786.3155097961</v>
      </c>
      <c r="AR13">
        <v>578556.00724411011</v>
      </c>
      <c r="AS13">
        <v>-3660298.9897232056</v>
      </c>
      <c r="AT13">
        <v>-1064011.749048233</v>
      </c>
      <c r="AU13">
        <v>-534071.81830024719</v>
      </c>
      <c r="AV13">
        <v>-1254165.0037193298</v>
      </c>
      <c r="AW13">
        <v>1713023.3156814575</v>
      </c>
      <c r="AX13">
        <v>1094430.6683750153</v>
      </c>
      <c r="AY13">
        <v>-335157.2013835907</v>
      </c>
      <c r="AZ13">
        <v>-1417521.2476997375</v>
      </c>
      <c r="BA13">
        <v>-1746832.6463832855</v>
      </c>
      <c r="BB13">
        <v>1153416.2389526367</v>
      </c>
      <c r="BC13">
        <v>1136863.7056484222</v>
      </c>
      <c r="BD13">
        <v>-212702.90371704102</v>
      </c>
      <c r="BE13">
        <v>961791.98952484131</v>
      </c>
      <c r="BF13">
        <v>-648646.97975921631</v>
      </c>
      <c r="BG13">
        <v>-1034428.8295936584</v>
      </c>
      <c r="BH13">
        <v>-412653.57893371582</v>
      </c>
      <c r="BI13">
        <v>1318706.6585102081</v>
      </c>
      <c r="BJ13">
        <v>1003720.4686412811</v>
      </c>
      <c r="BK13">
        <v>47686.072052001953</v>
      </c>
      <c r="BL13">
        <v>-368694.70151901245</v>
      </c>
      <c r="BM13">
        <v>619176.31464004517</v>
      </c>
      <c r="BN13">
        <v>380034.7183303833</v>
      </c>
      <c r="BO13">
        <v>249716.37802505493</v>
      </c>
      <c r="BP13">
        <v>263460.83679771423</v>
      </c>
      <c r="BQ13">
        <v>326715.9009437561</v>
      </c>
      <c r="BR13">
        <v>394572.7008228302</v>
      </c>
      <c r="BS13">
        <v>-107.51228332519531</v>
      </c>
    </row>
    <row r="14" spans="1:71" x14ac:dyDescent="0.25">
      <c r="A14">
        <v>479858.54218178988</v>
      </c>
      <c r="B14">
        <v>109493.14690285921</v>
      </c>
      <c r="C14">
        <v>197844.06386452913</v>
      </c>
      <c r="D14">
        <v>-156402.58094900846</v>
      </c>
      <c r="E14">
        <v>-145321.96717947721</v>
      </c>
      <c r="F14">
        <v>-189907.82668799162</v>
      </c>
      <c r="G14">
        <v>-212916.93693655729</v>
      </c>
      <c r="H14">
        <v>-97181.810074985027</v>
      </c>
      <c r="I14">
        <v>-69618.745888888836</v>
      </c>
      <c r="J14">
        <v>-52845.800648868084</v>
      </c>
      <c r="K14">
        <v>-258774.00948446989</v>
      </c>
      <c r="L14">
        <v>-184425.22902411222</v>
      </c>
      <c r="M14">
        <v>-166754.38311880827</v>
      </c>
      <c r="N14">
        <v>271823.03141671419</v>
      </c>
      <c r="O14">
        <v>58184.1286419034</v>
      </c>
      <c r="P14">
        <v>71260.056982815266</v>
      </c>
      <c r="Q14">
        <v>123136.5058735013</v>
      </c>
      <c r="R14">
        <v>-100064.86930578947</v>
      </c>
      <c r="S14">
        <v>-390266.96851462126</v>
      </c>
      <c r="T14">
        <v>221790.646918118</v>
      </c>
      <c r="U14">
        <v>549824.65793114901</v>
      </c>
      <c r="V14">
        <v>-583.39062613248825</v>
      </c>
      <c r="W14">
        <v>486158.52501565218</v>
      </c>
      <c r="X14">
        <v>1529.9475620388985</v>
      </c>
      <c r="Y14">
        <v>-46092.443852603436</v>
      </c>
      <c r="Z14">
        <v>166209.55058938265</v>
      </c>
      <c r="AA14">
        <v>-54849.288548648357</v>
      </c>
      <c r="AB14">
        <v>-25685.203995883465</v>
      </c>
      <c r="AC14">
        <v>-229134.8695461154</v>
      </c>
      <c r="AD14">
        <v>-101339.02625769377</v>
      </c>
      <c r="AE14">
        <v>48831.050452053547</v>
      </c>
      <c r="AF14">
        <v>49349.696093380451</v>
      </c>
      <c r="AG14">
        <v>85170.360983669758</v>
      </c>
      <c r="AH14">
        <v>-5326.7511226534843</v>
      </c>
      <c r="AI14">
        <v>8186.1077564358711</v>
      </c>
      <c r="AJ14">
        <v>-37648.912591159344</v>
      </c>
      <c r="AK14">
        <v>-344023.32920569181</v>
      </c>
      <c r="AL14">
        <v>158387.97656518221</v>
      </c>
      <c r="AM14">
        <v>140860.96097451448</v>
      </c>
      <c r="AN14">
        <v>-173571.1309902072</v>
      </c>
      <c r="AO14">
        <v>-98074.410584628582</v>
      </c>
      <c r="AP14">
        <v>101687.81553536654</v>
      </c>
      <c r="AQ14">
        <v>50639.386969387531</v>
      </c>
      <c r="AR14">
        <v>-37878.193215548992</v>
      </c>
      <c r="AS14">
        <v>164631.97913247347</v>
      </c>
      <c r="AT14">
        <v>-57384.616616427898</v>
      </c>
      <c r="AU14">
        <v>-81179.356351077557</v>
      </c>
      <c r="AV14">
        <v>-183919.34797400236</v>
      </c>
      <c r="AW14">
        <v>157257.58872872591</v>
      </c>
      <c r="AX14">
        <v>92717.894060909748</v>
      </c>
      <c r="AY14">
        <v>-70855.312035739422</v>
      </c>
      <c r="AZ14">
        <v>21446.884577572346</v>
      </c>
      <c r="BA14">
        <v>-112994.74848669767</v>
      </c>
      <c r="BB14">
        <v>77824.801119625568</v>
      </c>
      <c r="BC14">
        <v>-3990.3088123202324</v>
      </c>
      <c r="BD14">
        <v>-168213.52499121428</v>
      </c>
      <c r="BE14">
        <v>56281.782542049885</v>
      </c>
      <c r="BF14">
        <v>-49600.888009250164</v>
      </c>
      <c r="BG14">
        <v>-11744.589757144451</v>
      </c>
      <c r="BH14">
        <v>-5733.0122997164726</v>
      </c>
      <c r="BI14">
        <v>-45305.418221652508</v>
      </c>
      <c r="BJ14">
        <v>63819.94196587801</v>
      </c>
      <c r="BK14">
        <v>80744.623678982258</v>
      </c>
      <c r="BL14">
        <v>-65806.287598788738</v>
      </c>
      <c r="BM14">
        <v>-72633.616215884686</v>
      </c>
      <c r="BN14">
        <v>-20437.411282718182</v>
      </c>
      <c r="BO14">
        <v>-58533.573025882244</v>
      </c>
      <c r="BP14">
        <v>-26249.32130163908</v>
      </c>
      <c r="BQ14">
        <v>109047.52206689119</v>
      </c>
      <c r="BR14">
        <v>-1406.8197223544121</v>
      </c>
      <c r="BS14">
        <v>10677.054209530354</v>
      </c>
    </row>
    <row r="15" spans="1:71" x14ac:dyDescent="0.25">
      <c r="A15">
        <v>359692675.52801514</v>
      </c>
      <c r="B15">
        <v>-50626512.585266113</v>
      </c>
      <c r="C15">
        <v>55953085.207702637</v>
      </c>
      <c r="D15">
        <v>-79866126.300109863</v>
      </c>
      <c r="E15">
        <v>-58470941.057922363</v>
      </c>
      <c r="F15">
        <v>-131412711.22003174</v>
      </c>
      <c r="G15">
        <v>-116822520.45635986</v>
      </c>
      <c r="H15">
        <v>-53663644.852844238</v>
      </c>
      <c r="I15">
        <v>-41440668.721984863</v>
      </c>
      <c r="J15">
        <v>-43318737.749328613</v>
      </c>
      <c r="K15">
        <v>-196948396.50714111</v>
      </c>
      <c r="L15">
        <v>-66391493.874328613</v>
      </c>
      <c r="M15">
        <v>-172138819.58135986</v>
      </c>
      <c r="N15">
        <v>244661065.43817139</v>
      </c>
      <c r="O15">
        <v>92806517.625671387</v>
      </c>
      <c r="P15">
        <v>53359089.332702637</v>
      </c>
      <c r="Q15">
        <v>146728218.23309326</v>
      </c>
      <c r="R15">
        <v>-159892934.30401611</v>
      </c>
      <c r="S15">
        <v>-293539342.05401611</v>
      </c>
      <c r="T15">
        <v>132185196.81707764</v>
      </c>
      <c r="U15">
        <v>431726483.41082764</v>
      </c>
      <c r="V15">
        <v>9021657.3561401367</v>
      </c>
      <c r="W15">
        <v>446517705.73895264</v>
      </c>
      <c r="X15">
        <v>-15533510.612609863</v>
      </c>
      <c r="Y15">
        <v>-22126523.104797363</v>
      </c>
      <c r="Z15">
        <v>153482897.19989014</v>
      </c>
      <c r="AA15">
        <v>-104840995.06182861</v>
      </c>
      <c r="AB15">
        <v>19442135.168640137</v>
      </c>
      <c r="AC15">
        <v>-204881503.20635986</v>
      </c>
      <c r="AD15">
        <v>-86758335.331359863</v>
      </c>
      <c r="AE15">
        <v>59013385.539733887</v>
      </c>
      <c r="AF15">
        <v>49739277.090515137</v>
      </c>
      <c r="AG15">
        <v>70326584.551452637</v>
      </c>
      <c r="AH15">
        <v>28699522.809265137</v>
      </c>
      <c r="AI15">
        <v>-19206763.483703613</v>
      </c>
      <c r="AJ15">
        <v>22205847.496765137</v>
      </c>
      <c r="AK15">
        <v>-284627796.56182861</v>
      </c>
      <c r="AL15">
        <v>136239973.56707764</v>
      </c>
      <c r="AM15">
        <v>112662117.57489014</v>
      </c>
      <c r="AN15">
        <v>-125824383.97198486</v>
      </c>
      <c r="AO15">
        <v>-74390719.186828613</v>
      </c>
      <c r="AP15">
        <v>81104480.899108887</v>
      </c>
      <c r="AQ15">
        <v>47646252.942077637</v>
      </c>
      <c r="AR15">
        <v>-28108654.202453613</v>
      </c>
      <c r="AS15">
        <v>125455313.87567139</v>
      </c>
      <c r="AT15">
        <v>-21948843.221984863</v>
      </c>
      <c r="AU15">
        <v>-83199960.323547363</v>
      </c>
      <c r="AV15">
        <v>-155478448.92901611</v>
      </c>
      <c r="AW15">
        <v>138365253.50067139</v>
      </c>
      <c r="AX15">
        <v>59322216.785827637</v>
      </c>
      <c r="AY15">
        <v>-70879538.378234863</v>
      </c>
      <c r="AZ15">
        <v>16005929.070983887</v>
      </c>
      <c r="BA15">
        <v>-111426511.63214111</v>
      </c>
      <c r="BB15">
        <v>85641232.942077637</v>
      </c>
      <c r="BC15">
        <v>-3562282.3313598633</v>
      </c>
      <c r="BD15">
        <v>-148896994.89385986</v>
      </c>
      <c r="BE15">
        <v>33575033.481140137</v>
      </c>
      <c r="BF15">
        <v>-65798667.573547363</v>
      </c>
      <c r="BG15">
        <v>-5952087.7649536133</v>
      </c>
      <c r="BH15">
        <v>-23236420.100891113</v>
      </c>
      <c r="BI15">
        <v>-45586908.261047363</v>
      </c>
      <c r="BJ15">
        <v>37821601.535827637</v>
      </c>
      <c r="BK15">
        <v>50615181.996765137</v>
      </c>
      <c r="BL15">
        <v>-51503489.768859863</v>
      </c>
      <c r="BM15">
        <v>-66907923.417297363</v>
      </c>
      <c r="BN15">
        <v>-24028950.850891113</v>
      </c>
      <c r="BO15">
        <v>-51077302.991516113</v>
      </c>
      <c r="BP15">
        <v>-21525541.698547363</v>
      </c>
      <c r="BQ15">
        <v>81866659.254577637</v>
      </c>
      <c r="BR15">
        <v>-6854287.4407348633</v>
      </c>
      <c r="BS15">
        <v>6813602.0631713867</v>
      </c>
    </row>
    <row r="16" spans="1:71" x14ac:dyDescent="0.25">
      <c r="A16">
        <v>150.35733682656428</v>
      </c>
      <c r="B16">
        <v>44.825738133804407</v>
      </c>
      <c r="C16">
        <v>89.245572046318557</v>
      </c>
      <c r="D16">
        <v>-38.188662440574262</v>
      </c>
      <c r="E16">
        <v>-102.3281207299442</v>
      </c>
      <c r="F16">
        <v>-58.838591197563801</v>
      </c>
      <c r="G16">
        <v>-93.283135579957161</v>
      </c>
      <c r="H16">
        <v>-16.04379184829304</v>
      </c>
      <c r="I16">
        <v>21.093276472704019</v>
      </c>
      <c r="J16">
        <v>-58.415023505745921</v>
      </c>
      <c r="K16">
        <v>51.333018861652818</v>
      </c>
      <c r="L16">
        <v>-29.368733290641103</v>
      </c>
      <c r="M16">
        <v>-180.46452647453407</v>
      </c>
      <c r="N16">
        <v>52.025669308321085</v>
      </c>
      <c r="O16">
        <v>93.125502753944602</v>
      </c>
      <c r="P16">
        <v>50.319262308941688</v>
      </c>
      <c r="Q16">
        <v>161.58678725821665</v>
      </c>
      <c r="R16">
        <v>-89.030487921147142</v>
      </c>
      <c r="S16">
        <v>-91.677700813917909</v>
      </c>
      <c r="T16">
        <v>1.3165858797146939</v>
      </c>
      <c r="U16">
        <v>122.10886582540115</v>
      </c>
      <c r="V16">
        <v>-66.144666474370752</v>
      </c>
      <c r="W16">
        <v>142.810630045773</v>
      </c>
      <c r="X16">
        <v>12.258689449110534</v>
      </c>
      <c r="Y16">
        <v>-49.45125643076608</v>
      </c>
      <c r="Z16">
        <v>38.047946682141628</v>
      </c>
      <c r="AA16">
        <v>-134.49373380100587</v>
      </c>
      <c r="AB16">
        <v>11.218924872518983</v>
      </c>
      <c r="AC16">
        <v>-32.732263524143491</v>
      </c>
      <c r="AD16">
        <v>33.938222970755305</v>
      </c>
      <c r="AE16">
        <v>26.335030130983796</v>
      </c>
      <c r="AF16">
        <v>-22.461933489015792</v>
      </c>
      <c r="AG16">
        <v>-42.960098596347962</v>
      </c>
      <c r="AH16">
        <v>-35.728590520157013</v>
      </c>
      <c r="AI16">
        <v>-66.070941970741842</v>
      </c>
      <c r="AJ16">
        <v>-40.003585562168155</v>
      </c>
      <c r="AK16">
        <v>-71.768506225256715</v>
      </c>
      <c r="AL16">
        <v>87.645488662587013</v>
      </c>
      <c r="AM16">
        <v>34.751737272308674</v>
      </c>
      <c r="AN16">
        <v>-53.112245054973755</v>
      </c>
      <c r="AO16">
        <v>-39.704893002344761</v>
      </c>
      <c r="AP16">
        <v>9.0296196303679608</v>
      </c>
      <c r="AQ16">
        <v>15.510972769872751</v>
      </c>
      <c r="AR16">
        <v>-67.243523697427008</v>
      </c>
      <c r="AS16">
        <v>86.283596096502151</v>
      </c>
      <c r="AT16">
        <v>-6.3546598237589933</v>
      </c>
      <c r="AU16">
        <v>-26.663773678301368</v>
      </c>
      <c r="AV16">
        <v>-21.46969295857707</v>
      </c>
      <c r="AW16">
        <v>54.365755496488418</v>
      </c>
      <c r="AX16">
        <v>30.748652135895099</v>
      </c>
      <c r="AY16">
        <v>2.1494968961342238</v>
      </c>
      <c r="AZ16">
        <v>46.097076516540255</v>
      </c>
      <c r="BA16">
        <v>-3.0510237981216051</v>
      </c>
      <c r="BB16">
        <v>12.045023389102425</v>
      </c>
      <c r="BC16">
        <v>4.014644751267042</v>
      </c>
      <c r="BD16">
        <v>-65.852628167776857</v>
      </c>
      <c r="BE16">
        <v>23.519987869949546</v>
      </c>
      <c r="BF16">
        <v>-9.2088502962724306</v>
      </c>
      <c r="BG16">
        <v>28.12052979686996</v>
      </c>
      <c r="BH16">
        <v>-12.052052471844945</v>
      </c>
      <c r="BI16">
        <v>1.2163604217930697</v>
      </c>
      <c r="BJ16">
        <v>25.491750830726232</v>
      </c>
      <c r="BK16">
        <v>16.696642121241894</v>
      </c>
      <c r="BL16">
        <v>7.5819483156665228</v>
      </c>
      <c r="BM16">
        <v>-26.757019970624242</v>
      </c>
      <c r="BN16">
        <v>-10.411707226245198</v>
      </c>
      <c r="BO16">
        <v>-18.34165686002234</v>
      </c>
      <c r="BP16">
        <v>10.450825253443327</v>
      </c>
      <c r="BQ16">
        <v>43.967712717072573</v>
      </c>
      <c r="BR16">
        <v>14.080377729551401</v>
      </c>
      <c r="BS16">
        <v>24.962819248379674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9"/>
  <sheetViews>
    <sheetView tabSelected="1" zoomScale="190" zoomScaleNormal="190" workbookViewId="0">
      <selection activeCell="B7" sqref="B7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17">MMULT('Matrix (((R)^t.(R))^(-1)).(R)^t'!$A$2:$BS$16,'Tabela Entrada-Saída'!$P$2:$P$72)</f>
        <v>11922896.959060341</v>
      </c>
      <c r="C3" t="e">
        <f>EXP(((-1)/(2*'Cálculos Diversos'!$B$5))*(SQRT(SUMXMY2(Formulário!$B$1:$B$14,'Coordenadas dos Polos'!$P$2:$AC$2)))^2)</f>
        <v>#DIV/0!</v>
      </c>
    </row>
    <row r="4" spans="1:3" x14ac:dyDescent="0.25">
      <c r="A4" t="s">
        <v>16</v>
      </c>
      <c r="B4">
        <v>235217248118.36398</v>
      </c>
      <c r="C4" t="e">
        <f>EXP(((-1)/(2*'Cálculos Diversos'!$B$5))*(SQRT(SUMXMY2(Formulário!$B$1:$B$14,'Coordenadas dos Polos'!$AD$2:$AQ$2)))^2)</f>
        <v>#DIV/0!</v>
      </c>
    </row>
    <row r="5" spans="1:3" x14ac:dyDescent="0.25">
      <c r="A5" t="s">
        <v>23</v>
      </c>
      <c r="B5">
        <v>-1030339363.2654015</v>
      </c>
      <c r="C5" t="e">
        <f>EXP(((-1)/(2*'Cálculos Diversos'!$B$5))*(SQRT(SUMXMY2(Formulário!$B$1:$B$14,'Coordenadas dos Polos'!$AR$2:$BE$2)))^2)</f>
        <v>#DIV/0!</v>
      </c>
    </row>
    <row r="6" spans="1:3" x14ac:dyDescent="0.25">
      <c r="A6" t="s">
        <v>24</v>
      </c>
      <c r="B6">
        <v>21425988945.332142</v>
      </c>
      <c r="C6" t="e">
        <f>EXP(((-1)/(2*'Cálculos Diversos'!$B$5))*(SQRT(SUMXMY2(Formulário!$B$1:$B$14,'Coordenadas dos Polos'!$BF$2:$BS$2)))^2)</f>
        <v>#DIV/0!</v>
      </c>
    </row>
    <row r="7" spans="1:3" x14ac:dyDescent="0.25">
      <c r="A7" t="s">
        <v>35</v>
      </c>
      <c r="B7">
        <v>165102945.20246309</v>
      </c>
      <c r="C7" t="e">
        <f>EXP(((-1)/(2*'Cálculos Diversos'!$B$5))*(SQRT(SUMXMY2(Formulário!$B$1:$B$14,'Coordenadas dos Polos'!$BT$2:$CG$2)))^2)</f>
        <v>#DIV/0!</v>
      </c>
    </row>
    <row r="8" spans="1:3" x14ac:dyDescent="0.25">
      <c r="A8" t="s">
        <v>36</v>
      </c>
      <c r="B8">
        <v>-75653705052.863998</v>
      </c>
      <c r="C8" t="e">
        <f>EXP(((-1)/(2*'Cálculos Diversos'!$B$5))*(SQRT(SUMXMY2(Formulário!$B$1:$B$14,'Coordenadas dos Polos'!$CH$2:$CU$2)))^2)</f>
        <v>#DIV/0!</v>
      </c>
    </row>
    <row r="9" spans="1:3" x14ac:dyDescent="0.25">
      <c r="A9" t="s">
        <v>37</v>
      </c>
      <c r="B9">
        <v>-434814046.4888745</v>
      </c>
      <c r="C9" t="e">
        <f>EXP(((-1)/(2*'Cálculos Diversos'!$B$5))*(SQRT(SUMXMY2(Formulário!$B$1:$B$14,'Coordenadas dos Polos'!$CV$2:$DI$2)))^2)</f>
        <v>#DIV/0!</v>
      </c>
    </row>
    <row r="10" spans="1:3" x14ac:dyDescent="0.25">
      <c r="A10" t="s">
        <v>38</v>
      </c>
      <c r="B10">
        <v>1288825198681.6597</v>
      </c>
      <c r="C10" t="e">
        <f>EXP(((-1)/(2*'Cálculos Diversos'!$B$5))*(SQRT(SUMXMY2(Formulário!$B$1:$B$14,'Coordenadas dos Polos'!$DJ$2:$DW$2)))^2)</f>
        <v>#DIV/0!</v>
      </c>
    </row>
    <row r="11" spans="1:3" x14ac:dyDescent="0.25">
      <c r="A11" t="s">
        <v>39</v>
      </c>
      <c r="B11">
        <v>5141305764.4324999</v>
      </c>
      <c r="C11" t="e">
        <f>EXP(((-1)/(2*'Cálculos Diversos'!$B$5))*(SQRT(SUMXMY2(Formulário!$B$1:$B$14,'Coordenadas dos Polos'!$DX$2:$EK$2)))^2)</f>
        <v>#DIV/0!</v>
      </c>
    </row>
    <row r="12" spans="1:3" x14ac:dyDescent="0.25">
      <c r="A12" t="s">
        <v>40</v>
      </c>
      <c r="B12">
        <v>3498499318.1981373</v>
      </c>
      <c r="C12" t="e">
        <f>EXP(((-1)/(2*'Cálculos Diversos'!$B$5))*(SQRT(SUMXMY2(Formulário!$B$1:$B$14,'Coordenadas dos Polos'!$EL$2:$EY$2)))^2)</f>
        <v>#DIV/0!</v>
      </c>
    </row>
    <row r="13" spans="1:3" x14ac:dyDescent="0.25">
      <c r="A13" t="s">
        <v>41</v>
      </c>
      <c r="B13">
        <v>1480665759.5051293</v>
      </c>
      <c r="C13" t="e">
        <f>EXP(((-1)/(2*'Cálculos Diversos'!$B$5))*(SQRT(SUMXMY2(Formulário!$B$1:$B$14,'Coordenadas dos Polos'!$EZ$2:$FM$2)))^2)</f>
        <v>#DIV/0!</v>
      </c>
    </row>
    <row r="14" spans="1:3" x14ac:dyDescent="0.25">
      <c r="A14" t="s">
        <v>42</v>
      </c>
      <c r="B14">
        <v>-7982368731.4159374</v>
      </c>
      <c r="C14" t="e">
        <f>EXP(((-1)/(2*'Cálculos Diversos'!$B$5))*(SQRT(SUMXMY2(Formulário!$B$1:$B$14,'Coordenadas dos Polos'!$FN$2:$GA$2)))^2)</f>
        <v>#DIV/0!</v>
      </c>
    </row>
    <row r="15" spans="1:3" x14ac:dyDescent="0.25">
      <c r="A15" t="s">
        <v>43</v>
      </c>
      <c r="B15">
        <v>-128230511.73906872</v>
      </c>
      <c r="C15" t="e">
        <f>EXP(((-1)/(2*'Cálculos Diversos'!$B$5))*(SQRT(SUMXMY2(Formulário!$B$1:$B$14,'Coordenadas dos Polos'!$GB$2:$GO$2)))^2)</f>
        <v>#DIV/0!</v>
      </c>
    </row>
    <row r="16" spans="1:3" x14ac:dyDescent="0.25">
      <c r="A16" t="s">
        <v>44</v>
      </c>
      <c r="B16">
        <v>-479139773932.10107</v>
      </c>
      <c r="C16" t="e">
        <f>EXP(((-1)/(2*'Cálculos Diversos'!$B$5))*(SQRT(SUMXMY2(Formulário!$B$1:$B$14,'Coordenadas dos Polos'!$GP$2:$HC$2)))^2)</f>
        <v>#DIV/0!</v>
      </c>
    </row>
    <row r="17" spans="1:3" x14ac:dyDescent="0.25">
      <c r="A17" t="s">
        <v>17</v>
      </c>
      <c r="B17">
        <v>201865.40810848269</v>
      </c>
      <c r="C17">
        <v>1</v>
      </c>
    </row>
    <row r="19" spans="1:3" x14ac:dyDescent="0.25">
      <c r="B19" s="10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0"/>
  <sheetViews>
    <sheetView zoomScale="115" zoomScaleNormal="115" workbookViewId="0">
      <selection activeCell="B14" sqref="B14"/>
    </sheetView>
  </sheetViews>
  <sheetFormatPr defaultColWidth="9.140625" defaultRowHeight="15" x14ac:dyDescent="0.25"/>
  <cols>
    <col min="1" max="1" width="25.85546875" style="5" bestFit="1" customWidth="1"/>
    <col min="2" max="2" width="25.7109375" style="5" customWidth="1"/>
    <col min="3" max="3" width="13.5703125" style="5" customWidth="1"/>
    <col min="4" max="4" width="228.5703125" style="5" customWidth="1"/>
    <col min="5" max="16384" width="9.140625" style="5"/>
  </cols>
  <sheetData>
    <row r="1" spans="1:2" ht="16.5" thickTop="1" thickBot="1" x14ac:dyDescent="0.3">
      <c r="A1" s="3" t="s">
        <v>50</v>
      </c>
      <c r="B1" s="4"/>
    </row>
    <row r="2" spans="1:2" ht="16.5" thickTop="1" thickBot="1" x14ac:dyDescent="0.3">
      <c r="A2" s="3" t="s">
        <v>51</v>
      </c>
      <c r="B2" s="4"/>
    </row>
    <row r="3" spans="1:2" ht="16.5" thickTop="1" thickBot="1" x14ac:dyDescent="0.3">
      <c r="A3" s="3" t="s">
        <v>52</v>
      </c>
      <c r="B3" s="4"/>
    </row>
    <row r="4" spans="1:2" ht="16.5" thickTop="1" thickBot="1" x14ac:dyDescent="0.3">
      <c r="A4" s="3" t="s">
        <v>53</v>
      </c>
      <c r="B4" s="4"/>
    </row>
    <row r="5" spans="1:2" ht="16.5" thickTop="1" thickBot="1" x14ac:dyDescent="0.3">
      <c r="A5" s="3" t="s">
        <v>54</v>
      </c>
      <c r="B5" s="4"/>
    </row>
    <row r="6" spans="1:2" ht="16.5" thickTop="1" thickBot="1" x14ac:dyDescent="0.3">
      <c r="A6" s="3" t="s">
        <v>55</v>
      </c>
      <c r="B6" s="4"/>
    </row>
    <row r="7" spans="1:2" ht="16.5" thickTop="1" thickBot="1" x14ac:dyDescent="0.3">
      <c r="A7" s="3" t="s">
        <v>56</v>
      </c>
      <c r="B7" s="4"/>
    </row>
    <row r="8" spans="1:2" ht="16.5" thickTop="1" thickBot="1" x14ac:dyDescent="0.3">
      <c r="A8" s="3" t="s">
        <v>51</v>
      </c>
      <c r="B8" s="4"/>
    </row>
    <row r="9" spans="1:2" ht="16.5" thickTop="1" thickBot="1" x14ac:dyDescent="0.3">
      <c r="A9" s="3" t="s">
        <v>52</v>
      </c>
      <c r="B9" s="4"/>
    </row>
    <row r="10" spans="1:2" ht="16.5" thickTop="1" thickBot="1" x14ac:dyDescent="0.3">
      <c r="A10" s="3" t="s">
        <v>57</v>
      </c>
      <c r="B10" s="4"/>
    </row>
    <row r="11" spans="1:2" ht="16.5" thickTop="1" thickBot="1" x14ac:dyDescent="0.3">
      <c r="A11" s="3" t="s">
        <v>58</v>
      </c>
      <c r="B11" s="4"/>
    </row>
    <row r="12" spans="1:2" ht="16.5" thickTop="1" thickBot="1" x14ac:dyDescent="0.3">
      <c r="A12" s="3" t="s">
        <v>59</v>
      </c>
      <c r="B12" s="4"/>
    </row>
    <row r="13" spans="1:2" ht="16.5" thickTop="1" thickBot="1" x14ac:dyDescent="0.3">
      <c r="A13" s="3" t="s">
        <v>60</v>
      </c>
      <c r="B13" s="4"/>
    </row>
    <row r="14" spans="1:2" ht="16.5" thickTop="1" thickBot="1" x14ac:dyDescent="0.3">
      <c r="A14" s="3" t="s">
        <v>61</v>
      </c>
      <c r="B14" s="4"/>
    </row>
    <row r="15" spans="1:2" ht="16.5" thickTop="1" thickBot="1" x14ac:dyDescent="0.3">
      <c r="A15" s="3" t="s">
        <v>62</v>
      </c>
      <c r="B15" s="6" t="str">
        <f>IFERROR(SUMPRODUCT(Solução!$B$3:$B$17,Solução!$C$3:$C$17),"")</f>
        <v/>
      </c>
    </row>
    <row r="16" spans="1:2" ht="16.5" thickTop="1" thickBot="1" x14ac:dyDescent="0.3">
      <c r="A16" s="3" t="s">
        <v>18</v>
      </c>
      <c r="B16" s="7">
        <f>'Coeficiente de Acerto'!$B$147</f>
        <v>0.98008395173096585</v>
      </c>
    </row>
    <row r="17" spans="1:2" ht="409.6" thickTop="1" thickBot="1" x14ac:dyDescent="0.3">
      <c r="A17" s="3" t="s">
        <v>19</v>
      </c>
      <c r="B17" s="8" t="s">
        <v>66</v>
      </c>
    </row>
    <row r="18" spans="1:2" ht="16.5" thickTop="1" thickBot="1" x14ac:dyDescent="0.3">
      <c r="A18" s="3" t="s">
        <v>14</v>
      </c>
      <c r="B18" s="9" t="s">
        <v>63</v>
      </c>
    </row>
    <row r="19" spans="1:2" ht="16.5" thickTop="1" thickBot="1" x14ac:dyDescent="0.3">
      <c r="A19" s="3" t="s">
        <v>20</v>
      </c>
      <c r="B19" s="9" t="s">
        <v>64</v>
      </c>
    </row>
    <row r="20" spans="1:2" ht="15.75" thickTop="1" x14ac:dyDescent="0.25"/>
  </sheetData>
  <sheetProtection algorithmName="SHA-512" hashValue="J2ErUHz5VBnvGdG9Ab4BuXlNBzgm4mFCq4bhykeWWiIuQqo2aa+YuEpkUVldiAtbYwWj8qoNUI50ypemG+IT+Q==" saltValue="Z0VO/iG1OK8QvF1kXBY0P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fitToPage="1"/>
  </sheetPr>
  <dimension ref="A1:Q57"/>
  <sheetViews>
    <sheetView topLeftCell="A46" zoomScale="130" zoomScaleNormal="130" workbookViewId="0">
      <selection activeCell="A58" sqref="A58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17" x14ac:dyDescent="0.25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67</v>
      </c>
      <c r="Q1" s="1" t="s">
        <v>68</v>
      </c>
    </row>
    <row r="2" spans="1:17" x14ac:dyDescent="0.25">
      <c r="A2" s="1">
        <v>1</v>
      </c>
      <c r="B2" s="1">
        <v>1.24</v>
      </c>
      <c r="C2" s="1">
        <v>280</v>
      </c>
      <c r="D2" s="1">
        <v>80</v>
      </c>
      <c r="E2" s="1">
        <v>0.10100000000000001</v>
      </c>
      <c r="F2" s="1">
        <v>100000</v>
      </c>
      <c r="G2" s="1">
        <v>6.12</v>
      </c>
      <c r="H2" s="1">
        <v>0.35</v>
      </c>
      <c r="I2" s="1">
        <v>980</v>
      </c>
      <c r="J2" s="1">
        <v>907</v>
      </c>
      <c r="K2" s="1">
        <v>3.1E-2</v>
      </c>
      <c r="L2" s="1">
        <v>200000</v>
      </c>
      <c r="M2" s="1">
        <v>0.14000000000000001</v>
      </c>
      <c r="N2" s="1">
        <v>0.8</v>
      </c>
      <c r="O2" s="1">
        <v>190</v>
      </c>
      <c r="P2" s="1">
        <v>4191.6493949131036</v>
      </c>
      <c r="Q2" s="1">
        <v>4214.6471578167693</v>
      </c>
    </row>
    <row r="3" spans="1:17" x14ac:dyDescent="0.25">
      <c r="A3" s="1">
        <v>4</v>
      </c>
      <c r="B3" s="1">
        <v>1.24</v>
      </c>
      <c r="C3" s="1">
        <v>280</v>
      </c>
      <c r="D3" s="1">
        <v>60</v>
      </c>
      <c r="E3" s="1">
        <v>0.18099999999999999</v>
      </c>
      <c r="F3" s="1">
        <v>100000</v>
      </c>
      <c r="G3" s="1">
        <v>9.1999999999999993</v>
      </c>
      <c r="H3" s="1">
        <v>0.43</v>
      </c>
      <c r="I3" s="1">
        <v>800</v>
      </c>
      <c r="J3" s="1">
        <v>386</v>
      </c>
      <c r="K3" s="1">
        <v>8.1000000000000003E-2</v>
      </c>
      <c r="L3" s="1">
        <v>200000</v>
      </c>
      <c r="M3" s="1">
        <v>0.2</v>
      </c>
      <c r="N3" s="1">
        <v>0.5</v>
      </c>
      <c r="O3" s="1">
        <v>160</v>
      </c>
      <c r="P3" s="1">
        <v>3370.7158651045684</v>
      </c>
      <c r="Q3" s="1">
        <v>3282.500050782779</v>
      </c>
    </row>
    <row r="4" spans="1:17" x14ac:dyDescent="0.25">
      <c r="A4" s="1">
        <v>6</v>
      </c>
      <c r="B4" s="1">
        <v>1.1599999999999999</v>
      </c>
      <c r="C4" s="1">
        <v>300</v>
      </c>
      <c r="D4" s="1">
        <v>60</v>
      </c>
      <c r="E4" s="1">
        <v>0.10199999999999999</v>
      </c>
      <c r="F4" s="1">
        <v>100000</v>
      </c>
      <c r="G4" s="1">
        <v>4.87</v>
      </c>
      <c r="H4" s="1">
        <v>0.35</v>
      </c>
      <c r="I4" s="1">
        <v>990</v>
      </c>
      <c r="J4" s="1">
        <v>451</v>
      </c>
      <c r="K4" s="1">
        <v>4.4999999999999998E-2</v>
      </c>
      <c r="L4" s="1">
        <v>200000</v>
      </c>
      <c r="M4" s="1">
        <v>0.15</v>
      </c>
      <c r="N4" s="1">
        <v>0.45</v>
      </c>
      <c r="O4" s="1">
        <v>200</v>
      </c>
      <c r="P4" s="1">
        <v>2570.2026757584463</v>
      </c>
      <c r="Q4" s="1">
        <v>2575.7806753465848</v>
      </c>
    </row>
    <row r="5" spans="1:17" x14ac:dyDescent="0.25">
      <c r="A5" s="1">
        <v>7</v>
      </c>
      <c r="B5" s="1">
        <v>1.1599999999999999</v>
      </c>
      <c r="C5" s="1">
        <v>300</v>
      </c>
      <c r="D5" s="1">
        <v>50</v>
      </c>
      <c r="E5" s="1">
        <v>0.18099999999999999</v>
      </c>
      <c r="F5" s="1">
        <v>100000</v>
      </c>
      <c r="G5" s="1">
        <v>7.28</v>
      </c>
      <c r="H5" s="1">
        <v>0.53</v>
      </c>
      <c r="I5" s="1">
        <v>850</v>
      </c>
      <c r="J5" s="1">
        <v>257</v>
      </c>
      <c r="K5" s="1">
        <v>8.1000000000000003E-2</v>
      </c>
      <c r="L5" s="1">
        <v>200000</v>
      </c>
      <c r="M5" s="1">
        <v>0.2</v>
      </c>
      <c r="N5" s="1">
        <v>0.7</v>
      </c>
      <c r="O5" s="1">
        <v>190</v>
      </c>
      <c r="P5" s="1">
        <v>2165.4299122843004</v>
      </c>
      <c r="Q5" s="1">
        <v>2189.4426752772124</v>
      </c>
    </row>
    <row r="6" spans="1:17" x14ac:dyDescent="0.25">
      <c r="A6" s="1">
        <v>8</v>
      </c>
      <c r="B6" s="1">
        <v>1.1599999999999999</v>
      </c>
      <c r="C6" s="1">
        <v>300</v>
      </c>
      <c r="D6" s="1">
        <v>70</v>
      </c>
      <c r="E6" s="1">
        <v>0.10199999999999999</v>
      </c>
      <c r="F6" s="1">
        <v>100000</v>
      </c>
      <c r="G6" s="1">
        <v>9.9499999999999993</v>
      </c>
      <c r="H6" s="1">
        <v>0.39</v>
      </c>
      <c r="I6" s="1">
        <v>900</v>
      </c>
      <c r="J6" s="1">
        <v>471</v>
      </c>
      <c r="K6" s="1">
        <v>4.4999999999999998E-2</v>
      </c>
      <c r="L6" s="1">
        <v>200000</v>
      </c>
      <c r="M6" s="1">
        <v>0.15</v>
      </c>
      <c r="N6" s="1">
        <v>0.8</v>
      </c>
      <c r="O6" s="1">
        <v>160</v>
      </c>
      <c r="P6" s="1">
        <v>2739.5433533464602</v>
      </c>
      <c r="Q6" s="1">
        <v>2838.9729663614125</v>
      </c>
    </row>
    <row r="7" spans="1:17" x14ac:dyDescent="0.25">
      <c r="A7" s="1">
        <v>9</v>
      </c>
      <c r="B7" s="1">
        <v>1.1599999999999999</v>
      </c>
      <c r="C7" s="1">
        <v>300</v>
      </c>
      <c r="D7" s="1">
        <v>60</v>
      </c>
      <c r="E7" s="1">
        <v>0.10100000000000001</v>
      </c>
      <c r="F7" s="1">
        <v>100000</v>
      </c>
      <c r="G7" s="1">
        <v>4.32</v>
      </c>
      <c r="H7" s="1">
        <v>0.39</v>
      </c>
      <c r="I7" s="1">
        <v>900</v>
      </c>
      <c r="J7" s="1">
        <v>575</v>
      </c>
      <c r="K7" s="1">
        <v>3.1E-2</v>
      </c>
      <c r="L7" s="1">
        <v>200000</v>
      </c>
      <c r="M7" s="1">
        <v>0.14000000000000001</v>
      </c>
      <c r="N7" s="1">
        <v>0.7</v>
      </c>
      <c r="O7" s="1">
        <v>270</v>
      </c>
      <c r="P7" s="1">
        <v>2381.3182786448087</v>
      </c>
      <c r="Q7" s="1">
        <v>2460.0316465903015</v>
      </c>
    </row>
    <row r="8" spans="1:17" x14ac:dyDescent="0.25">
      <c r="A8" s="1">
        <v>11</v>
      </c>
      <c r="B8" s="1">
        <v>1.1667530292701285</v>
      </c>
      <c r="C8" s="1">
        <v>286.66781485369677</v>
      </c>
      <c r="D8" s="1">
        <v>49.320530346724809</v>
      </c>
      <c r="E8" s="1">
        <v>0.16965971584048542</v>
      </c>
      <c r="F8" s="1">
        <v>100000</v>
      </c>
      <c r="G8" s="1">
        <v>2.295154926737681</v>
      </c>
      <c r="H8" s="1">
        <v>0.4126623629590726</v>
      </c>
      <c r="I8" s="1">
        <v>763.12336098254946</v>
      </c>
      <c r="J8" s="1">
        <v>658.63039850330097</v>
      </c>
      <c r="K8" s="1">
        <v>4.6033458396396595E-2</v>
      </c>
      <c r="L8" s="1">
        <v>192584.85386646137</v>
      </c>
      <c r="M8" s="1">
        <v>0.14992799634844137</v>
      </c>
      <c r="N8" s="1">
        <v>0.78927563588214744</v>
      </c>
      <c r="O8" s="1">
        <v>240.59562282956699</v>
      </c>
      <c r="P8" s="1">
        <v>2540.1111195078629</v>
      </c>
      <c r="Q8" s="1">
        <v>2414.9735166799219</v>
      </c>
    </row>
    <row r="9" spans="1:17" x14ac:dyDescent="0.25">
      <c r="A9" s="1">
        <v>13</v>
      </c>
      <c r="B9" s="1">
        <v>1.2044158756957899</v>
      </c>
      <c r="C9" s="1">
        <v>292.14325950932323</v>
      </c>
      <c r="D9" s="1">
        <v>13.784159862966366</v>
      </c>
      <c r="E9" s="1">
        <v>0.13519853459984163</v>
      </c>
      <c r="F9" s="1">
        <v>100000</v>
      </c>
      <c r="G9" s="1">
        <v>6.4358138575449297</v>
      </c>
      <c r="H9" s="1">
        <v>0.47521773855147065</v>
      </c>
      <c r="I9" s="1">
        <v>859.52565190576479</v>
      </c>
      <c r="J9" s="1">
        <v>517.43981495248045</v>
      </c>
      <c r="K9" s="1">
        <v>1.7006569355698664E-2</v>
      </c>
      <c r="L9" s="1">
        <v>185485.27945778327</v>
      </c>
      <c r="M9" s="1">
        <v>0.16777236757156772</v>
      </c>
      <c r="N9" s="1">
        <v>0.43828899956512724</v>
      </c>
      <c r="O9" s="1">
        <v>239.06278275957965</v>
      </c>
      <c r="P9" s="1">
        <v>1994.1680413612557</v>
      </c>
      <c r="Q9" s="1">
        <v>1923.3298644829483</v>
      </c>
    </row>
    <row r="10" spans="1:17" x14ac:dyDescent="0.25">
      <c r="A10" s="1">
        <v>17</v>
      </c>
      <c r="B10" s="1">
        <v>1.1705519537285254</v>
      </c>
      <c r="C10" s="1">
        <v>296.41512812195037</v>
      </c>
      <c r="D10" s="1">
        <v>17.09713766634048</v>
      </c>
      <c r="E10" s="1">
        <v>1.1297325946142467E-2</v>
      </c>
      <c r="F10" s="1">
        <v>100000</v>
      </c>
      <c r="G10" s="1">
        <v>7.797394521943243</v>
      </c>
      <c r="H10" s="1">
        <v>0.42511131650732253</v>
      </c>
      <c r="I10" s="1">
        <v>837.90801417929572</v>
      </c>
      <c r="J10" s="1">
        <v>302.03935286183753</v>
      </c>
      <c r="K10" s="1">
        <v>4.7695453847198456E-2</v>
      </c>
      <c r="L10" s="1">
        <v>153967.22939929293</v>
      </c>
      <c r="M10" s="1">
        <v>9.8065370514674718E-2</v>
      </c>
      <c r="N10" s="1">
        <v>0.38261673701297944</v>
      </c>
      <c r="O10" s="1">
        <v>253.5264895781134</v>
      </c>
      <c r="P10" s="1">
        <v>1149.0235776170666</v>
      </c>
      <c r="Q10" s="1">
        <v>1180.8220713181363</v>
      </c>
    </row>
    <row r="11" spans="1:17" x14ac:dyDescent="0.25">
      <c r="A11" s="1">
        <v>19</v>
      </c>
      <c r="B11" s="1">
        <v>1.1752045171504428</v>
      </c>
      <c r="C11" s="1">
        <v>297.74115631905158</v>
      </c>
      <c r="D11" s="1">
        <v>8.6568593347077503</v>
      </c>
      <c r="E11" s="1">
        <v>3.3736437305737742E-2</v>
      </c>
      <c r="F11" s="1">
        <v>100000</v>
      </c>
      <c r="G11" s="1">
        <v>9.388218612579923</v>
      </c>
      <c r="H11" s="1">
        <v>0.50262940547937096</v>
      </c>
      <c r="I11" s="1">
        <v>878.12281029710459</v>
      </c>
      <c r="J11" s="1">
        <v>67.154104815149424</v>
      </c>
      <c r="K11" s="1">
        <v>3.4689302241255798E-2</v>
      </c>
      <c r="L11" s="1">
        <v>199671.44947157963</v>
      </c>
      <c r="M11" s="1">
        <v>0.10720512038672406</v>
      </c>
      <c r="N11" s="1">
        <v>0.46647876339672478</v>
      </c>
      <c r="O11" s="1">
        <v>186.42886849743837</v>
      </c>
      <c r="P11" s="1">
        <v>1923.1835614032389</v>
      </c>
      <c r="Q11" s="1">
        <v>1850.3597551776038</v>
      </c>
    </row>
    <row r="12" spans="1:17" x14ac:dyDescent="0.25">
      <c r="A12" s="1">
        <v>23</v>
      </c>
      <c r="B12" s="1">
        <v>1.1863645271249033</v>
      </c>
      <c r="C12" s="1">
        <v>294.02941129868037</v>
      </c>
      <c r="D12" s="1">
        <v>13.037246120227197</v>
      </c>
      <c r="E12" s="1">
        <v>9.8599031473302109E-2</v>
      </c>
      <c r="F12" s="1">
        <v>100000</v>
      </c>
      <c r="G12" s="1">
        <v>2.8359104940982225</v>
      </c>
      <c r="H12" s="1">
        <v>0.4006640491038907</v>
      </c>
      <c r="I12" s="1">
        <v>875.80464183734</v>
      </c>
      <c r="J12" s="1">
        <v>524.92679152448727</v>
      </c>
      <c r="K12" s="1">
        <v>5.0520113780222795E-2</v>
      </c>
      <c r="L12" s="1">
        <v>118231.58451703473</v>
      </c>
      <c r="M12" s="1">
        <v>0.14535954538161339</v>
      </c>
      <c r="N12" s="1">
        <v>0.61141248666221903</v>
      </c>
      <c r="O12" s="1">
        <v>198.02834093429564</v>
      </c>
      <c r="P12" s="1">
        <v>1973.9178719820266</v>
      </c>
      <c r="Q12" s="1">
        <v>2025.2543502138869</v>
      </c>
    </row>
    <row r="13" spans="1:17" x14ac:dyDescent="0.25">
      <c r="A13" s="1">
        <v>25</v>
      </c>
      <c r="B13" s="1">
        <v>1.1729645406537783</v>
      </c>
      <c r="C13" s="1">
        <v>293.39660969092347</v>
      </c>
      <c r="D13" s="1">
        <v>66.486766660015746</v>
      </c>
      <c r="E13" s="1">
        <v>0.13917979513766859</v>
      </c>
      <c r="F13" s="1">
        <v>100000</v>
      </c>
      <c r="G13" s="1">
        <v>0.54758259115975338</v>
      </c>
      <c r="H13" s="1">
        <v>0.50760459962582272</v>
      </c>
      <c r="I13" s="1">
        <v>757.77837271387534</v>
      </c>
      <c r="J13" s="1">
        <v>252.82665385718241</v>
      </c>
      <c r="K13" s="1">
        <v>4.9254877084440554E-2</v>
      </c>
      <c r="L13" s="1">
        <v>161577.46491429102</v>
      </c>
      <c r="M13" s="1">
        <v>9.3950193646043512E-2</v>
      </c>
      <c r="N13" s="1">
        <v>0.65428073687006583</v>
      </c>
      <c r="O13" s="1">
        <v>242.55474133985615</v>
      </c>
      <c r="P13" s="1">
        <v>990.02375374285475</v>
      </c>
      <c r="Q13" s="1">
        <v>1033.193820644723</v>
      </c>
    </row>
    <row r="14" spans="1:17" x14ac:dyDescent="0.25">
      <c r="A14" s="1">
        <v>26</v>
      </c>
      <c r="B14" s="1">
        <v>1.1715399378752125</v>
      </c>
      <c r="C14" s="1">
        <v>293.9186882234294</v>
      </c>
      <c r="D14" s="1">
        <v>10.639739294747354</v>
      </c>
      <c r="E14" s="1">
        <v>0.14589480298499208</v>
      </c>
      <c r="F14" s="1">
        <v>100000</v>
      </c>
      <c r="G14" s="1">
        <v>6.2802530069970279</v>
      </c>
      <c r="H14" s="1">
        <v>0.48129577225547154</v>
      </c>
      <c r="I14" s="1">
        <v>796.1142927222711</v>
      </c>
      <c r="J14" s="1">
        <v>485.07747877766099</v>
      </c>
      <c r="K14" s="1">
        <v>2.3442500483973602E-2</v>
      </c>
      <c r="L14" s="1">
        <v>126852.1169651916</v>
      </c>
      <c r="M14" s="1">
        <v>5.5247567391543219E-2</v>
      </c>
      <c r="N14" s="1">
        <v>0.405983829114971</v>
      </c>
      <c r="O14" s="1">
        <v>202.86834376671251</v>
      </c>
      <c r="P14" s="1">
        <v>1876.833326313812</v>
      </c>
      <c r="Q14" s="1">
        <v>1817.0533482288884</v>
      </c>
    </row>
    <row r="15" spans="1:17" x14ac:dyDescent="0.25">
      <c r="A15" s="1">
        <v>28</v>
      </c>
      <c r="B15" s="1">
        <v>1.1788818218014081</v>
      </c>
      <c r="C15" s="1">
        <v>291.40269925733168</v>
      </c>
      <c r="D15" s="1">
        <v>17.155108207148217</v>
      </c>
      <c r="E15" s="1">
        <v>0.12416363904584618</v>
      </c>
      <c r="F15" s="1">
        <v>100000</v>
      </c>
      <c r="G15" s="1">
        <v>8.6604743009740854</v>
      </c>
      <c r="H15" s="1">
        <v>0.50364466674952724</v>
      </c>
      <c r="I15" s="1">
        <v>856.32376372973397</v>
      </c>
      <c r="J15" s="1">
        <v>128.82182759155734</v>
      </c>
      <c r="K15" s="1">
        <v>1.911811758958129E-2</v>
      </c>
      <c r="L15" s="1">
        <v>174918.71712178297</v>
      </c>
      <c r="M15" s="1">
        <v>0.12237837266074655</v>
      </c>
      <c r="N15" s="1">
        <v>0.60926705612178278</v>
      </c>
      <c r="O15" s="1">
        <v>214.09505846836413</v>
      </c>
      <c r="P15" s="1">
        <v>1335.7393316167218</v>
      </c>
      <c r="Q15" s="1">
        <v>1375.3941444890515</v>
      </c>
    </row>
    <row r="16" spans="1:17" x14ac:dyDescent="0.25">
      <c r="A16" s="1">
        <v>32</v>
      </c>
      <c r="B16" s="1">
        <v>1.1797900198056976</v>
      </c>
      <c r="C16" s="1">
        <v>290.67264167452203</v>
      </c>
      <c r="D16" s="1">
        <v>66.026138134958799</v>
      </c>
      <c r="E16" s="1">
        <v>0.1180464638117775</v>
      </c>
      <c r="F16" s="1">
        <v>100000</v>
      </c>
      <c r="G16" s="1">
        <v>1.2418117434650759</v>
      </c>
      <c r="H16" s="1">
        <v>0.47787253304630201</v>
      </c>
      <c r="I16" s="1">
        <v>796.06474478961582</v>
      </c>
      <c r="J16" s="1">
        <v>467.94523334836521</v>
      </c>
      <c r="K16" s="1">
        <v>1.6199251332970285E-2</v>
      </c>
      <c r="L16" s="1">
        <v>144799.10797847839</v>
      </c>
      <c r="M16" s="1">
        <v>0.12937872250377058</v>
      </c>
      <c r="N16" s="1">
        <v>0.52336254094954071</v>
      </c>
      <c r="O16" s="1">
        <v>226.32793943076197</v>
      </c>
      <c r="P16" s="1">
        <v>1702.9714892952979</v>
      </c>
      <c r="Q16" s="1">
        <v>1690.2476567408012</v>
      </c>
    </row>
    <row r="17" spans="1:17" x14ac:dyDescent="0.25">
      <c r="A17" s="1">
        <v>34</v>
      </c>
      <c r="B17" s="1">
        <v>1.1740108036653045</v>
      </c>
      <c r="C17" s="1">
        <v>294.18421439601582</v>
      </c>
      <c r="D17" s="1">
        <v>12.472413966080417</v>
      </c>
      <c r="E17" s="1">
        <v>7.3532746256728482E-2</v>
      </c>
      <c r="F17" s="1">
        <v>100000</v>
      </c>
      <c r="G17" s="1">
        <v>4.3413156370180292</v>
      </c>
      <c r="H17" s="1">
        <v>0.47937211126068502</v>
      </c>
      <c r="I17" s="1">
        <v>856.89120321277517</v>
      </c>
      <c r="J17" s="1">
        <v>204.55512875290879</v>
      </c>
      <c r="K17" s="1">
        <v>3.9142450608180529E-2</v>
      </c>
      <c r="L17" s="1">
        <v>153067.13892342028</v>
      </c>
      <c r="M17" s="1">
        <v>8.6462074165304187E-2</v>
      </c>
      <c r="N17" s="1">
        <v>0.51732571224818946</v>
      </c>
      <c r="O17" s="1">
        <v>222.68074341819968</v>
      </c>
      <c r="P17" s="1">
        <v>840.43014171258983</v>
      </c>
      <c r="Q17" s="1">
        <v>843.96505391094252</v>
      </c>
    </row>
    <row r="18" spans="1:17" x14ac:dyDescent="0.25">
      <c r="A18" s="1">
        <v>35</v>
      </c>
      <c r="B18" s="1">
        <v>1.1774975665717502</v>
      </c>
      <c r="C18" s="1">
        <v>289.77045828002298</v>
      </c>
      <c r="D18" s="1">
        <v>54.995103183103538</v>
      </c>
      <c r="E18" s="1">
        <v>0.13275361359695659</v>
      </c>
      <c r="F18" s="1">
        <v>100000</v>
      </c>
      <c r="G18" s="1">
        <v>5.9604136976445146</v>
      </c>
      <c r="H18" s="1">
        <v>0.49048233117694279</v>
      </c>
      <c r="I18" s="1">
        <v>792.9980383952992</v>
      </c>
      <c r="J18" s="1">
        <v>221.92959695996637</v>
      </c>
      <c r="K18" s="1">
        <v>5.7019462483625022E-2</v>
      </c>
      <c r="L18" s="1">
        <v>150467.79922292745</v>
      </c>
      <c r="M18" s="1">
        <v>9.6555226567152264E-2</v>
      </c>
      <c r="N18" s="1">
        <v>0.42798539765641624</v>
      </c>
      <c r="O18" s="1">
        <v>204.19581862323108</v>
      </c>
      <c r="P18" s="1">
        <v>1412.2933062316661</v>
      </c>
      <c r="Q18" s="1">
        <v>1356.7844328420178</v>
      </c>
    </row>
    <row r="19" spans="1:17" x14ac:dyDescent="0.25">
      <c r="A19" s="1">
        <v>37</v>
      </c>
      <c r="B19" s="1">
        <v>1.1880193984562519</v>
      </c>
      <c r="C19" s="1">
        <v>290.34443836343758</v>
      </c>
      <c r="D19" s="1">
        <v>20.79046632431924</v>
      </c>
      <c r="E19" s="1">
        <v>0.12050327512497727</v>
      </c>
      <c r="F19" s="1">
        <v>100000</v>
      </c>
      <c r="G19" s="1">
        <v>7.208984026833253</v>
      </c>
      <c r="H19" s="1">
        <v>0.49800045285576833</v>
      </c>
      <c r="I19" s="1">
        <v>774.14785444496806</v>
      </c>
      <c r="J19" s="1">
        <v>413.10382944474213</v>
      </c>
      <c r="K19" s="1">
        <v>6.6402143536600414E-2</v>
      </c>
      <c r="L19" s="1">
        <v>153176.60417975322</v>
      </c>
      <c r="M19" s="1">
        <v>0.13488863416600988</v>
      </c>
      <c r="N19" s="1">
        <v>0.51960387305215694</v>
      </c>
      <c r="O19" s="1">
        <v>233.21321473397438</v>
      </c>
      <c r="P19" s="1">
        <v>1862.3601495018738</v>
      </c>
      <c r="Q19" s="1">
        <v>1819.0326507767604</v>
      </c>
    </row>
    <row r="20" spans="1:17" x14ac:dyDescent="0.25">
      <c r="A20" s="1">
        <v>39</v>
      </c>
      <c r="B20" s="1">
        <v>1.188208708218486</v>
      </c>
      <c r="C20" s="1">
        <v>291.78138601097066</v>
      </c>
      <c r="D20" s="1">
        <v>54.417062328338005</v>
      </c>
      <c r="E20" s="1">
        <v>0.11984691524485561</v>
      </c>
      <c r="F20" s="1">
        <v>100000</v>
      </c>
      <c r="G20" s="1">
        <v>4.5946741819401611</v>
      </c>
      <c r="H20" s="1">
        <v>0.49554605436762339</v>
      </c>
      <c r="I20" s="1">
        <v>808.0530573980119</v>
      </c>
      <c r="J20" s="1">
        <v>441.557111085016</v>
      </c>
      <c r="K20" s="1">
        <v>3.468970930591566E-2</v>
      </c>
      <c r="L20" s="1">
        <v>142985.29682538088</v>
      </c>
      <c r="M20" s="1">
        <v>0.13392630559334717</v>
      </c>
      <c r="N20" s="1">
        <v>0.58751493399264021</v>
      </c>
      <c r="O20" s="1">
        <v>237.16846774225661</v>
      </c>
      <c r="P20" s="1">
        <v>1695.9753761401444</v>
      </c>
      <c r="Q20" s="1">
        <v>1660.1839436186419</v>
      </c>
    </row>
    <row r="21" spans="1:17" x14ac:dyDescent="0.25">
      <c r="A21" s="1">
        <v>40</v>
      </c>
      <c r="B21" s="1">
        <v>1.1823323324246318</v>
      </c>
      <c r="C21" s="1">
        <v>291.40003325127111</v>
      </c>
      <c r="D21" s="1">
        <v>28.174629100653142</v>
      </c>
      <c r="E21" s="1">
        <v>0.10756887787380046</v>
      </c>
      <c r="F21" s="1">
        <v>100000</v>
      </c>
      <c r="G21" s="1">
        <v>3.9469385163900896</v>
      </c>
      <c r="H21" s="1">
        <v>0.49099757408999006</v>
      </c>
      <c r="I21" s="1">
        <v>795.84163470431122</v>
      </c>
      <c r="J21" s="1">
        <v>297.6066609435901</v>
      </c>
      <c r="K21" s="1">
        <v>1.7798500623277026E-2</v>
      </c>
      <c r="L21" s="1">
        <v>175531.81586677657</v>
      </c>
      <c r="M21" s="1">
        <v>0.11772047107791392</v>
      </c>
      <c r="N21" s="1">
        <v>0.60724462791988643</v>
      </c>
      <c r="O21" s="1">
        <v>224.69077563153093</v>
      </c>
      <c r="P21" s="1">
        <v>1440.3615554309727</v>
      </c>
      <c r="Q21" s="1">
        <v>1392.7503713225888</v>
      </c>
    </row>
    <row r="22" spans="1:17" x14ac:dyDescent="0.25">
      <c r="A22" s="1">
        <v>41</v>
      </c>
      <c r="B22" s="1">
        <v>1.1822897611420855</v>
      </c>
      <c r="C22" s="1">
        <v>289.83249163179261</v>
      </c>
      <c r="D22" s="1">
        <v>28.679571949615877</v>
      </c>
      <c r="E22" s="1">
        <v>0.10685932407846019</v>
      </c>
      <c r="F22" s="1">
        <v>100000</v>
      </c>
      <c r="G22" s="1">
        <v>2.5631325641126015</v>
      </c>
      <c r="H22" s="1">
        <v>0.49331338115661905</v>
      </c>
      <c r="I22" s="1">
        <v>786.57985918939323</v>
      </c>
      <c r="J22" s="1">
        <v>305.30341576824759</v>
      </c>
      <c r="K22" s="1">
        <v>4.5603446123309785E-2</v>
      </c>
      <c r="L22" s="1">
        <v>139161.97551716151</v>
      </c>
      <c r="M22" s="1">
        <v>8.7929690327198939E-2</v>
      </c>
      <c r="N22" s="1">
        <v>0.4292270426768568</v>
      </c>
      <c r="O22" s="1">
        <v>231.12381699613732</v>
      </c>
      <c r="P22" s="1">
        <v>1108.9441611295842</v>
      </c>
      <c r="Q22" s="1">
        <v>1056.520912958862</v>
      </c>
    </row>
    <row r="23" spans="1:17" x14ac:dyDescent="0.25">
      <c r="A23" s="1">
        <v>43</v>
      </c>
      <c r="B23" s="1">
        <v>1.1813187708777266</v>
      </c>
      <c r="C23" s="1">
        <v>290.3935977128769</v>
      </c>
      <c r="D23" s="1">
        <v>48.787629366078725</v>
      </c>
      <c r="E23" s="1">
        <v>0.12211406897130427</v>
      </c>
      <c r="F23" s="1">
        <v>100000</v>
      </c>
      <c r="G23" s="1">
        <v>3.2276929297856127</v>
      </c>
      <c r="H23" s="1">
        <v>0.48281453398100338</v>
      </c>
      <c r="I23" s="1">
        <v>795.63794702617076</v>
      </c>
      <c r="J23" s="1">
        <v>242.68109127698108</v>
      </c>
      <c r="K23" s="1">
        <v>6.4121776946413869E-2</v>
      </c>
      <c r="L23" s="1">
        <v>170727.21806787123</v>
      </c>
      <c r="M23" s="1">
        <v>8.7755100078030751E-2</v>
      </c>
      <c r="N23" s="1">
        <v>0.53496237359398913</v>
      </c>
      <c r="O23" s="1">
        <v>209.06600274927786</v>
      </c>
      <c r="P23" s="1">
        <v>1448.2778799246225</v>
      </c>
      <c r="Q23" s="1">
        <v>1422.4786844296323</v>
      </c>
    </row>
    <row r="24" spans="1:17" x14ac:dyDescent="0.25">
      <c r="A24" s="1">
        <v>45</v>
      </c>
      <c r="B24" s="1">
        <v>1.1803743605463171</v>
      </c>
      <c r="C24" s="1">
        <v>292.50042783777911</v>
      </c>
      <c r="D24" s="1">
        <v>55.162399608891704</v>
      </c>
      <c r="E24" s="1">
        <v>0.12023453325991318</v>
      </c>
      <c r="F24" s="1">
        <v>100000</v>
      </c>
      <c r="G24" s="1">
        <v>6.9449023258555291</v>
      </c>
      <c r="H24" s="1">
        <v>0.4821484433640687</v>
      </c>
      <c r="I24" s="1">
        <v>834.22272064007916</v>
      </c>
      <c r="J24" s="1">
        <v>333.40811577693387</v>
      </c>
      <c r="K24" s="1">
        <v>3.2185383185525336E-2</v>
      </c>
      <c r="L24" s="1">
        <v>159645.23697853609</v>
      </c>
      <c r="M24" s="1">
        <v>0.1173736119540586</v>
      </c>
      <c r="N24" s="1">
        <v>0.46403063156334212</v>
      </c>
      <c r="O24" s="1">
        <v>225.42995189540224</v>
      </c>
      <c r="P24" s="1">
        <v>1693.325836016149</v>
      </c>
      <c r="Q24" s="1">
        <v>1753.5625302592234</v>
      </c>
    </row>
    <row r="25" spans="1:17" x14ac:dyDescent="0.25">
      <c r="A25" s="1">
        <v>46</v>
      </c>
      <c r="B25" s="1">
        <v>1.1874248217972829</v>
      </c>
      <c r="C25" s="1">
        <v>292.3153354787367</v>
      </c>
      <c r="D25" s="1">
        <v>39.127939244574542</v>
      </c>
      <c r="E25" s="1">
        <v>9.9379025457694489E-2</v>
      </c>
      <c r="F25" s="1">
        <v>100000</v>
      </c>
      <c r="G25" s="1">
        <v>5.1355995610793821</v>
      </c>
      <c r="H25" s="1">
        <v>0.48768300505385026</v>
      </c>
      <c r="I25" s="1">
        <v>780.15998387298544</v>
      </c>
      <c r="J25" s="1">
        <v>312.83128628366512</v>
      </c>
      <c r="K25" s="1">
        <v>1.8054631499051246E-2</v>
      </c>
      <c r="L25" s="1">
        <v>155399.11255698398</v>
      </c>
      <c r="M25" s="1">
        <v>0.12174575194575145</v>
      </c>
      <c r="N25" s="1">
        <v>0.59021670383432701</v>
      </c>
      <c r="O25" s="1">
        <v>229.93075483204041</v>
      </c>
      <c r="P25" s="1">
        <v>1387.5620612159182</v>
      </c>
      <c r="Q25" s="1">
        <v>1366.4192656731175</v>
      </c>
    </row>
    <row r="26" spans="1:17" x14ac:dyDescent="0.25">
      <c r="A26" s="1">
        <v>48</v>
      </c>
      <c r="B26" s="1">
        <v>1.1822596563843559</v>
      </c>
      <c r="C26" s="1">
        <v>290.52976855858702</v>
      </c>
      <c r="D26" s="1">
        <v>50.901984208771253</v>
      </c>
      <c r="E26" s="1">
        <v>8.2247720754658818E-2</v>
      </c>
      <c r="F26" s="1">
        <v>100000</v>
      </c>
      <c r="G26" s="1">
        <v>3.4894544781100754</v>
      </c>
      <c r="H26" s="1">
        <v>0.48220518849797239</v>
      </c>
      <c r="I26" s="1">
        <v>796.27126818892498</v>
      </c>
      <c r="J26" s="1">
        <v>289.88215537812476</v>
      </c>
      <c r="K26" s="1">
        <v>5.4393787298488552E-2</v>
      </c>
      <c r="L26" s="1">
        <v>144739.52261839234</v>
      </c>
      <c r="M26" s="1">
        <v>0.10046345821613198</v>
      </c>
      <c r="N26" s="1">
        <v>0.57012080017709965</v>
      </c>
      <c r="O26" s="1">
        <v>236.06702878149272</v>
      </c>
      <c r="P26" s="1">
        <v>1183.7820914878321</v>
      </c>
      <c r="Q26" s="1">
        <v>1174.8187874579744</v>
      </c>
    </row>
    <row r="27" spans="1:17" x14ac:dyDescent="0.25">
      <c r="A27" s="1">
        <v>49</v>
      </c>
      <c r="B27" s="1">
        <v>1.1816712139682854</v>
      </c>
      <c r="C27" s="1">
        <v>291.20596849980427</v>
      </c>
      <c r="D27" s="1">
        <v>39.824842562255391</v>
      </c>
      <c r="E27" s="1">
        <v>0.11493359087726635</v>
      </c>
      <c r="F27" s="1">
        <v>100000</v>
      </c>
      <c r="G27" s="1">
        <v>4.5690088892961001</v>
      </c>
      <c r="H27" s="1">
        <v>0.48896651923643142</v>
      </c>
      <c r="I27" s="1">
        <v>805.33089656869765</v>
      </c>
      <c r="J27" s="1">
        <v>387.51678630079618</v>
      </c>
      <c r="K27" s="1">
        <v>3.1812024219931706E-2</v>
      </c>
      <c r="L27" s="1">
        <v>165791.71682959312</v>
      </c>
      <c r="M27" s="1">
        <v>0.11859838249777759</v>
      </c>
      <c r="N27" s="1">
        <v>0.55609199480772942</v>
      </c>
      <c r="O27" s="1">
        <v>215.25731955449476</v>
      </c>
      <c r="P27" s="1">
        <v>1746.2302158651219</v>
      </c>
      <c r="Q27" s="1">
        <v>1718.1830541441159</v>
      </c>
    </row>
    <row r="28" spans="1:17" x14ac:dyDescent="0.25">
      <c r="A28" s="1">
        <v>50</v>
      </c>
      <c r="B28" s="1">
        <v>1.1837039216684568</v>
      </c>
      <c r="C28" s="1">
        <v>291.69998509905719</v>
      </c>
      <c r="D28" s="1">
        <v>53.273929829312962</v>
      </c>
      <c r="E28" s="1">
        <v>0.10302386411025102</v>
      </c>
      <c r="F28" s="1">
        <v>100000</v>
      </c>
      <c r="G28" s="1">
        <v>3.4340819164508769</v>
      </c>
      <c r="H28" s="1">
        <v>0.48444634860704505</v>
      </c>
      <c r="I28" s="1">
        <v>809.03865469197819</v>
      </c>
      <c r="J28" s="1">
        <v>345.1192939569591</v>
      </c>
      <c r="K28" s="1">
        <v>5.6396984582219103E-2</v>
      </c>
      <c r="L28" s="1">
        <v>161047.33416335963</v>
      </c>
      <c r="M28" s="1">
        <v>8.8712430225637628E-2</v>
      </c>
      <c r="N28" s="1">
        <v>0.5489035613038018</v>
      </c>
      <c r="O28" s="1">
        <v>215.61975848473568</v>
      </c>
      <c r="P28" s="1">
        <v>1572.7842803352323</v>
      </c>
      <c r="Q28" s="1">
        <v>1578.236750992568</v>
      </c>
    </row>
    <row r="29" spans="1:17" x14ac:dyDescent="0.25">
      <c r="A29" s="1">
        <v>51</v>
      </c>
      <c r="B29" s="1">
        <v>1.1853315150934594</v>
      </c>
      <c r="C29" s="1">
        <v>289.99502985822949</v>
      </c>
      <c r="D29" s="1">
        <v>44.465727527888681</v>
      </c>
      <c r="E29" s="1">
        <v>9.9622962051842207E-2</v>
      </c>
      <c r="F29" s="1">
        <v>100000</v>
      </c>
      <c r="G29" s="1">
        <v>1.7799607829595907</v>
      </c>
      <c r="H29" s="1">
        <v>0.49160732001541896</v>
      </c>
      <c r="I29" s="1">
        <v>798.58424618542153</v>
      </c>
      <c r="J29" s="1">
        <v>242.82809815595334</v>
      </c>
      <c r="K29" s="1">
        <v>6.3456481022113986E-2</v>
      </c>
      <c r="L29" s="1">
        <v>148206.98810488076</v>
      </c>
      <c r="M29" s="1">
        <v>9.7332170647366031E-2</v>
      </c>
      <c r="N29" s="1">
        <v>0.55237192162139881</v>
      </c>
      <c r="O29" s="1">
        <v>216.90821388502732</v>
      </c>
      <c r="P29" s="1">
        <v>1063.1665795085064</v>
      </c>
      <c r="Q29" s="1">
        <v>1035.7221844443993</v>
      </c>
    </row>
    <row r="30" spans="1:17" x14ac:dyDescent="0.25">
      <c r="A30" s="1">
        <v>52</v>
      </c>
      <c r="B30" s="1">
        <v>1.1887983043743142</v>
      </c>
      <c r="C30" s="1">
        <v>290.12955374757934</v>
      </c>
      <c r="D30" s="1">
        <v>25.649635396762296</v>
      </c>
      <c r="E30" s="1">
        <v>0.1016281684802893</v>
      </c>
      <c r="F30" s="1">
        <v>100000</v>
      </c>
      <c r="G30" s="1">
        <v>1.7891079473984557</v>
      </c>
      <c r="H30" s="1">
        <v>0.49081209082990179</v>
      </c>
      <c r="I30" s="1">
        <v>797.77529671226398</v>
      </c>
      <c r="J30" s="1">
        <v>390.1339377257483</v>
      </c>
      <c r="K30" s="1">
        <v>3.3892030790395766E-2</v>
      </c>
      <c r="L30" s="1">
        <v>159224.16454496089</v>
      </c>
      <c r="M30" s="1">
        <v>9.2618886853517338E-2</v>
      </c>
      <c r="N30" s="1">
        <v>0.55633593962389183</v>
      </c>
      <c r="O30" s="1">
        <v>229.51410393958662</v>
      </c>
      <c r="P30" s="1">
        <v>1498.4706974974179</v>
      </c>
      <c r="Q30" s="1">
        <v>1535.88015620652</v>
      </c>
    </row>
    <row r="31" spans="1:17" x14ac:dyDescent="0.25">
      <c r="A31" s="1">
        <v>53</v>
      </c>
      <c r="B31" s="1">
        <v>1.1825137553524987</v>
      </c>
      <c r="C31" s="1">
        <v>292.21826781003557</v>
      </c>
      <c r="D31" s="1">
        <v>50.025210569530529</v>
      </c>
      <c r="E31" s="1">
        <v>9.4952608714876499E-2</v>
      </c>
      <c r="F31" s="1">
        <v>100000</v>
      </c>
      <c r="G31" s="1">
        <v>2.6286645166677052</v>
      </c>
      <c r="H31" s="1">
        <v>0.48339653645444342</v>
      </c>
      <c r="I31" s="1">
        <v>797.02640395711626</v>
      </c>
      <c r="J31" s="1">
        <v>368.518546764532</v>
      </c>
      <c r="K31" s="1">
        <v>5.7215031318635604E-2</v>
      </c>
      <c r="L31" s="1">
        <v>169963.81155743758</v>
      </c>
      <c r="M31" s="1">
        <v>9.9261158314756792E-2</v>
      </c>
      <c r="N31" s="1">
        <v>0.50131274744453003</v>
      </c>
      <c r="O31" s="1">
        <v>233.09271268824932</v>
      </c>
      <c r="P31" s="1">
        <v>1553.9610215500506</v>
      </c>
      <c r="Q31" s="1">
        <v>1547.5991702699976</v>
      </c>
    </row>
    <row r="32" spans="1:17" x14ac:dyDescent="0.25">
      <c r="A32" s="1">
        <v>55</v>
      </c>
      <c r="B32" s="1">
        <v>1.1826837629542521</v>
      </c>
      <c r="C32" s="1">
        <v>291.78942040019996</v>
      </c>
      <c r="D32" s="1">
        <v>47.567088503219267</v>
      </c>
      <c r="E32" s="1">
        <v>9.0769074331067914E-2</v>
      </c>
      <c r="F32" s="1">
        <v>100000</v>
      </c>
      <c r="G32" s="1">
        <v>5.5760891482125086</v>
      </c>
      <c r="H32" s="1">
        <v>0.49129626298532675</v>
      </c>
      <c r="I32" s="1">
        <v>786.96717642514761</v>
      </c>
      <c r="J32" s="1">
        <v>248.01638633029575</v>
      </c>
      <c r="K32" s="1">
        <v>4.2739846348682602E-2</v>
      </c>
      <c r="L32" s="1">
        <v>150800.56657912294</v>
      </c>
      <c r="M32" s="1">
        <v>0.11543141489675825</v>
      </c>
      <c r="N32" s="1">
        <v>0.55589906377864096</v>
      </c>
      <c r="O32" s="1">
        <v>235.93033024104633</v>
      </c>
      <c r="P32" s="1">
        <v>1201.5651261323874</v>
      </c>
      <c r="Q32" s="1">
        <v>1206.1997566861974</v>
      </c>
    </row>
    <row r="33" spans="1:17" x14ac:dyDescent="0.25">
      <c r="A33" s="1">
        <v>56</v>
      </c>
      <c r="B33" s="1">
        <v>1.1827818601618114</v>
      </c>
      <c r="C33" s="1">
        <v>291.96167966268757</v>
      </c>
      <c r="D33" s="1">
        <v>29.120998034668499</v>
      </c>
      <c r="E33" s="1">
        <v>0.10645428566384479</v>
      </c>
      <c r="F33" s="1">
        <v>100000</v>
      </c>
      <c r="G33" s="1">
        <v>5.6993814236317304</v>
      </c>
      <c r="H33" s="1">
        <v>0.48810121806552476</v>
      </c>
      <c r="I33" s="1">
        <v>796.22323955268109</v>
      </c>
      <c r="J33" s="1">
        <v>363.91367550387372</v>
      </c>
      <c r="K33" s="1">
        <v>5.1512350678393097E-2</v>
      </c>
      <c r="L33" s="1">
        <v>170617.57658095221</v>
      </c>
      <c r="M33" s="1">
        <v>0.11205970607638573</v>
      </c>
      <c r="N33" s="1">
        <v>0.52990502593819744</v>
      </c>
      <c r="O33" s="1">
        <v>222.30840142336879</v>
      </c>
      <c r="P33" s="1">
        <v>1636.6928523033785</v>
      </c>
      <c r="Q33" s="1">
        <v>1594.7189663151221</v>
      </c>
    </row>
    <row r="34" spans="1:17" x14ac:dyDescent="0.25">
      <c r="A34" s="1">
        <v>57</v>
      </c>
      <c r="B34" s="1">
        <v>1.1829230642964457</v>
      </c>
      <c r="C34" s="1">
        <v>290.67690898495812</v>
      </c>
      <c r="D34" s="1">
        <v>47.300643165102272</v>
      </c>
      <c r="E34" s="1">
        <v>0.1022549605344994</v>
      </c>
      <c r="F34" s="1">
        <v>100000</v>
      </c>
      <c r="G34" s="1">
        <v>4.7280701981334019</v>
      </c>
      <c r="H34" s="1">
        <v>0.47968033793476728</v>
      </c>
      <c r="I34" s="1">
        <v>793.09901016327331</v>
      </c>
      <c r="J34" s="1">
        <v>340.61153615474478</v>
      </c>
      <c r="K34" s="1">
        <v>3.9058325867399539E-2</v>
      </c>
      <c r="L34" s="1">
        <v>164696.46918308284</v>
      </c>
      <c r="M34" s="1">
        <v>0.1067269447963356</v>
      </c>
      <c r="N34" s="1">
        <v>0.512419089634786</v>
      </c>
      <c r="O34" s="1">
        <v>226.45528055756748</v>
      </c>
      <c r="P34" s="1">
        <v>1654.4016894780143</v>
      </c>
      <c r="Q34" s="1">
        <v>1670.1871996713744</v>
      </c>
    </row>
    <row r="35" spans="1:17" x14ac:dyDescent="0.25">
      <c r="A35" s="1">
        <v>58</v>
      </c>
      <c r="B35" s="1">
        <v>1.1872927311071801</v>
      </c>
      <c r="C35" s="1">
        <v>290.84719285901906</v>
      </c>
      <c r="D35" s="1">
        <v>42.935003297203664</v>
      </c>
      <c r="E35" s="1">
        <v>9.4241178971364567E-2</v>
      </c>
      <c r="F35" s="1">
        <v>100000</v>
      </c>
      <c r="G35" s="1">
        <v>5.4436735700576486</v>
      </c>
      <c r="H35" s="1">
        <v>0.48674696353323677</v>
      </c>
      <c r="I35" s="1">
        <v>806.2707214966116</v>
      </c>
      <c r="J35" s="1">
        <v>385.97221270388957</v>
      </c>
      <c r="K35" s="1">
        <v>4.9608329594061605E-2</v>
      </c>
      <c r="L35" s="1">
        <v>154545.5120654646</v>
      </c>
      <c r="M35" s="1">
        <v>9.7580004574298246E-2</v>
      </c>
      <c r="N35" s="1">
        <v>0.53677039714905472</v>
      </c>
      <c r="O35" s="1">
        <v>231.20428264317587</v>
      </c>
      <c r="P35" s="1">
        <v>1729.9907068291723</v>
      </c>
      <c r="Q35" s="1">
        <v>1756.2222391540126</v>
      </c>
    </row>
    <row r="36" spans="1:17" x14ac:dyDescent="0.25">
      <c r="A36" s="1">
        <v>59</v>
      </c>
      <c r="B36" s="1">
        <v>1.185111782490432</v>
      </c>
      <c r="C36" s="1">
        <v>291.82701522341154</v>
      </c>
      <c r="D36" s="1">
        <v>31.623066738730586</v>
      </c>
      <c r="E36" s="1">
        <v>9.5847172887876822E-2</v>
      </c>
      <c r="F36" s="1">
        <v>100000</v>
      </c>
      <c r="G36" s="1">
        <v>2.6375471810802842</v>
      </c>
      <c r="H36" s="1">
        <v>0.47960261039357049</v>
      </c>
      <c r="I36" s="1">
        <v>802.7191915937351</v>
      </c>
      <c r="J36" s="1">
        <v>300.99876491682954</v>
      </c>
      <c r="K36" s="1">
        <v>4.1586963608203555E-2</v>
      </c>
      <c r="L36" s="1">
        <v>158648.17618875444</v>
      </c>
      <c r="M36" s="1">
        <v>0.10941923984294738</v>
      </c>
      <c r="N36" s="1">
        <v>0.53351175656686378</v>
      </c>
      <c r="O36" s="1">
        <v>225.83714162877354</v>
      </c>
      <c r="P36" s="1">
        <v>1232.5516146122754</v>
      </c>
      <c r="Q36" s="1">
        <v>1266.0512015731947</v>
      </c>
    </row>
    <row r="37" spans="1:17" x14ac:dyDescent="0.25">
      <c r="A37" s="1">
        <v>61</v>
      </c>
      <c r="B37" s="1">
        <v>1.1869766889967901</v>
      </c>
      <c r="C37" s="1">
        <v>290.0235473706191</v>
      </c>
      <c r="D37" s="1">
        <v>29.417434009077549</v>
      </c>
      <c r="E37" s="1">
        <v>0.10158789381132523</v>
      </c>
      <c r="F37" s="1">
        <v>100000</v>
      </c>
      <c r="G37" s="1">
        <v>5.5806560039015238</v>
      </c>
      <c r="H37" s="1">
        <v>0.48985361599906913</v>
      </c>
      <c r="I37" s="1">
        <v>788.70948875204601</v>
      </c>
      <c r="J37" s="1">
        <v>292.91826988348481</v>
      </c>
      <c r="K37" s="1">
        <v>6.1265248387094809E-2</v>
      </c>
      <c r="L37" s="1">
        <v>149034.77522756814</v>
      </c>
      <c r="M37" s="1">
        <v>0.10539737366312664</v>
      </c>
      <c r="N37" s="1">
        <v>0.52710752612830247</v>
      </c>
      <c r="O37" s="1">
        <v>226.46841226066672</v>
      </c>
      <c r="P37" s="1">
        <v>1414.8742327828004</v>
      </c>
      <c r="Q37" s="1">
        <v>1385.7541164612339</v>
      </c>
    </row>
    <row r="38" spans="1:17" x14ac:dyDescent="0.25">
      <c r="A38" s="1">
        <v>62</v>
      </c>
      <c r="B38" s="1">
        <v>1.1830898236718601</v>
      </c>
      <c r="C38" s="1">
        <v>291.78690733155673</v>
      </c>
      <c r="D38" s="1">
        <v>35.177283754190171</v>
      </c>
      <c r="E38" s="1">
        <v>0.10185471843018126</v>
      </c>
      <c r="F38" s="1">
        <v>100000</v>
      </c>
      <c r="G38" s="1">
        <v>5.4397081032452261</v>
      </c>
      <c r="H38" s="1">
        <v>0.48205674462971831</v>
      </c>
      <c r="I38" s="1">
        <v>798.01577811377695</v>
      </c>
      <c r="J38" s="1">
        <v>310.73886445858875</v>
      </c>
      <c r="K38" s="1">
        <v>4.6692273858176009E-2</v>
      </c>
      <c r="L38" s="1">
        <v>157269.67646735269</v>
      </c>
      <c r="M38" s="1">
        <v>9.9240177794513995E-2</v>
      </c>
      <c r="N38" s="1">
        <v>0.52454075850800741</v>
      </c>
      <c r="O38" s="1">
        <v>230.82939628775731</v>
      </c>
      <c r="P38" s="1">
        <v>1431.0796292925297</v>
      </c>
      <c r="Q38" s="1">
        <v>1458.4239877281652</v>
      </c>
    </row>
    <row r="39" spans="1:17" x14ac:dyDescent="0.25">
      <c r="A39" s="1">
        <v>63</v>
      </c>
      <c r="B39" s="1">
        <v>1.1841388125730323</v>
      </c>
      <c r="C39" s="1">
        <v>290.50070897780597</v>
      </c>
      <c r="D39" s="1">
        <v>45.83272025435501</v>
      </c>
      <c r="E39" s="1">
        <v>0.10000582576110047</v>
      </c>
      <c r="F39" s="1">
        <v>100000</v>
      </c>
      <c r="G39" s="1">
        <v>5.3077791277816821</v>
      </c>
      <c r="H39" s="1">
        <v>0.4854435073470203</v>
      </c>
      <c r="I39" s="1">
        <v>800.54172870123955</v>
      </c>
      <c r="J39" s="1">
        <v>343.18694026096568</v>
      </c>
      <c r="K39" s="1">
        <v>4.3486920636574708E-2</v>
      </c>
      <c r="L39" s="1">
        <v>154732.35242059655</v>
      </c>
      <c r="M39" s="1">
        <v>9.8181893369608503E-2</v>
      </c>
      <c r="N39" s="1">
        <v>0.50538960846967229</v>
      </c>
      <c r="O39" s="1">
        <v>233.9462871688394</v>
      </c>
      <c r="P39" s="1">
        <v>1605.269539738707</v>
      </c>
      <c r="Q39" s="1">
        <v>1658.0463093711005</v>
      </c>
    </row>
    <row r="40" spans="1:17" x14ac:dyDescent="0.25">
      <c r="A40" s="1">
        <v>64</v>
      </c>
      <c r="B40" s="1">
        <v>1.1826803690941177</v>
      </c>
      <c r="C40" s="1">
        <v>291.91720223137287</v>
      </c>
      <c r="D40" s="1">
        <v>31.246225583163749</v>
      </c>
      <c r="E40" s="1">
        <v>9.4007363637526292E-2</v>
      </c>
      <c r="F40" s="1">
        <v>100000</v>
      </c>
      <c r="G40" s="1">
        <v>2.8785597318165737</v>
      </c>
      <c r="H40" s="1">
        <v>0.47999661784055148</v>
      </c>
      <c r="I40" s="1">
        <v>793.10011292898935</v>
      </c>
      <c r="J40" s="1">
        <v>358.44529659058776</v>
      </c>
      <c r="K40" s="1">
        <v>3.9031360535332217E-2</v>
      </c>
      <c r="L40" s="1">
        <v>167966.18928001463</v>
      </c>
      <c r="M40" s="1">
        <v>0.10425924328557352</v>
      </c>
      <c r="N40" s="1">
        <v>0.53180790695988112</v>
      </c>
      <c r="O40" s="1">
        <v>225.87612576418184</v>
      </c>
      <c r="P40" s="1">
        <v>1450.1793578652942</v>
      </c>
      <c r="Q40" s="1">
        <v>1439.1278607031272</v>
      </c>
    </row>
    <row r="41" spans="1:17" x14ac:dyDescent="0.25">
      <c r="A41" s="1">
        <v>68</v>
      </c>
      <c r="B41" s="1">
        <v>1.1857534489337771</v>
      </c>
      <c r="C41" s="1">
        <v>290.0841635523131</v>
      </c>
      <c r="D41" s="1">
        <v>32.088283011919749</v>
      </c>
      <c r="E41" s="1">
        <v>9.9028248046046652E-2</v>
      </c>
      <c r="F41" s="1">
        <v>100000</v>
      </c>
      <c r="G41" s="1">
        <v>3.5476475060874328</v>
      </c>
      <c r="H41" s="1">
        <v>0.48725903838281992</v>
      </c>
      <c r="I41" s="1">
        <v>788.8163854808937</v>
      </c>
      <c r="J41" s="1">
        <v>372.91590789227405</v>
      </c>
      <c r="K41" s="1">
        <v>4.3668050256914559E-2</v>
      </c>
      <c r="L41" s="1">
        <v>164921.1089575915</v>
      </c>
      <c r="M41" s="1">
        <v>0.10925503144567542</v>
      </c>
      <c r="N41" s="1">
        <v>0.51282510120447389</v>
      </c>
      <c r="O41" s="1">
        <v>225.9178491556728</v>
      </c>
      <c r="P41" s="1">
        <v>1621.6673645483606</v>
      </c>
      <c r="Q41" s="1">
        <v>1624.6229032693373</v>
      </c>
    </row>
    <row r="42" spans="1:17" x14ac:dyDescent="0.25">
      <c r="A42" s="1">
        <v>69</v>
      </c>
      <c r="B42" s="1">
        <v>1.1842351937687596</v>
      </c>
      <c r="C42" s="1">
        <v>290.20417724977733</v>
      </c>
      <c r="D42" s="1">
        <v>41.138876345579718</v>
      </c>
      <c r="E42" s="1">
        <v>9.4094464303609363E-2</v>
      </c>
      <c r="F42" s="1">
        <v>100000</v>
      </c>
      <c r="G42" s="1">
        <v>4.7817726025707969</v>
      </c>
      <c r="H42" s="1">
        <v>0.48514582706319043</v>
      </c>
      <c r="I42" s="1">
        <v>807.95803692782329</v>
      </c>
      <c r="J42" s="1">
        <v>363.38852224455445</v>
      </c>
      <c r="K42" s="1">
        <v>4.7505795508652415E-2</v>
      </c>
      <c r="L42" s="1">
        <v>168527.28713077406</v>
      </c>
      <c r="M42" s="1">
        <v>0.10635992502547245</v>
      </c>
      <c r="N42" s="1">
        <v>0.52429896246273899</v>
      </c>
      <c r="O42" s="1">
        <v>227.24830973446223</v>
      </c>
      <c r="P42" s="1">
        <v>1736.6673217146235</v>
      </c>
      <c r="Q42" s="1">
        <v>1752.8327440848516</v>
      </c>
    </row>
    <row r="43" spans="1:17" x14ac:dyDescent="0.25">
      <c r="A43" s="1">
        <v>70</v>
      </c>
      <c r="B43" s="1">
        <v>1.1841763029494066</v>
      </c>
      <c r="C43" s="1">
        <v>290.27844074056986</v>
      </c>
      <c r="D43" s="1">
        <v>41.314779339696628</v>
      </c>
      <c r="E43" s="1">
        <v>9.905447222527336E-2</v>
      </c>
      <c r="F43" s="1">
        <v>100000</v>
      </c>
      <c r="G43" s="1">
        <v>3.0407667096714475</v>
      </c>
      <c r="H43" s="1">
        <v>0.48929114374752702</v>
      </c>
      <c r="I43" s="1">
        <v>794.38829889069518</v>
      </c>
      <c r="J43" s="1">
        <v>332.05755393872619</v>
      </c>
      <c r="K43" s="1">
        <v>5.4421175754162734E-2</v>
      </c>
      <c r="L43" s="1">
        <v>155536.47067642637</v>
      </c>
      <c r="M43" s="1">
        <v>0.10460653010577602</v>
      </c>
      <c r="N43" s="1">
        <v>0.52574594605488389</v>
      </c>
      <c r="O43" s="1">
        <v>229.55107298883505</v>
      </c>
      <c r="P43" s="1">
        <v>1436.5738962757678</v>
      </c>
      <c r="Q43" s="1">
        <v>1479.6180564580427</v>
      </c>
    </row>
    <row r="44" spans="1:17" x14ac:dyDescent="0.25">
      <c r="A44" s="1">
        <v>72</v>
      </c>
      <c r="B44" s="1">
        <v>1.1839969905188263</v>
      </c>
      <c r="C44" s="1">
        <v>290.51168852511518</v>
      </c>
      <c r="D44" s="1">
        <v>42.243811742341734</v>
      </c>
      <c r="E44" s="1">
        <v>9.9784281463172628E-2</v>
      </c>
      <c r="F44" s="1">
        <v>100000</v>
      </c>
      <c r="G44" s="1">
        <v>4.7302119070458266</v>
      </c>
      <c r="H44" s="1">
        <v>0.48004133298338225</v>
      </c>
      <c r="I44" s="1">
        <v>808.26752888793817</v>
      </c>
      <c r="J44" s="1">
        <v>297.06176666576494</v>
      </c>
      <c r="K44" s="1">
        <v>5.8663488346134232E-2</v>
      </c>
      <c r="L44" s="1">
        <v>163279.43423280615</v>
      </c>
      <c r="M44" s="1">
        <v>0.1057832013123914</v>
      </c>
      <c r="N44" s="1">
        <v>0.51037245595634262</v>
      </c>
      <c r="O44" s="1">
        <v>229.68377611746106</v>
      </c>
      <c r="P44" s="1">
        <v>1502.1489992306379</v>
      </c>
      <c r="Q44" s="1">
        <v>1575.5893049171136</v>
      </c>
    </row>
    <row r="45" spans="1:17" x14ac:dyDescent="0.25">
      <c r="A45" s="1">
        <v>73</v>
      </c>
      <c r="B45" s="1">
        <v>1.1855770553826048</v>
      </c>
      <c r="C45" s="1">
        <v>291.54936185486235</v>
      </c>
      <c r="D45" s="1">
        <v>41.949279267618216</v>
      </c>
      <c r="E45" s="1">
        <v>9.6116186056914618E-2</v>
      </c>
      <c r="F45" s="1">
        <v>100000</v>
      </c>
      <c r="G45" s="1">
        <v>4.8019210769434544</v>
      </c>
      <c r="H45" s="1">
        <v>0.4800961263809102</v>
      </c>
      <c r="I45" s="1">
        <v>792.97022591369944</v>
      </c>
      <c r="J45" s="1">
        <v>372.70768926802134</v>
      </c>
      <c r="K45" s="1">
        <v>4.1523001390772779E-2</v>
      </c>
      <c r="L45" s="1">
        <v>155179.18124556763</v>
      </c>
      <c r="M45" s="1">
        <v>0.10727329099900246</v>
      </c>
      <c r="N45" s="1">
        <v>0.52174924519898602</v>
      </c>
      <c r="O45" s="1">
        <v>231.36094110772473</v>
      </c>
      <c r="P45" s="1">
        <v>1603.5885452179282</v>
      </c>
      <c r="Q45" s="1">
        <v>1604.8695843970345</v>
      </c>
    </row>
    <row r="46" spans="1:17" x14ac:dyDescent="0.25">
      <c r="A46" s="1">
        <v>74</v>
      </c>
      <c r="B46" s="1">
        <v>1.1867391010655428</v>
      </c>
      <c r="C46" s="1">
        <v>290.84770778093809</v>
      </c>
      <c r="D46" s="1">
        <v>41.100420900968516</v>
      </c>
      <c r="E46" s="1">
        <v>9.4412061947689196E-2</v>
      </c>
      <c r="F46" s="1">
        <v>100000</v>
      </c>
      <c r="G46" s="1">
        <v>4.3761999261814015</v>
      </c>
      <c r="H46" s="1">
        <v>0.48330496089380109</v>
      </c>
      <c r="I46" s="1">
        <v>800.99975514096184</v>
      </c>
      <c r="J46" s="1">
        <v>302.96139216104365</v>
      </c>
      <c r="K46" s="1">
        <v>4.6709532983626768E-2</v>
      </c>
      <c r="L46" s="1">
        <v>166766.13801479319</v>
      </c>
      <c r="M46" s="1">
        <v>0.10440863122572769</v>
      </c>
      <c r="N46" s="1">
        <v>0.53049308843471332</v>
      </c>
      <c r="O46" s="1">
        <v>229.40494189152528</v>
      </c>
      <c r="P46" s="1">
        <v>1497.7934504625664</v>
      </c>
      <c r="Q46" s="1">
        <v>1539.7127375794516</v>
      </c>
    </row>
    <row r="47" spans="1:17" x14ac:dyDescent="0.25">
      <c r="A47" s="1">
        <v>75</v>
      </c>
      <c r="B47" s="1">
        <v>1.1870464103747846</v>
      </c>
      <c r="C47" s="1">
        <v>290.22357688612101</v>
      </c>
      <c r="D47" s="1">
        <v>32.695466049090491</v>
      </c>
      <c r="E47" s="1">
        <v>9.9008751392579392E-2</v>
      </c>
      <c r="F47" s="1">
        <v>100000</v>
      </c>
      <c r="G47" s="1">
        <v>3.7002969622742872</v>
      </c>
      <c r="H47" s="1">
        <v>0.4887805145052076</v>
      </c>
      <c r="I47" s="1">
        <v>805.05636380969213</v>
      </c>
      <c r="J47" s="1">
        <v>329.80270735841611</v>
      </c>
      <c r="K47" s="1">
        <v>4.801509355449967E-2</v>
      </c>
      <c r="L47" s="1">
        <v>155514.42473651766</v>
      </c>
      <c r="M47" s="1">
        <v>0.1058522475296771</v>
      </c>
      <c r="N47" s="1">
        <v>0.51242302114556815</v>
      </c>
      <c r="O47" s="1">
        <v>227.01566385598016</v>
      </c>
      <c r="P47" s="1">
        <v>1456.8084740338891</v>
      </c>
      <c r="Q47" s="1">
        <v>1499.677580865653</v>
      </c>
    </row>
    <row r="48" spans="1:17" x14ac:dyDescent="0.25">
      <c r="A48" s="1">
        <v>76</v>
      </c>
      <c r="B48" s="1">
        <v>1.1856199881393736</v>
      </c>
      <c r="C48" s="1">
        <v>290.47484811468985</v>
      </c>
      <c r="D48" s="1">
        <v>39.232710484223418</v>
      </c>
      <c r="E48" s="1">
        <v>9.5577383531499416E-2</v>
      </c>
      <c r="F48" s="1">
        <v>100000</v>
      </c>
      <c r="G48" s="1">
        <v>3.2327850229315636</v>
      </c>
      <c r="H48" s="1">
        <v>0.48726221587190049</v>
      </c>
      <c r="I48" s="1">
        <v>798.3167268978118</v>
      </c>
      <c r="J48" s="1">
        <v>301.54399409122584</v>
      </c>
      <c r="K48" s="1">
        <v>4.7956804446013725E-2</v>
      </c>
      <c r="L48" s="1">
        <v>158596.12041252706</v>
      </c>
      <c r="M48" s="1">
        <v>0.10384985339309792</v>
      </c>
      <c r="N48" s="1">
        <v>0.52854805954770712</v>
      </c>
      <c r="O48" s="1">
        <v>226.95338602090402</v>
      </c>
      <c r="P48" s="1">
        <v>1373.8940815548922</v>
      </c>
      <c r="Q48" s="1">
        <v>1428.4763743510412</v>
      </c>
    </row>
    <row r="49" spans="1:17" x14ac:dyDescent="0.25">
      <c r="A49" s="1">
        <v>78</v>
      </c>
      <c r="B49" s="1">
        <v>1.1838293033943352</v>
      </c>
      <c r="C49" s="1">
        <v>290.80770057379868</v>
      </c>
      <c r="D49" s="1">
        <v>38.005181950046698</v>
      </c>
      <c r="E49" s="1">
        <v>9.3194112630156326E-2</v>
      </c>
      <c r="F49" s="1">
        <v>100000</v>
      </c>
      <c r="G49" s="1">
        <v>3.732504022608683</v>
      </c>
      <c r="H49" s="1">
        <v>0.48817203094400974</v>
      </c>
      <c r="I49" s="1">
        <v>790.95284102035862</v>
      </c>
      <c r="J49" s="1">
        <v>302.95694932011833</v>
      </c>
      <c r="K49" s="1">
        <v>4.3462863644308292E-2</v>
      </c>
      <c r="L49" s="1">
        <v>166231.29488071662</v>
      </c>
      <c r="M49" s="1">
        <v>0.10448890625593517</v>
      </c>
      <c r="N49" s="1">
        <v>0.52475128863284837</v>
      </c>
      <c r="O49" s="1">
        <v>230.18030349894772</v>
      </c>
      <c r="P49" s="1">
        <v>1431.663008728814</v>
      </c>
      <c r="Q49" s="1">
        <v>1467.3387494446652</v>
      </c>
    </row>
    <row r="50" spans="1:17" x14ac:dyDescent="0.25">
      <c r="A50" s="1">
        <v>81</v>
      </c>
      <c r="B50" s="1">
        <v>1.1847706599581183</v>
      </c>
      <c r="C50" s="1">
        <v>291.30020378406692</v>
      </c>
      <c r="D50" s="1">
        <v>40.566697071274987</v>
      </c>
      <c r="E50" s="1">
        <v>9.2664736197040173E-2</v>
      </c>
      <c r="F50" s="1">
        <v>100000</v>
      </c>
      <c r="G50" s="1">
        <v>4.674194748345684</v>
      </c>
      <c r="H50" s="1">
        <v>0.48061953636868793</v>
      </c>
      <c r="I50" s="1">
        <v>802.05496963422922</v>
      </c>
      <c r="J50" s="1">
        <v>364.32274868783804</v>
      </c>
      <c r="K50" s="1">
        <v>5.6689317314813123E-2</v>
      </c>
      <c r="L50" s="1">
        <v>156359.34260340268</v>
      </c>
      <c r="M50" s="1">
        <v>0.10681913188817137</v>
      </c>
      <c r="N50" s="1">
        <v>0.5261682485586392</v>
      </c>
      <c r="O50" s="1">
        <v>228.19439659883705</v>
      </c>
      <c r="P50" s="1">
        <v>1599.2979587343798</v>
      </c>
      <c r="Q50" s="1">
        <v>1613.5181135484891</v>
      </c>
    </row>
    <row r="51" spans="1:17" x14ac:dyDescent="0.25">
      <c r="A51" s="1">
        <v>83</v>
      </c>
      <c r="B51" s="1">
        <v>1.1853984275808076</v>
      </c>
      <c r="C51" s="1">
        <v>290.45754940099738</v>
      </c>
      <c r="D51" s="1">
        <v>38.817505183373882</v>
      </c>
      <c r="E51" s="1">
        <v>9.4416664198918129E-2</v>
      </c>
      <c r="F51" s="1">
        <v>100000</v>
      </c>
      <c r="G51" s="1">
        <v>3.8126402534353154</v>
      </c>
      <c r="H51" s="1">
        <v>0.48800216864497897</v>
      </c>
      <c r="I51" s="1">
        <v>804.49891601461957</v>
      </c>
      <c r="J51" s="1">
        <v>352.69148332838307</v>
      </c>
      <c r="K51" s="1">
        <v>4.2605008938684588E-2</v>
      </c>
      <c r="L51" s="1">
        <v>165006.68650057647</v>
      </c>
      <c r="M51" s="1">
        <v>0.10720501243139417</v>
      </c>
      <c r="N51" s="1">
        <v>0.52487032639588282</v>
      </c>
      <c r="O51" s="1">
        <v>227.08332013695053</v>
      </c>
      <c r="P51" s="1">
        <v>1601.033326597586</v>
      </c>
      <c r="Q51" s="1">
        <v>1638.3671083027439</v>
      </c>
    </row>
    <row r="52" spans="1:17" x14ac:dyDescent="0.25">
      <c r="A52" s="1">
        <v>85</v>
      </c>
      <c r="B52" s="1">
        <v>1.1866542628338048</v>
      </c>
      <c r="C52" s="1">
        <v>290.33775505714618</v>
      </c>
      <c r="D52" s="1">
        <v>38.043976523282566</v>
      </c>
      <c r="E52" s="1">
        <v>9.7659172666860111E-2</v>
      </c>
      <c r="F52" s="1">
        <v>100000</v>
      </c>
      <c r="G52" s="1">
        <v>3.7984958482894959</v>
      </c>
      <c r="H52" s="1">
        <v>0.48822791632994694</v>
      </c>
      <c r="I52" s="1">
        <v>791.1349538273314</v>
      </c>
      <c r="J52" s="1">
        <v>364.0652135848058</v>
      </c>
      <c r="K52" s="1">
        <v>5.429159305338857E-2</v>
      </c>
      <c r="L52" s="1">
        <v>166009.62551581167</v>
      </c>
      <c r="M52" s="1">
        <v>0.10685320225891637</v>
      </c>
      <c r="N52" s="1">
        <v>0.51587754696031984</v>
      </c>
      <c r="O52" s="1">
        <v>229.18000872741098</v>
      </c>
      <c r="P52" s="1">
        <v>1626.5472300109031</v>
      </c>
      <c r="Q52" s="1">
        <v>1638.9431165853457</v>
      </c>
    </row>
    <row r="53" spans="1:17" x14ac:dyDescent="0.25">
      <c r="A53" s="1">
        <v>88</v>
      </c>
      <c r="B53" s="1">
        <v>1.1845989943015098</v>
      </c>
      <c r="C53" s="1">
        <v>290.65853833693836</v>
      </c>
      <c r="D53" s="1">
        <v>37.115261626297837</v>
      </c>
      <c r="E53" s="1">
        <v>9.6600788981269572E-2</v>
      </c>
      <c r="F53" s="1">
        <v>100000</v>
      </c>
      <c r="G53" s="1">
        <v>4.1572141171009793</v>
      </c>
      <c r="H53" s="1">
        <v>0.48722254793906405</v>
      </c>
      <c r="I53" s="1">
        <v>800.09823779040062</v>
      </c>
      <c r="J53" s="1">
        <v>357.40154002966398</v>
      </c>
      <c r="K53" s="1">
        <v>4.7547776044972401E-2</v>
      </c>
      <c r="L53" s="1">
        <v>165913.24427774531</v>
      </c>
      <c r="M53" s="1">
        <v>0.10708583579982202</v>
      </c>
      <c r="N53" s="1">
        <v>0.52785126940377058</v>
      </c>
      <c r="O53" s="1">
        <v>227.20443916543621</v>
      </c>
      <c r="P53" s="1">
        <v>1616.6684424464402</v>
      </c>
      <c r="Q53" s="1">
        <v>1637.2452906953113</v>
      </c>
    </row>
    <row r="54" spans="1:17" x14ac:dyDescent="0.25">
      <c r="A54" s="1">
        <v>91</v>
      </c>
      <c r="B54" s="1">
        <v>1.1846116438904937</v>
      </c>
      <c r="C54" s="1">
        <v>290.96814966394862</v>
      </c>
      <c r="D54" s="1">
        <v>35.998809361059735</v>
      </c>
      <c r="E54" s="1">
        <v>9.3634091308436876E-2</v>
      </c>
      <c r="F54" s="1">
        <v>100000</v>
      </c>
      <c r="G54" s="1">
        <v>4.2249679885689959</v>
      </c>
      <c r="H54" s="1">
        <v>0.48166474255195668</v>
      </c>
      <c r="I54" s="1">
        <v>797.99835752713318</v>
      </c>
      <c r="J54" s="1">
        <v>356.86372246852625</v>
      </c>
      <c r="K54" s="1">
        <v>4.7352084731435207E-2</v>
      </c>
      <c r="L54" s="1">
        <v>161190.41298442151</v>
      </c>
      <c r="M54" s="1">
        <v>0.10414464783863064</v>
      </c>
      <c r="N54" s="1">
        <v>0.52218041771642676</v>
      </c>
      <c r="O54" s="1">
        <v>227.47148250477966</v>
      </c>
      <c r="P54" s="1">
        <v>1572.8270625226942</v>
      </c>
      <c r="Q54" s="1">
        <v>1597.6714239424036</v>
      </c>
    </row>
    <row r="55" spans="1:17" x14ac:dyDescent="0.25">
      <c r="A55" s="1">
        <v>93</v>
      </c>
      <c r="B55" s="1">
        <v>1.1854763055774127</v>
      </c>
      <c r="C55" s="1">
        <v>291.15935510823039</v>
      </c>
      <c r="D55" s="1">
        <v>37.57249674913988</v>
      </c>
      <c r="E55" s="1">
        <v>9.455218596182452E-2</v>
      </c>
      <c r="F55" s="1">
        <v>100000</v>
      </c>
      <c r="G55" s="1">
        <v>3.6092959349867275</v>
      </c>
      <c r="H55" s="1">
        <v>0.48301579650551912</v>
      </c>
      <c r="I55" s="1">
        <v>791.85281898463279</v>
      </c>
      <c r="J55" s="1">
        <v>307.82462978855472</v>
      </c>
      <c r="K55" s="1">
        <v>4.4767189190303001E-2</v>
      </c>
      <c r="L55" s="1">
        <v>160867.54331555421</v>
      </c>
      <c r="M55" s="1">
        <v>0.1040176305707089</v>
      </c>
      <c r="N55" s="1">
        <v>0.52089580248991163</v>
      </c>
      <c r="O55" s="1">
        <v>228.57435504211705</v>
      </c>
      <c r="P55" s="1">
        <v>1381.0783917584267</v>
      </c>
      <c r="Q55" s="1">
        <v>1419.4912909330742</v>
      </c>
    </row>
    <row r="56" spans="1:17" x14ac:dyDescent="0.25">
      <c r="A56" s="1">
        <v>101</v>
      </c>
      <c r="B56" s="1">
        <v>1.1858991556011236</v>
      </c>
      <c r="C56" s="1">
        <v>290.738449855986</v>
      </c>
      <c r="D56" s="1">
        <v>36.235382822004205</v>
      </c>
      <c r="E56" s="1">
        <v>9.4163294916399146E-2</v>
      </c>
      <c r="F56" s="1">
        <v>100000</v>
      </c>
      <c r="G56" s="1">
        <v>4.0148697610261221</v>
      </c>
      <c r="H56" s="1">
        <v>0.48625535350738991</v>
      </c>
      <c r="I56" s="1">
        <v>797.43554761315386</v>
      </c>
      <c r="J56" s="1">
        <v>340.25543511071885</v>
      </c>
      <c r="K56" s="1">
        <v>4.6898621963921312E-2</v>
      </c>
      <c r="L56" s="1">
        <v>161378.42008453808</v>
      </c>
      <c r="M56" s="1">
        <v>0.10539297099521816</v>
      </c>
      <c r="N56" s="1">
        <v>0.51961455989296956</v>
      </c>
      <c r="O56" s="1">
        <v>227.64167940045809</v>
      </c>
      <c r="P56" s="1">
        <v>1525.204749092627</v>
      </c>
      <c r="Q56" s="1">
        <v>1561.0956179114</v>
      </c>
    </row>
    <row r="57" spans="1:17" x14ac:dyDescent="0.25">
      <c r="A57" s="1">
        <v>103</v>
      </c>
      <c r="B57" s="1">
        <v>1.1845356762952526</v>
      </c>
      <c r="C57" s="1">
        <v>291.16792700974412</v>
      </c>
      <c r="D57" s="1">
        <v>37.581098062722297</v>
      </c>
      <c r="E57" s="1">
        <v>9.4712426536161937E-2</v>
      </c>
      <c r="F57" s="1">
        <v>100000</v>
      </c>
      <c r="G57" s="1">
        <v>4.2361522217896947</v>
      </c>
      <c r="H57" s="1">
        <v>0.48661536368253139</v>
      </c>
      <c r="I57" s="1">
        <v>796.12277070528148</v>
      </c>
      <c r="J57" s="1">
        <v>341.16832032310822</v>
      </c>
      <c r="K57" s="1">
        <v>4.5066917557010013E-2</v>
      </c>
      <c r="L57" s="1">
        <v>159196.09281646696</v>
      </c>
      <c r="M57" s="1">
        <v>0.10489874462414797</v>
      </c>
      <c r="N57" s="1">
        <v>0.51883931124237403</v>
      </c>
      <c r="O57" s="1">
        <v>228.42618250178384</v>
      </c>
      <c r="P57" s="1">
        <v>1508.718352321237</v>
      </c>
      <c r="Q57" s="1">
        <v>1537.0934945853369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147"/>
  <sheetViews>
    <sheetView topLeftCell="A138" zoomScale="145" zoomScaleNormal="145" workbookViewId="0">
      <selection activeCell="B147" sqref="B147"/>
    </sheetView>
  </sheetViews>
  <sheetFormatPr defaultRowHeight="15" x14ac:dyDescent="0.25"/>
  <cols>
    <col min="22" max="22" width="10.7109375" bestFit="1" customWidth="1"/>
    <col min="23" max="24" width="14.28515625" bestFit="1" customWidth="1"/>
    <col min="25" max="27" width="14.28515625" customWidth="1"/>
  </cols>
  <sheetData>
    <row r="1" spans="1:18" x14ac:dyDescent="0.25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67</v>
      </c>
      <c r="Q1" t="s">
        <v>68</v>
      </c>
      <c r="R1" t="s">
        <v>48</v>
      </c>
    </row>
    <row r="2" spans="1:18" x14ac:dyDescent="0.25">
      <c r="A2" s="1">
        <v>1</v>
      </c>
      <c r="B2" s="1">
        <v>1.24</v>
      </c>
      <c r="C2" s="1">
        <v>280</v>
      </c>
      <c r="D2" s="1">
        <v>80</v>
      </c>
      <c r="E2" s="1">
        <v>0.10100000000000001</v>
      </c>
      <c r="F2" s="1">
        <v>100000</v>
      </c>
      <c r="G2" s="1">
        <v>6.12</v>
      </c>
      <c r="H2" s="1">
        <v>0.35</v>
      </c>
      <c r="I2" s="1">
        <v>980</v>
      </c>
      <c r="J2" s="1">
        <v>907</v>
      </c>
      <c r="K2" s="1">
        <v>3.1E-2</v>
      </c>
      <c r="L2" s="1">
        <v>200000</v>
      </c>
      <c r="M2" s="1">
        <v>0.14000000000000001</v>
      </c>
      <c r="N2" s="1">
        <v>0.8</v>
      </c>
      <c r="O2" s="1">
        <v>190</v>
      </c>
      <c r="P2" s="1">
        <v>4191.6493949131036</v>
      </c>
      <c r="Q2">
        <v>4214.6471578167693</v>
      </c>
      <c r="R2" t="s">
        <v>65</v>
      </c>
    </row>
    <row r="3" spans="1:18" x14ac:dyDescent="0.25">
      <c r="A3" s="1">
        <v>3</v>
      </c>
      <c r="B3" s="1">
        <v>1.24</v>
      </c>
      <c r="C3" s="1">
        <v>280</v>
      </c>
      <c r="D3" s="1">
        <v>70</v>
      </c>
      <c r="E3" s="1">
        <v>0.18099999999999999</v>
      </c>
      <c r="F3" s="1">
        <v>100000</v>
      </c>
      <c r="G3" s="1">
        <v>9.9700000000000006</v>
      </c>
      <c r="H3" s="1">
        <v>0.39</v>
      </c>
      <c r="I3" s="1">
        <v>900</v>
      </c>
      <c r="J3" s="1">
        <v>497</v>
      </c>
      <c r="K3" s="1">
        <v>8.1000000000000003E-2</v>
      </c>
      <c r="L3" s="1">
        <v>200000</v>
      </c>
      <c r="M3" s="1">
        <v>0.2</v>
      </c>
      <c r="N3" s="1">
        <v>0.4</v>
      </c>
      <c r="O3" s="1">
        <v>230</v>
      </c>
      <c r="P3" s="1">
        <v>3729.3913409251181</v>
      </c>
      <c r="Q3">
        <v>3510.5921615833358</v>
      </c>
      <c r="R3" t="s">
        <v>47</v>
      </c>
    </row>
    <row r="4" spans="1:18" x14ac:dyDescent="0.25">
      <c r="A4" s="1">
        <v>4</v>
      </c>
      <c r="B4" s="1">
        <v>1.24</v>
      </c>
      <c r="C4" s="1">
        <v>280</v>
      </c>
      <c r="D4" s="1">
        <v>60</v>
      </c>
      <c r="E4" s="1">
        <v>0.18099999999999999</v>
      </c>
      <c r="F4" s="1">
        <v>100000</v>
      </c>
      <c r="G4" s="1">
        <v>9.1999999999999993</v>
      </c>
      <c r="H4" s="1">
        <v>0.43</v>
      </c>
      <c r="I4" s="1">
        <v>800</v>
      </c>
      <c r="J4" s="1">
        <v>386</v>
      </c>
      <c r="K4" s="1">
        <v>8.1000000000000003E-2</v>
      </c>
      <c r="L4" s="1">
        <v>200000</v>
      </c>
      <c r="M4" s="1">
        <v>0.2</v>
      </c>
      <c r="N4" s="1">
        <v>0.5</v>
      </c>
      <c r="O4" s="1">
        <v>160</v>
      </c>
      <c r="P4" s="1">
        <v>3370.7158651045684</v>
      </c>
      <c r="Q4">
        <v>3282.500050782779</v>
      </c>
      <c r="R4" t="s">
        <v>65</v>
      </c>
    </row>
    <row r="5" spans="1:18" x14ac:dyDescent="0.25">
      <c r="A5" s="1">
        <v>5</v>
      </c>
      <c r="B5" s="1">
        <v>1.1599999999999999</v>
      </c>
      <c r="C5" s="1">
        <v>300</v>
      </c>
      <c r="D5" s="1">
        <v>70</v>
      </c>
      <c r="E5" s="1">
        <v>0.10100000000000001</v>
      </c>
      <c r="F5" s="1">
        <v>100000</v>
      </c>
      <c r="G5" s="1">
        <v>5.0199999999999996</v>
      </c>
      <c r="H5" s="1">
        <v>0.45</v>
      </c>
      <c r="I5" s="1">
        <v>700</v>
      </c>
      <c r="J5" s="1">
        <v>539</v>
      </c>
      <c r="K5" s="1">
        <v>3.1E-2</v>
      </c>
      <c r="L5" s="1">
        <v>200000</v>
      </c>
      <c r="M5" s="1">
        <v>0.14000000000000001</v>
      </c>
      <c r="N5" s="1">
        <v>0.4</v>
      </c>
      <c r="O5" s="1">
        <v>170</v>
      </c>
      <c r="P5" s="1">
        <v>2169.3572215889508</v>
      </c>
      <c r="Q5">
        <v>2464.104543348396</v>
      </c>
      <c r="R5" t="s">
        <v>47</v>
      </c>
    </row>
    <row r="6" spans="1:18" x14ac:dyDescent="0.25">
      <c r="A6" s="1">
        <v>6</v>
      </c>
      <c r="B6" s="1">
        <v>1.1599999999999999</v>
      </c>
      <c r="C6" s="1">
        <v>300</v>
      </c>
      <c r="D6" s="1">
        <v>60</v>
      </c>
      <c r="E6" s="1">
        <v>0.10199999999999999</v>
      </c>
      <c r="F6" s="1">
        <v>100000</v>
      </c>
      <c r="G6" s="1">
        <v>4.87</v>
      </c>
      <c r="H6" s="1">
        <v>0.35</v>
      </c>
      <c r="I6" s="1">
        <v>990</v>
      </c>
      <c r="J6" s="1">
        <v>451</v>
      </c>
      <c r="K6" s="1">
        <v>4.4999999999999998E-2</v>
      </c>
      <c r="L6" s="1">
        <v>200000</v>
      </c>
      <c r="M6" s="1">
        <v>0.15</v>
      </c>
      <c r="N6" s="1">
        <v>0.45</v>
      </c>
      <c r="O6" s="1">
        <v>200</v>
      </c>
      <c r="P6" s="1">
        <v>2570.2026757584463</v>
      </c>
      <c r="Q6">
        <v>2575.7806753465848</v>
      </c>
      <c r="R6" t="s">
        <v>65</v>
      </c>
    </row>
    <row r="7" spans="1:18" x14ac:dyDescent="0.25">
      <c r="A7" s="1">
        <v>7</v>
      </c>
      <c r="B7" s="1">
        <v>1.1599999999999999</v>
      </c>
      <c r="C7" s="1">
        <v>300</v>
      </c>
      <c r="D7" s="1">
        <v>50</v>
      </c>
      <c r="E7" s="1">
        <v>0.18099999999999999</v>
      </c>
      <c r="F7" s="1">
        <v>100000</v>
      </c>
      <c r="G7" s="1">
        <v>7.28</v>
      </c>
      <c r="H7" s="1">
        <v>0.53</v>
      </c>
      <c r="I7" s="1">
        <v>850</v>
      </c>
      <c r="J7" s="1">
        <v>257</v>
      </c>
      <c r="K7" s="1">
        <v>8.1000000000000003E-2</v>
      </c>
      <c r="L7" s="1">
        <v>200000</v>
      </c>
      <c r="M7" s="1">
        <v>0.2</v>
      </c>
      <c r="N7" s="1">
        <v>0.7</v>
      </c>
      <c r="O7" s="1">
        <v>190</v>
      </c>
      <c r="P7" s="1">
        <v>2165.4299122843004</v>
      </c>
      <c r="Q7">
        <v>2189.4426752772124</v>
      </c>
      <c r="R7" t="s">
        <v>65</v>
      </c>
    </row>
    <row r="8" spans="1:18" x14ac:dyDescent="0.25">
      <c r="A8" s="1">
        <v>8</v>
      </c>
      <c r="B8" s="1">
        <v>1.1599999999999999</v>
      </c>
      <c r="C8" s="1">
        <v>300</v>
      </c>
      <c r="D8" s="1">
        <v>70</v>
      </c>
      <c r="E8" s="1">
        <v>0.10199999999999999</v>
      </c>
      <c r="F8" s="1">
        <v>100000</v>
      </c>
      <c r="G8" s="1">
        <v>9.9499999999999993</v>
      </c>
      <c r="H8" s="1">
        <v>0.39</v>
      </c>
      <c r="I8" s="1">
        <v>900</v>
      </c>
      <c r="J8" s="1">
        <v>471</v>
      </c>
      <c r="K8" s="1">
        <v>4.4999999999999998E-2</v>
      </c>
      <c r="L8" s="1">
        <v>200000</v>
      </c>
      <c r="M8" s="1">
        <v>0.15</v>
      </c>
      <c r="N8" s="1">
        <v>0.8</v>
      </c>
      <c r="O8" s="1">
        <v>160</v>
      </c>
      <c r="P8" s="1">
        <v>2739.5433533464602</v>
      </c>
      <c r="Q8">
        <v>2838.9729663614125</v>
      </c>
      <c r="R8" t="s">
        <v>65</v>
      </c>
    </row>
    <row r="9" spans="1:18" x14ac:dyDescent="0.25">
      <c r="A9" s="1">
        <v>9</v>
      </c>
      <c r="B9" s="1">
        <v>1.1599999999999999</v>
      </c>
      <c r="C9" s="1">
        <v>300</v>
      </c>
      <c r="D9" s="1">
        <v>60</v>
      </c>
      <c r="E9" s="1">
        <v>0.10100000000000001</v>
      </c>
      <c r="F9" s="1">
        <v>100000</v>
      </c>
      <c r="G9" s="1">
        <v>4.32</v>
      </c>
      <c r="H9" s="1">
        <v>0.39</v>
      </c>
      <c r="I9" s="1">
        <v>900</v>
      </c>
      <c r="J9" s="1">
        <v>575</v>
      </c>
      <c r="K9" s="1">
        <v>3.1E-2</v>
      </c>
      <c r="L9" s="1">
        <v>200000</v>
      </c>
      <c r="M9" s="1">
        <v>0.14000000000000001</v>
      </c>
      <c r="N9" s="1">
        <v>0.7</v>
      </c>
      <c r="O9" s="1">
        <v>270</v>
      </c>
      <c r="P9" s="1">
        <v>2381.3182786448087</v>
      </c>
      <c r="Q9">
        <v>2460.0316465903015</v>
      </c>
      <c r="R9" t="s">
        <v>65</v>
      </c>
    </row>
    <row r="10" spans="1:18" x14ac:dyDescent="0.25">
      <c r="A10" s="1">
        <v>10</v>
      </c>
      <c r="B10" s="1">
        <v>1.1599999999999999</v>
      </c>
      <c r="C10" s="1">
        <v>300</v>
      </c>
      <c r="D10" s="1">
        <v>2</v>
      </c>
      <c r="E10" s="1">
        <v>8.0000000000000002E-3</v>
      </c>
      <c r="F10" s="1">
        <v>100000</v>
      </c>
      <c r="G10" s="1">
        <v>1.7999999999999999E-2</v>
      </c>
      <c r="H10" s="1">
        <v>0.43</v>
      </c>
      <c r="I10" s="1">
        <v>800</v>
      </c>
      <c r="J10" s="1">
        <v>5</v>
      </c>
      <c r="K10" s="1">
        <v>8.0000000000000002E-3</v>
      </c>
      <c r="L10" s="1">
        <v>100000</v>
      </c>
      <c r="M10" s="1">
        <v>0.05</v>
      </c>
      <c r="N10" s="1">
        <v>0.33</v>
      </c>
      <c r="O10" s="1">
        <v>260</v>
      </c>
      <c r="P10" s="1">
        <v>80.726962516368076</v>
      </c>
      <c r="Q10">
        <v>14.10430924090906</v>
      </c>
      <c r="R10" t="s">
        <v>47</v>
      </c>
    </row>
    <row r="11" spans="1:18" x14ac:dyDescent="0.25">
      <c r="A11" s="1">
        <v>11</v>
      </c>
      <c r="B11" s="1">
        <v>1.1667530292701285</v>
      </c>
      <c r="C11" s="1">
        <v>286.66781485369677</v>
      </c>
      <c r="D11" s="1">
        <v>49.320530346724809</v>
      </c>
      <c r="E11" s="1">
        <v>0.16965971584048542</v>
      </c>
      <c r="F11" s="1">
        <v>100000</v>
      </c>
      <c r="G11" s="1">
        <v>2.295154926737681</v>
      </c>
      <c r="H11" s="1">
        <v>0.4126623629590726</v>
      </c>
      <c r="I11" s="1">
        <v>763.12336098254946</v>
      </c>
      <c r="J11" s="1">
        <v>658.63039850330097</v>
      </c>
      <c r="K11" s="1">
        <v>4.6033458396396595E-2</v>
      </c>
      <c r="L11" s="1">
        <v>192584.85386646137</v>
      </c>
      <c r="M11" s="1">
        <v>0.14992799634844137</v>
      </c>
      <c r="N11" s="1">
        <v>0.78927563588214744</v>
      </c>
      <c r="O11" s="1">
        <v>240.59562282956699</v>
      </c>
      <c r="P11" s="1">
        <v>2540.1111195078629</v>
      </c>
      <c r="Q11">
        <v>2414.9735166799219</v>
      </c>
      <c r="R11" t="s">
        <v>65</v>
      </c>
    </row>
    <row r="12" spans="1:18" x14ac:dyDescent="0.25">
      <c r="A12" s="1">
        <v>12</v>
      </c>
      <c r="B12" s="1">
        <v>1.1637387993215749</v>
      </c>
      <c r="C12" s="1">
        <v>290.32608405394734</v>
      </c>
      <c r="D12" s="1">
        <v>76.356998217360712</v>
      </c>
      <c r="E12" s="1">
        <v>0.15408288442378273</v>
      </c>
      <c r="F12" s="1">
        <v>100000</v>
      </c>
      <c r="G12" s="1">
        <v>9.8468249107742398</v>
      </c>
      <c r="H12" s="1">
        <v>0.4045255822862811</v>
      </c>
      <c r="I12" s="1">
        <v>757.44703132454254</v>
      </c>
      <c r="J12" s="1">
        <v>557.67749827552518</v>
      </c>
      <c r="K12" s="1">
        <v>3.6015896098957501E-2</v>
      </c>
      <c r="L12" s="1">
        <v>137362.82880296651</v>
      </c>
      <c r="M12" s="1">
        <v>8.9715847756492551E-2</v>
      </c>
      <c r="N12" s="1">
        <v>0.6519625179348818</v>
      </c>
      <c r="O12" s="1">
        <v>186.19577049529653</v>
      </c>
      <c r="P12" s="1">
        <v>2772.9128895238318</v>
      </c>
      <c r="Q12">
        <v>2612.4041330596374</v>
      </c>
      <c r="R12" t="s">
        <v>47</v>
      </c>
    </row>
    <row r="13" spans="1:18" x14ac:dyDescent="0.25">
      <c r="A13" s="1">
        <v>13</v>
      </c>
      <c r="B13" s="1">
        <v>1.2044158756957899</v>
      </c>
      <c r="C13" s="1">
        <v>292.14325950932323</v>
      </c>
      <c r="D13" s="1">
        <v>13.784159862966366</v>
      </c>
      <c r="E13" s="1">
        <v>0.13519853459984163</v>
      </c>
      <c r="F13" s="1">
        <v>100000</v>
      </c>
      <c r="G13" s="1">
        <v>6.4358138575449297</v>
      </c>
      <c r="H13" s="1">
        <v>0.47521773855147065</v>
      </c>
      <c r="I13" s="1">
        <v>859.52565190576479</v>
      </c>
      <c r="J13" s="1">
        <v>517.43981495248045</v>
      </c>
      <c r="K13" s="1">
        <v>1.7006569355698664E-2</v>
      </c>
      <c r="L13" s="1">
        <v>185485.27945778327</v>
      </c>
      <c r="M13" s="1">
        <v>0.16777236757156772</v>
      </c>
      <c r="N13" s="1">
        <v>0.43828899956512724</v>
      </c>
      <c r="O13" s="1">
        <v>239.06278275957965</v>
      </c>
      <c r="P13" s="1">
        <v>1994.1680413612557</v>
      </c>
      <c r="Q13">
        <v>1923.3298644829483</v>
      </c>
      <c r="R13" t="s">
        <v>65</v>
      </c>
    </row>
    <row r="14" spans="1:18" x14ac:dyDescent="0.25">
      <c r="A14" s="1">
        <v>14</v>
      </c>
      <c r="B14" s="1">
        <v>1.2018688128286317</v>
      </c>
      <c r="C14" s="1">
        <v>287.61774275795892</v>
      </c>
      <c r="D14" s="1">
        <v>8.6713341362277312</v>
      </c>
      <c r="E14" s="1">
        <v>0.14513980393738357</v>
      </c>
      <c r="F14" s="1">
        <v>100000</v>
      </c>
      <c r="G14" s="1">
        <v>3.9557365545934529</v>
      </c>
      <c r="H14" s="1">
        <v>0.40536326269660922</v>
      </c>
      <c r="I14" s="1">
        <v>746.3217180846417</v>
      </c>
      <c r="J14" s="1">
        <v>210.30805809632758</v>
      </c>
      <c r="K14" s="1">
        <v>7.3861776337964147E-2</v>
      </c>
      <c r="L14" s="1">
        <v>134020.17059652868</v>
      </c>
      <c r="M14" s="1">
        <v>9.2737693283689776E-2</v>
      </c>
      <c r="N14" s="1">
        <v>0.35417266633745054</v>
      </c>
      <c r="O14" s="1">
        <v>224.56427150900089</v>
      </c>
      <c r="P14" s="1">
        <v>941.24542910436139</v>
      </c>
      <c r="Q14">
        <v>877.78496079202159</v>
      </c>
      <c r="R14" t="s">
        <v>47</v>
      </c>
    </row>
    <row r="15" spans="1:18" x14ac:dyDescent="0.25">
      <c r="A15" s="1">
        <v>16</v>
      </c>
      <c r="B15" s="1">
        <v>1.1624211650174012</v>
      </c>
      <c r="C15" s="1">
        <v>295.2257330474572</v>
      </c>
      <c r="D15" s="1">
        <v>48.629963933721875</v>
      </c>
      <c r="E15" s="1">
        <v>0.14641587052709071</v>
      </c>
      <c r="F15" s="1">
        <v>100000</v>
      </c>
      <c r="G15" s="1">
        <v>4.458847216472912</v>
      </c>
      <c r="H15" s="1">
        <v>0.5195577076855552</v>
      </c>
      <c r="I15" s="1">
        <v>804.08653698499779</v>
      </c>
      <c r="J15" s="1">
        <v>101.83915416795141</v>
      </c>
      <c r="K15" s="1">
        <v>5.9270832515313294E-2</v>
      </c>
      <c r="L15" s="1">
        <v>166657.7923230585</v>
      </c>
      <c r="M15" s="1">
        <v>0.16382232942267907</v>
      </c>
      <c r="N15" s="1">
        <v>0.75663519499451459</v>
      </c>
      <c r="O15" s="1">
        <v>180.88562253366283</v>
      </c>
      <c r="P15" s="1">
        <v>924.96078076649428</v>
      </c>
      <c r="Q15">
        <v>866.75840940009221</v>
      </c>
      <c r="R15" t="s">
        <v>47</v>
      </c>
    </row>
    <row r="16" spans="1:18" x14ac:dyDescent="0.25">
      <c r="A16" s="1">
        <v>17</v>
      </c>
      <c r="B16" s="1">
        <v>1.1705519537285254</v>
      </c>
      <c r="C16" s="1">
        <v>296.41512812195037</v>
      </c>
      <c r="D16" s="1">
        <v>17.09713766634048</v>
      </c>
      <c r="E16" s="1">
        <v>1.1297325946142467E-2</v>
      </c>
      <c r="F16" s="1">
        <v>100000</v>
      </c>
      <c r="G16" s="1">
        <v>7.797394521943243</v>
      </c>
      <c r="H16" s="1">
        <v>0.42511131650732253</v>
      </c>
      <c r="I16" s="1">
        <v>837.90801417929572</v>
      </c>
      <c r="J16" s="1">
        <v>302.03935286183753</v>
      </c>
      <c r="K16" s="1">
        <v>4.7695453847198456E-2</v>
      </c>
      <c r="L16" s="1">
        <v>153967.22939929293</v>
      </c>
      <c r="M16" s="1">
        <v>9.8065370514674718E-2</v>
      </c>
      <c r="N16" s="1">
        <v>0.38261673701297944</v>
      </c>
      <c r="O16" s="1">
        <v>253.5264895781134</v>
      </c>
      <c r="P16" s="1">
        <v>1149.0235776170666</v>
      </c>
      <c r="Q16">
        <v>1180.8220713181363</v>
      </c>
      <c r="R16" t="s">
        <v>65</v>
      </c>
    </row>
    <row r="17" spans="1:18" x14ac:dyDescent="0.25">
      <c r="A17" s="1">
        <v>18</v>
      </c>
      <c r="B17" s="1">
        <v>1.1844912972126356</v>
      </c>
      <c r="C17" s="1">
        <v>292.49460715577453</v>
      </c>
      <c r="D17" s="1">
        <v>33.127492000668468</v>
      </c>
      <c r="E17" s="1">
        <v>7.9639208012270035E-2</v>
      </c>
      <c r="F17" s="1">
        <v>100000</v>
      </c>
      <c r="G17" s="1">
        <v>5.6658027027726323</v>
      </c>
      <c r="H17" s="1">
        <v>0.4371472740198078</v>
      </c>
      <c r="I17" s="1">
        <v>754.66903685224577</v>
      </c>
      <c r="J17" s="1">
        <v>349.83626512934336</v>
      </c>
      <c r="K17" s="1">
        <v>9.6412103175524226E-3</v>
      </c>
      <c r="L17" s="1">
        <v>119811.62098438881</v>
      </c>
      <c r="M17" s="1">
        <v>0.13250757810119448</v>
      </c>
      <c r="N17" s="1">
        <v>0.57735705772685963</v>
      </c>
      <c r="O17" s="1">
        <v>183.64603438472477</v>
      </c>
      <c r="P17" s="1">
        <v>1387.1107206908564</v>
      </c>
      <c r="Q17">
        <v>1694.220661772968</v>
      </c>
      <c r="R17" t="s">
        <v>47</v>
      </c>
    </row>
    <row r="18" spans="1:18" x14ac:dyDescent="0.25">
      <c r="A18" s="1">
        <v>19</v>
      </c>
      <c r="B18" s="1">
        <v>1.1752045171504428</v>
      </c>
      <c r="C18" s="1">
        <v>297.74115631905158</v>
      </c>
      <c r="D18" s="1">
        <v>8.6568593347077503</v>
      </c>
      <c r="E18" s="1">
        <v>3.3736437305737742E-2</v>
      </c>
      <c r="F18" s="1">
        <v>100000</v>
      </c>
      <c r="G18" s="1">
        <v>9.388218612579923</v>
      </c>
      <c r="H18" s="1">
        <v>0.50262940547937096</v>
      </c>
      <c r="I18" s="1">
        <v>878.12281029710459</v>
      </c>
      <c r="J18" s="1">
        <v>67.154104815149424</v>
      </c>
      <c r="K18" s="1">
        <v>3.4689302241255798E-2</v>
      </c>
      <c r="L18" s="1">
        <v>199671.44947157963</v>
      </c>
      <c r="M18" s="1">
        <v>0.10720512038672406</v>
      </c>
      <c r="N18" s="1">
        <v>0.46647876339672478</v>
      </c>
      <c r="O18" s="1">
        <v>186.42886849743837</v>
      </c>
      <c r="P18" s="1">
        <v>1923.1835614032389</v>
      </c>
      <c r="Q18">
        <v>1850.3597551776038</v>
      </c>
      <c r="R18" t="s">
        <v>65</v>
      </c>
    </row>
    <row r="19" spans="1:18" x14ac:dyDescent="0.25">
      <c r="A19" s="1">
        <v>20</v>
      </c>
      <c r="B19" s="1">
        <v>1.1673522130512617</v>
      </c>
      <c r="C19" s="1">
        <v>288.01301652492492</v>
      </c>
      <c r="D19" s="1">
        <v>51.456322528257381</v>
      </c>
      <c r="E19" s="1">
        <v>8.8357454783872136E-2</v>
      </c>
      <c r="F19" s="1">
        <v>100000</v>
      </c>
      <c r="G19" s="1">
        <v>0.48784627155270305</v>
      </c>
      <c r="H19" s="1">
        <v>0.43366599179372411</v>
      </c>
      <c r="I19" s="1">
        <v>872.55918071164012</v>
      </c>
      <c r="J19" s="1">
        <v>161.87108595576785</v>
      </c>
      <c r="K19" s="1">
        <v>6.7894040642083459E-2</v>
      </c>
      <c r="L19" s="1">
        <v>156204.81820432932</v>
      </c>
      <c r="M19" s="1">
        <v>5.0835808904804887E-2</v>
      </c>
      <c r="N19" s="1">
        <v>0.51876130569857337</v>
      </c>
      <c r="O19" s="1">
        <v>242.27817879563568</v>
      </c>
      <c r="P19" s="1">
        <v>913.3044898399894</v>
      </c>
      <c r="Q19">
        <v>1210.8034977061616</v>
      </c>
      <c r="R19" t="s">
        <v>47</v>
      </c>
    </row>
    <row r="20" spans="1:18" x14ac:dyDescent="0.25">
      <c r="A20" s="1">
        <v>21</v>
      </c>
      <c r="B20" s="1">
        <v>1.1799922266652665</v>
      </c>
      <c r="C20" s="1">
        <v>291.01036393460095</v>
      </c>
      <c r="D20" s="1">
        <v>67.581600342488102</v>
      </c>
      <c r="E20" s="1">
        <v>7.9905172247649398E-2</v>
      </c>
      <c r="F20" s="1">
        <v>100000</v>
      </c>
      <c r="G20" s="1">
        <v>4.8650419541148429</v>
      </c>
      <c r="H20" s="1">
        <v>0.41110412841837718</v>
      </c>
      <c r="I20" s="1">
        <v>818.55119174854599</v>
      </c>
      <c r="J20" s="1">
        <v>220.47694506823228</v>
      </c>
      <c r="K20" s="1">
        <v>1.4248390415235578E-2</v>
      </c>
      <c r="L20" s="1">
        <v>145666.65321070363</v>
      </c>
      <c r="M20" s="1">
        <v>0.10673229446208393</v>
      </c>
      <c r="N20" s="1">
        <v>0.36116903950427287</v>
      </c>
      <c r="O20" s="1">
        <v>189.74731781119178</v>
      </c>
      <c r="P20" s="1">
        <v>1316.5346815964949</v>
      </c>
      <c r="Q20">
        <v>1136.0850746152864</v>
      </c>
      <c r="R20" t="s">
        <v>47</v>
      </c>
    </row>
    <row r="21" spans="1:18" x14ac:dyDescent="0.25">
      <c r="A21" s="1">
        <v>23</v>
      </c>
      <c r="B21" s="1">
        <v>1.1863645271249033</v>
      </c>
      <c r="C21" s="1">
        <v>294.02941129868037</v>
      </c>
      <c r="D21" s="1">
        <v>13.037246120227197</v>
      </c>
      <c r="E21" s="1">
        <v>9.8599031473302109E-2</v>
      </c>
      <c r="F21" s="1">
        <v>100000</v>
      </c>
      <c r="G21" s="1">
        <v>2.8359104940982225</v>
      </c>
      <c r="H21" s="1">
        <v>0.4006640491038907</v>
      </c>
      <c r="I21" s="1">
        <v>875.80464183734</v>
      </c>
      <c r="J21" s="1">
        <v>524.92679152448727</v>
      </c>
      <c r="K21" s="1">
        <v>5.0520113780222795E-2</v>
      </c>
      <c r="L21" s="1">
        <v>118231.58451703473</v>
      </c>
      <c r="M21" s="1">
        <v>0.14535954538161339</v>
      </c>
      <c r="N21" s="1">
        <v>0.61141248666221903</v>
      </c>
      <c r="O21" s="1">
        <v>198.02834093429564</v>
      </c>
      <c r="P21" s="1">
        <v>1973.9178719820266</v>
      </c>
      <c r="Q21">
        <v>2025.2543502138869</v>
      </c>
      <c r="R21" t="s">
        <v>65</v>
      </c>
    </row>
    <row r="22" spans="1:18" x14ac:dyDescent="0.25">
      <c r="A22" s="1">
        <v>25</v>
      </c>
      <c r="B22" s="1">
        <v>1.1729645406537783</v>
      </c>
      <c r="C22" s="1">
        <v>293.39660969092347</v>
      </c>
      <c r="D22" s="1">
        <v>66.486766660015746</v>
      </c>
      <c r="E22" s="1">
        <v>0.13917979513766859</v>
      </c>
      <c r="F22" s="1">
        <v>100000</v>
      </c>
      <c r="G22" s="1">
        <v>0.54758259115975338</v>
      </c>
      <c r="H22" s="1">
        <v>0.50760459962582272</v>
      </c>
      <c r="I22" s="1">
        <v>757.77837271387534</v>
      </c>
      <c r="J22" s="1">
        <v>252.82665385718241</v>
      </c>
      <c r="K22" s="1">
        <v>4.9254877084440554E-2</v>
      </c>
      <c r="L22" s="1">
        <v>161577.46491429102</v>
      </c>
      <c r="M22" s="1">
        <v>9.3950193646043512E-2</v>
      </c>
      <c r="N22" s="1">
        <v>0.65428073687006583</v>
      </c>
      <c r="O22" s="1">
        <v>242.55474133985615</v>
      </c>
      <c r="P22" s="1">
        <v>990.02375374285475</v>
      </c>
      <c r="Q22">
        <v>1033.193820644723</v>
      </c>
      <c r="R22" t="s">
        <v>65</v>
      </c>
    </row>
    <row r="23" spans="1:18" x14ac:dyDescent="0.25">
      <c r="A23" s="1">
        <v>26</v>
      </c>
      <c r="B23" s="1">
        <v>1.1715399378752125</v>
      </c>
      <c r="C23" s="1">
        <v>293.9186882234294</v>
      </c>
      <c r="D23" s="1">
        <v>10.639739294747354</v>
      </c>
      <c r="E23" s="1">
        <v>0.14589480298499208</v>
      </c>
      <c r="F23" s="1">
        <v>100000</v>
      </c>
      <c r="G23" s="1">
        <v>6.2802530069970279</v>
      </c>
      <c r="H23" s="1">
        <v>0.48129577225547154</v>
      </c>
      <c r="I23" s="1">
        <v>796.1142927222711</v>
      </c>
      <c r="J23" s="1">
        <v>485.07747877766099</v>
      </c>
      <c r="K23" s="1">
        <v>2.3442500483973602E-2</v>
      </c>
      <c r="L23" s="1">
        <v>126852.1169651916</v>
      </c>
      <c r="M23" s="1">
        <v>5.5247567391543219E-2</v>
      </c>
      <c r="N23" s="1">
        <v>0.405983829114971</v>
      </c>
      <c r="O23" s="1">
        <v>202.86834376671251</v>
      </c>
      <c r="P23" s="1">
        <v>1876.833326313812</v>
      </c>
      <c r="Q23">
        <v>1817.0533482288884</v>
      </c>
      <c r="R23" t="s">
        <v>65</v>
      </c>
    </row>
    <row r="24" spans="1:18" x14ac:dyDescent="0.25">
      <c r="A24" s="1">
        <v>27</v>
      </c>
      <c r="B24" s="1">
        <v>1.1834600513440603</v>
      </c>
      <c r="C24" s="1">
        <v>296.79928024976806</v>
      </c>
      <c r="D24" s="1">
        <v>51.944594682467695</v>
      </c>
      <c r="E24" s="1">
        <v>9.4607762713498134E-2</v>
      </c>
      <c r="F24" s="1">
        <v>100000</v>
      </c>
      <c r="G24" s="1">
        <v>2.728392895448442</v>
      </c>
      <c r="H24" s="1">
        <v>0.49397624430053633</v>
      </c>
      <c r="I24" s="1">
        <v>764.25953532885876</v>
      </c>
      <c r="J24" s="1">
        <v>198.45624273815665</v>
      </c>
      <c r="K24" s="1">
        <v>1.0515926035967847E-2</v>
      </c>
      <c r="L24" s="1">
        <v>162181.73402825234</v>
      </c>
      <c r="M24" s="1">
        <v>0.1011693044377161</v>
      </c>
      <c r="N24" s="1">
        <v>0.41676968418847427</v>
      </c>
      <c r="O24" s="1">
        <v>205.09057136416428</v>
      </c>
      <c r="P24" s="1">
        <v>855.70743371725985</v>
      </c>
      <c r="Q24">
        <v>761.88559818136855</v>
      </c>
      <c r="R24" t="s">
        <v>47</v>
      </c>
    </row>
    <row r="25" spans="1:18" x14ac:dyDescent="0.25">
      <c r="A25" s="1">
        <v>28</v>
      </c>
      <c r="B25" s="1">
        <v>1.1788818218014081</v>
      </c>
      <c r="C25" s="1">
        <v>291.40269925733168</v>
      </c>
      <c r="D25" s="1">
        <v>17.155108207148217</v>
      </c>
      <c r="E25" s="1">
        <v>0.12416363904584618</v>
      </c>
      <c r="F25" s="1">
        <v>100000</v>
      </c>
      <c r="G25" s="1">
        <v>8.6604743009740854</v>
      </c>
      <c r="H25" s="1">
        <v>0.50364466674952724</v>
      </c>
      <c r="I25" s="1">
        <v>856.32376372973397</v>
      </c>
      <c r="J25" s="1">
        <v>128.82182759155734</v>
      </c>
      <c r="K25" s="1">
        <v>1.911811758958129E-2</v>
      </c>
      <c r="L25" s="1">
        <v>174918.71712178297</v>
      </c>
      <c r="M25" s="1">
        <v>0.12237837266074655</v>
      </c>
      <c r="N25" s="1">
        <v>0.60926705612178278</v>
      </c>
      <c r="O25" s="1">
        <v>214.09505846836413</v>
      </c>
      <c r="P25" s="1">
        <v>1335.7393316167218</v>
      </c>
      <c r="Q25">
        <v>1375.3941444890515</v>
      </c>
      <c r="R25" t="s">
        <v>65</v>
      </c>
    </row>
    <row r="26" spans="1:18" x14ac:dyDescent="0.25">
      <c r="A26" s="1">
        <v>30</v>
      </c>
      <c r="B26" s="1">
        <v>1.189828922648337</v>
      </c>
      <c r="C26" s="1">
        <v>289.45455163709482</v>
      </c>
      <c r="D26" s="1">
        <v>34.419859616428127</v>
      </c>
      <c r="E26" s="1">
        <v>0.1361962383603624</v>
      </c>
      <c r="F26" s="1">
        <v>100000</v>
      </c>
      <c r="G26" s="1">
        <v>3.2453864996373891</v>
      </c>
      <c r="H26" s="1">
        <v>0.50301948429145638</v>
      </c>
      <c r="I26" s="1">
        <v>772.61660641449919</v>
      </c>
      <c r="J26" s="1">
        <v>411.56178074535433</v>
      </c>
      <c r="K26" s="1">
        <v>3.4990681829183398E-2</v>
      </c>
      <c r="L26" s="1">
        <v>172788.33553333563</v>
      </c>
      <c r="M26" s="1">
        <v>0.13800175778086837</v>
      </c>
      <c r="N26" s="1">
        <v>0.65536084157339003</v>
      </c>
      <c r="O26" s="1">
        <v>214.73922983279206</v>
      </c>
      <c r="P26" s="1">
        <v>1794.3802535401119</v>
      </c>
      <c r="Q26">
        <v>1679.1901786090748</v>
      </c>
      <c r="R26" t="s">
        <v>47</v>
      </c>
    </row>
    <row r="27" spans="1:18" x14ac:dyDescent="0.25">
      <c r="A27" s="1">
        <v>32</v>
      </c>
      <c r="B27" s="1">
        <v>1.1797900198056976</v>
      </c>
      <c r="C27" s="1">
        <v>290.67264167452203</v>
      </c>
      <c r="D27" s="1">
        <v>66.026138134958799</v>
      </c>
      <c r="E27" s="1">
        <v>0.1180464638117775</v>
      </c>
      <c r="F27" s="1">
        <v>100000</v>
      </c>
      <c r="G27" s="1">
        <v>1.2418117434650759</v>
      </c>
      <c r="H27" s="1">
        <v>0.47787253304630201</v>
      </c>
      <c r="I27" s="1">
        <v>796.06474478961582</v>
      </c>
      <c r="J27" s="1">
        <v>467.94523334836521</v>
      </c>
      <c r="K27" s="1">
        <v>1.6199251332970285E-2</v>
      </c>
      <c r="L27" s="1">
        <v>144799.10797847839</v>
      </c>
      <c r="M27" s="1">
        <v>0.12937872250377058</v>
      </c>
      <c r="N27" s="1">
        <v>0.52336254094954071</v>
      </c>
      <c r="O27" s="1">
        <v>226.32793943076197</v>
      </c>
      <c r="P27" s="1">
        <v>1702.9714892952979</v>
      </c>
      <c r="Q27">
        <v>1690.2476567408012</v>
      </c>
      <c r="R27" t="s">
        <v>65</v>
      </c>
    </row>
    <row r="28" spans="1:18" x14ac:dyDescent="0.25">
      <c r="A28" s="1">
        <v>33</v>
      </c>
      <c r="B28" s="1">
        <v>1.1844814367889824</v>
      </c>
      <c r="C28" s="1">
        <v>289.99342718337044</v>
      </c>
      <c r="D28" s="1">
        <v>57.144293069411361</v>
      </c>
      <c r="E28" s="1">
        <v>8.6295563133106309E-2</v>
      </c>
      <c r="F28" s="1">
        <v>100000</v>
      </c>
      <c r="G28" s="1">
        <v>4.2378197818462562</v>
      </c>
      <c r="H28" s="1">
        <v>0.47315260998239073</v>
      </c>
      <c r="I28" s="1">
        <v>766.46691433177523</v>
      </c>
      <c r="J28" s="1">
        <v>227.60699852590272</v>
      </c>
      <c r="K28" s="1">
        <v>2.1337609191090363E-2</v>
      </c>
      <c r="L28" s="1">
        <v>177474.71199794975</v>
      </c>
      <c r="M28" s="1">
        <v>0.1267271730044888</v>
      </c>
      <c r="N28" s="1">
        <v>0.58285015363379078</v>
      </c>
      <c r="O28" s="1">
        <v>222.55480535772159</v>
      </c>
      <c r="P28" s="1">
        <v>1610.1124068199933</v>
      </c>
      <c r="Q28">
        <v>1489.7096743002476</v>
      </c>
      <c r="R28" t="s">
        <v>47</v>
      </c>
    </row>
    <row r="29" spans="1:18" x14ac:dyDescent="0.25">
      <c r="A29" s="1">
        <v>34</v>
      </c>
      <c r="B29" s="1">
        <v>1.1740108036653045</v>
      </c>
      <c r="C29" s="1">
        <v>294.18421439601582</v>
      </c>
      <c r="D29" s="1">
        <v>12.472413966080417</v>
      </c>
      <c r="E29" s="1">
        <v>7.3532746256728482E-2</v>
      </c>
      <c r="F29" s="1">
        <v>100000</v>
      </c>
      <c r="G29" s="1">
        <v>4.3413156370180292</v>
      </c>
      <c r="H29" s="1">
        <v>0.47937211126068502</v>
      </c>
      <c r="I29" s="1">
        <v>856.89120321277517</v>
      </c>
      <c r="J29" s="1">
        <v>204.55512875290879</v>
      </c>
      <c r="K29" s="1">
        <v>3.9142450608180529E-2</v>
      </c>
      <c r="L29" s="1">
        <v>153067.13892342028</v>
      </c>
      <c r="M29" s="1">
        <v>8.6462074165304187E-2</v>
      </c>
      <c r="N29" s="1">
        <v>0.51732571224818946</v>
      </c>
      <c r="O29" s="1">
        <v>222.68074341819968</v>
      </c>
      <c r="P29" s="1">
        <v>840.43014171258983</v>
      </c>
      <c r="Q29">
        <v>843.96505391094252</v>
      </c>
      <c r="R29" t="s">
        <v>65</v>
      </c>
    </row>
    <row r="30" spans="1:18" x14ac:dyDescent="0.25">
      <c r="A30" s="1">
        <v>35</v>
      </c>
      <c r="B30" s="1">
        <v>1.1774975665717502</v>
      </c>
      <c r="C30" s="1">
        <v>289.77045828002298</v>
      </c>
      <c r="D30" s="1">
        <v>54.995103183103538</v>
      </c>
      <c r="E30" s="1">
        <v>0.13275361359695659</v>
      </c>
      <c r="F30" s="1">
        <v>100000</v>
      </c>
      <c r="G30" s="1">
        <v>5.9604136976445146</v>
      </c>
      <c r="H30" s="1">
        <v>0.49048233117694279</v>
      </c>
      <c r="I30" s="1">
        <v>792.9980383952992</v>
      </c>
      <c r="J30" s="1">
        <v>221.92959695996637</v>
      </c>
      <c r="K30" s="1">
        <v>5.7019462483625022E-2</v>
      </c>
      <c r="L30" s="1">
        <v>150467.79922292745</v>
      </c>
      <c r="M30" s="1">
        <v>9.6555226567152264E-2</v>
      </c>
      <c r="N30" s="1">
        <v>0.42798539765641624</v>
      </c>
      <c r="O30" s="1">
        <v>204.19581862323108</v>
      </c>
      <c r="P30" s="1">
        <v>1412.2933062316661</v>
      </c>
      <c r="Q30">
        <v>1356.7844328420178</v>
      </c>
      <c r="R30" t="s">
        <v>65</v>
      </c>
    </row>
    <row r="31" spans="1:18" x14ac:dyDescent="0.25">
      <c r="A31" s="1">
        <v>37</v>
      </c>
      <c r="B31" s="1">
        <v>1.1880193984562519</v>
      </c>
      <c r="C31" s="1">
        <v>290.34443836343758</v>
      </c>
      <c r="D31" s="1">
        <v>20.79046632431924</v>
      </c>
      <c r="E31" s="1">
        <v>0.12050327512497727</v>
      </c>
      <c r="F31" s="1">
        <v>100000</v>
      </c>
      <c r="G31" s="1">
        <v>7.208984026833253</v>
      </c>
      <c r="H31" s="1">
        <v>0.49800045285576833</v>
      </c>
      <c r="I31" s="1">
        <v>774.14785444496806</v>
      </c>
      <c r="J31" s="1">
        <v>413.10382944474213</v>
      </c>
      <c r="K31" s="1">
        <v>6.6402143536600414E-2</v>
      </c>
      <c r="L31" s="1">
        <v>153176.60417975322</v>
      </c>
      <c r="M31" s="1">
        <v>0.13488863416600988</v>
      </c>
      <c r="N31" s="1">
        <v>0.51960387305215694</v>
      </c>
      <c r="O31" s="1">
        <v>233.21321473397438</v>
      </c>
      <c r="P31" s="1">
        <v>1862.3601495018738</v>
      </c>
      <c r="Q31">
        <v>1819.0326507767604</v>
      </c>
      <c r="R31" t="s">
        <v>65</v>
      </c>
    </row>
    <row r="32" spans="1:18" x14ac:dyDescent="0.25">
      <c r="A32" s="1">
        <v>39</v>
      </c>
      <c r="B32" s="1">
        <v>1.188208708218486</v>
      </c>
      <c r="C32" s="1">
        <v>291.78138601097066</v>
      </c>
      <c r="D32" s="1">
        <v>54.417062328338005</v>
      </c>
      <c r="E32" s="1">
        <v>0.11984691524485561</v>
      </c>
      <c r="F32" s="1">
        <v>100000</v>
      </c>
      <c r="G32" s="1">
        <v>4.5946741819401611</v>
      </c>
      <c r="H32" s="1">
        <v>0.49554605436762339</v>
      </c>
      <c r="I32" s="1">
        <v>808.0530573980119</v>
      </c>
      <c r="J32" s="1">
        <v>441.557111085016</v>
      </c>
      <c r="K32" s="1">
        <v>3.468970930591566E-2</v>
      </c>
      <c r="L32" s="1">
        <v>142985.29682538088</v>
      </c>
      <c r="M32" s="1">
        <v>0.13392630559334717</v>
      </c>
      <c r="N32" s="1">
        <v>0.58751493399264021</v>
      </c>
      <c r="O32" s="1">
        <v>237.16846774225661</v>
      </c>
      <c r="P32" s="1">
        <v>1695.9753761401444</v>
      </c>
      <c r="Q32">
        <v>1660.1839436186419</v>
      </c>
      <c r="R32" t="s">
        <v>65</v>
      </c>
    </row>
    <row r="33" spans="1:18" x14ac:dyDescent="0.25">
      <c r="A33" s="1">
        <v>40</v>
      </c>
      <c r="B33" s="1">
        <v>1.1823323324246318</v>
      </c>
      <c r="C33" s="1">
        <v>291.40003325127111</v>
      </c>
      <c r="D33" s="1">
        <v>28.174629100653142</v>
      </c>
      <c r="E33" s="1">
        <v>0.10756887787380046</v>
      </c>
      <c r="F33" s="1">
        <v>100000</v>
      </c>
      <c r="G33" s="1">
        <v>3.9469385163900896</v>
      </c>
      <c r="H33" s="1">
        <v>0.49099757408999006</v>
      </c>
      <c r="I33" s="1">
        <v>795.84163470431122</v>
      </c>
      <c r="J33" s="1">
        <v>297.6066609435901</v>
      </c>
      <c r="K33" s="1">
        <v>1.7798500623277026E-2</v>
      </c>
      <c r="L33" s="1">
        <v>175531.81586677657</v>
      </c>
      <c r="M33" s="1">
        <v>0.11772047107791392</v>
      </c>
      <c r="N33" s="1">
        <v>0.60724462791988643</v>
      </c>
      <c r="O33" s="1">
        <v>224.69077563153093</v>
      </c>
      <c r="P33" s="1">
        <v>1440.3615554309727</v>
      </c>
      <c r="Q33">
        <v>1392.7503713225888</v>
      </c>
      <c r="R33" t="s">
        <v>65</v>
      </c>
    </row>
    <row r="34" spans="1:18" x14ac:dyDescent="0.25">
      <c r="A34" s="1">
        <v>41</v>
      </c>
      <c r="B34" s="1">
        <v>1.1822897611420855</v>
      </c>
      <c r="C34" s="1">
        <v>289.83249163179261</v>
      </c>
      <c r="D34" s="1">
        <v>28.679571949615877</v>
      </c>
      <c r="E34" s="1">
        <v>0.10685932407846019</v>
      </c>
      <c r="F34" s="1">
        <v>100000</v>
      </c>
      <c r="G34" s="1">
        <v>2.5631325641126015</v>
      </c>
      <c r="H34" s="1">
        <v>0.49331338115661905</v>
      </c>
      <c r="I34" s="1">
        <v>786.57985918939323</v>
      </c>
      <c r="J34" s="1">
        <v>305.30341576824759</v>
      </c>
      <c r="K34" s="1">
        <v>4.5603446123309785E-2</v>
      </c>
      <c r="L34" s="1">
        <v>139161.97551716151</v>
      </c>
      <c r="M34" s="1">
        <v>8.7929690327198939E-2</v>
      </c>
      <c r="N34" s="1">
        <v>0.4292270426768568</v>
      </c>
      <c r="O34" s="1">
        <v>231.12381699613732</v>
      </c>
      <c r="P34" s="1">
        <v>1108.9441611295842</v>
      </c>
      <c r="Q34">
        <v>1056.520912958862</v>
      </c>
      <c r="R34" t="s">
        <v>65</v>
      </c>
    </row>
    <row r="35" spans="1:18" x14ac:dyDescent="0.25">
      <c r="A35" s="1">
        <v>42</v>
      </c>
      <c r="B35" s="1">
        <v>1.1830835351799578</v>
      </c>
      <c r="C35" s="1">
        <v>291.56821234520027</v>
      </c>
      <c r="D35" s="1">
        <v>56.313637528584515</v>
      </c>
      <c r="E35" s="1">
        <v>0.11321065610777964</v>
      </c>
      <c r="F35" s="1">
        <v>100000</v>
      </c>
      <c r="G35" s="1">
        <v>1.7411734925087776</v>
      </c>
      <c r="H35" s="1">
        <v>0.4937142555490317</v>
      </c>
      <c r="I35" s="1">
        <v>834.61214311974391</v>
      </c>
      <c r="J35" s="1">
        <v>288.66739393297166</v>
      </c>
      <c r="K35" s="1">
        <v>3.9175692470987164E-2</v>
      </c>
      <c r="L35" s="1">
        <v>142346.05244436173</v>
      </c>
      <c r="M35" s="1">
        <v>9.6635551260441058E-2</v>
      </c>
      <c r="N35" s="1">
        <v>0.55216372928291801</v>
      </c>
      <c r="O35" s="1">
        <v>224.34619611979994</v>
      </c>
      <c r="P35" s="1">
        <v>1046.7616909229473</v>
      </c>
      <c r="Q35">
        <v>958.94448701347574</v>
      </c>
      <c r="R35" t="s">
        <v>47</v>
      </c>
    </row>
    <row r="36" spans="1:18" x14ac:dyDescent="0.25">
      <c r="A36" s="1">
        <v>43</v>
      </c>
      <c r="B36" s="1">
        <v>1.1813187708777266</v>
      </c>
      <c r="C36" s="1">
        <v>290.3935977128769</v>
      </c>
      <c r="D36" s="1">
        <v>48.787629366078725</v>
      </c>
      <c r="E36" s="1">
        <v>0.12211406897130427</v>
      </c>
      <c r="F36" s="1">
        <v>100000</v>
      </c>
      <c r="G36" s="1">
        <v>3.2276929297856127</v>
      </c>
      <c r="H36" s="1">
        <v>0.48281453398100338</v>
      </c>
      <c r="I36" s="1">
        <v>795.63794702617076</v>
      </c>
      <c r="J36" s="1">
        <v>242.68109127698108</v>
      </c>
      <c r="K36" s="1">
        <v>6.4121776946413869E-2</v>
      </c>
      <c r="L36" s="1">
        <v>170727.21806787123</v>
      </c>
      <c r="M36" s="1">
        <v>8.7755100078030751E-2</v>
      </c>
      <c r="N36" s="1">
        <v>0.53496237359398913</v>
      </c>
      <c r="O36" s="1">
        <v>209.06600274927786</v>
      </c>
      <c r="P36" s="1">
        <v>1448.2778799246225</v>
      </c>
      <c r="Q36">
        <v>1422.4786844296323</v>
      </c>
      <c r="R36" t="s">
        <v>65</v>
      </c>
    </row>
    <row r="37" spans="1:18" x14ac:dyDescent="0.25">
      <c r="A37" s="1">
        <v>44</v>
      </c>
      <c r="B37" s="1">
        <v>1.1888806009168553</v>
      </c>
      <c r="C37" s="1">
        <v>292.65799515287966</v>
      </c>
      <c r="D37" s="1">
        <v>51.015765991956052</v>
      </c>
      <c r="E37" s="1">
        <v>9.0365935289773769E-2</v>
      </c>
      <c r="F37" s="1">
        <v>100000</v>
      </c>
      <c r="G37" s="1">
        <v>1.8542115022305889</v>
      </c>
      <c r="H37" s="1">
        <v>0.47872190432876027</v>
      </c>
      <c r="I37" s="1">
        <v>839.7660913450145</v>
      </c>
      <c r="J37" s="1">
        <v>392.05269684475559</v>
      </c>
      <c r="K37" s="1">
        <v>4.5864130174332017E-2</v>
      </c>
      <c r="L37" s="1">
        <v>142327.89682806074</v>
      </c>
      <c r="M37" s="1">
        <v>9.6646945300689804E-2</v>
      </c>
      <c r="N37" s="1">
        <v>0.513152884657472</v>
      </c>
      <c r="O37" s="1">
        <v>219.0269157357497</v>
      </c>
      <c r="P37" s="1">
        <v>1372.9792951396012</v>
      </c>
      <c r="Q37">
        <v>1246.5814702516363</v>
      </c>
      <c r="R37" t="s">
        <v>47</v>
      </c>
    </row>
    <row r="38" spans="1:18" x14ac:dyDescent="0.25">
      <c r="A38" s="1">
        <v>45</v>
      </c>
      <c r="B38" s="1">
        <v>1.1803743605463171</v>
      </c>
      <c r="C38" s="1">
        <v>292.50042783777911</v>
      </c>
      <c r="D38" s="1">
        <v>55.162399608891704</v>
      </c>
      <c r="E38" s="1">
        <v>0.12023453325991318</v>
      </c>
      <c r="F38" s="1">
        <v>100000</v>
      </c>
      <c r="G38" s="1">
        <v>6.9449023258555291</v>
      </c>
      <c r="H38" s="1">
        <v>0.4821484433640687</v>
      </c>
      <c r="I38" s="1">
        <v>834.22272064007916</v>
      </c>
      <c r="J38" s="1">
        <v>333.40811577693387</v>
      </c>
      <c r="K38" s="1">
        <v>3.2185383185525336E-2</v>
      </c>
      <c r="L38" s="1">
        <v>159645.23697853609</v>
      </c>
      <c r="M38" s="1">
        <v>0.1173736119540586</v>
      </c>
      <c r="N38" s="1">
        <v>0.46403063156334212</v>
      </c>
      <c r="O38" s="1">
        <v>225.42995189540224</v>
      </c>
      <c r="P38" s="1">
        <v>1693.325836016149</v>
      </c>
      <c r="Q38">
        <v>1753.5625302592234</v>
      </c>
      <c r="R38" t="s">
        <v>65</v>
      </c>
    </row>
    <row r="39" spans="1:18" x14ac:dyDescent="0.25">
      <c r="A39" s="1">
        <v>46</v>
      </c>
      <c r="B39" s="1">
        <v>1.1874248217972829</v>
      </c>
      <c r="C39" s="1">
        <v>292.3153354787367</v>
      </c>
      <c r="D39" s="1">
        <v>39.127939244574542</v>
      </c>
      <c r="E39" s="1">
        <v>9.9379025457694489E-2</v>
      </c>
      <c r="F39" s="1">
        <v>100000</v>
      </c>
      <c r="G39" s="1">
        <v>5.1355995610793821</v>
      </c>
      <c r="H39" s="1">
        <v>0.48768300505385026</v>
      </c>
      <c r="I39" s="1">
        <v>780.15998387298544</v>
      </c>
      <c r="J39" s="1">
        <v>312.83128628366512</v>
      </c>
      <c r="K39" s="1">
        <v>1.8054631499051246E-2</v>
      </c>
      <c r="L39" s="1">
        <v>155399.11255698398</v>
      </c>
      <c r="M39" s="1">
        <v>0.12174575194575145</v>
      </c>
      <c r="N39" s="1">
        <v>0.59021670383432701</v>
      </c>
      <c r="O39" s="1">
        <v>229.93075483204041</v>
      </c>
      <c r="P39" s="1">
        <v>1387.5620612159182</v>
      </c>
      <c r="Q39">
        <v>1366.4192656731175</v>
      </c>
      <c r="R39" t="s">
        <v>65</v>
      </c>
    </row>
    <row r="40" spans="1:18" x14ac:dyDescent="0.25">
      <c r="A40" s="1">
        <v>48</v>
      </c>
      <c r="B40" s="1">
        <v>1.1822596563843559</v>
      </c>
      <c r="C40" s="1">
        <v>290.52976855858702</v>
      </c>
      <c r="D40" s="1">
        <v>50.901984208771253</v>
      </c>
      <c r="E40" s="1">
        <v>8.2247720754658818E-2</v>
      </c>
      <c r="F40" s="1">
        <v>100000</v>
      </c>
      <c r="G40" s="1">
        <v>3.4894544781100754</v>
      </c>
      <c r="H40" s="1">
        <v>0.48220518849797239</v>
      </c>
      <c r="I40" s="1">
        <v>796.27126818892498</v>
      </c>
      <c r="J40" s="1">
        <v>289.88215537812476</v>
      </c>
      <c r="K40" s="1">
        <v>5.4393787298488552E-2</v>
      </c>
      <c r="L40" s="1">
        <v>144739.52261839234</v>
      </c>
      <c r="M40" s="1">
        <v>0.10046345821613198</v>
      </c>
      <c r="N40" s="1">
        <v>0.57012080017709965</v>
      </c>
      <c r="O40" s="1">
        <v>236.06702878149272</v>
      </c>
      <c r="P40" s="1">
        <v>1183.7820914878321</v>
      </c>
      <c r="Q40">
        <v>1174.8187874579744</v>
      </c>
      <c r="R40" t="s">
        <v>65</v>
      </c>
    </row>
    <row r="41" spans="1:18" x14ac:dyDescent="0.25">
      <c r="A41" s="1">
        <v>49</v>
      </c>
      <c r="B41" s="1">
        <v>1.1816712139682854</v>
      </c>
      <c r="C41" s="1">
        <v>291.20596849980427</v>
      </c>
      <c r="D41" s="1">
        <v>39.824842562255391</v>
      </c>
      <c r="E41" s="1">
        <v>0.11493359087726635</v>
      </c>
      <c r="F41" s="1">
        <v>100000</v>
      </c>
      <c r="G41" s="1">
        <v>4.5690088892961001</v>
      </c>
      <c r="H41" s="1">
        <v>0.48896651923643142</v>
      </c>
      <c r="I41" s="1">
        <v>805.33089656869765</v>
      </c>
      <c r="J41" s="1">
        <v>387.51678630079618</v>
      </c>
      <c r="K41" s="1">
        <v>3.1812024219931706E-2</v>
      </c>
      <c r="L41" s="1">
        <v>165791.71682959312</v>
      </c>
      <c r="M41" s="1">
        <v>0.11859838249777759</v>
      </c>
      <c r="N41" s="1">
        <v>0.55609199480772942</v>
      </c>
      <c r="O41" s="1">
        <v>215.25731955449476</v>
      </c>
      <c r="P41" s="1">
        <v>1746.2302158651219</v>
      </c>
      <c r="Q41">
        <v>1718.1830541441159</v>
      </c>
      <c r="R41" t="s">
        <v>65</v>
      </c>
    </row>
    <row r="42" spans="1:18" x14ac:dyDescent="0.25">
      <c r="A42" s="1">
        <v>50</v>
      </c>
      <c r="B42" s="1">
        <v>1.1837039216684568</v>
      </c>
      <c r="C42" s="1">
        <v>291.69998509905719</v>
      </c>
      <c r="D42" s="1">
        <v>53.273929829312962</v>
      </c>
      <c r="E42" s="1">
        <v>0.10302386411025102</v>
      </c>
      <c r="F42" s="1">
        <v>100000</v>
      </c>
      <c r="G42" s="1">
        <v>3.4340819164508769</v>
      </c>
      <c r="H42" s="1">
        <v>0.48444634860704505</v>
      </c>
      <c r="I42" s="1">
        <v>809.03865469197819</v>
      </c>
      <c r="J42" s="1">
        <v>345.1192939569591</v>
      </c>
      <c r="K42" s="1">
        <v>5.6396984582219103E-2</v>
      </c>
      <c r="L42" s="1">
        <v>161047.33416335963</v>
      </c>
      <c r="M42" s="1">
        <v>8.8712430225637628E-2</v>
      </c>
      <c r="N42" s="1">
        <v>0.5489035613038018</v>
      </c>
      <c r="O42" s="1">
        <v>215.61975848473568</v>
      </c>
      <c r="P42" s="1">
        <v>1572.7842803352323</v>
      </c>
      <c r="Q42">
        <v>1578.236750992568</v>
      </c>
      <c r="R42" t="s">
        <v>65</v>
      </c>
    </row>
    <row r="43" spans="1:18" x14ac:dyDescent="0.25">
      <c r="A43" s="1">
        <v>51</v>
      </c>
      <c r="B43" s="1">
        <v>1.1853315150934594</v>
      </c>
      <c r="C43" s="1">
        <v>289.99502985822949</v>
      </c>
      <c r="D43" s="1">
        <v>44.465727527888681</v>
      </c>
      <c r="E43" s="1">
        <v>9.9622962051842207E-2</v>
      </c>
      <c r="F43" s="1">
        <v>100000</v>
      </c>
      <c r="G43" s="1">
        <v>1.7799607829595907</v>
      </c>
      <c r="H43" s="1">
        <v>0.49160732001541896</v>
      </c>
      <c r="I43" s="1">
        <v>798.58424618542153</v>
      </c>
      <c r="J43" s="1">
        <v>242.82809815595334</v>
      </c>
      <c r="K43" s="1">
        <v>6.3456481022113986E-2</v>
      </c>
      <c r="L43" s="1">
        <v>148206.98810488076</v>
      </c>
      <c r="M43" s="1">
        <v>9.7332170647366031E-2</v>
      </c>
      <c r="N43" s="1">
        <v>0.55237192162139881</v>
      </c>
      <c r="O43" s="1">
        <v>216.90821388502732</v>
      </c>
      <c r="P43" s="1">
        <v>1063.1665795085064</v>
      </c>
      <c r="Q43">
        <v>1035.7221844443993</v>
      </c>
      <c r="R43" t="s">
        <v>65</v>
      </c>
    </row>
    <row r="44" spans="1:18" x14ac:dyDescent="0.25">
      <c r="A44" s="1">
        <v>52</v>
      </c>
      <c r="B44" s="1">
        <v>1.1887983043743142</v>
      </c>
      <c r="C44" s="1">
        <v>290.12955374757934</v>
      </c>
      <c r="D44" s="1">
        <v>25.649635396762296</v>
      </c>
      <c r="E44" s="1">
        <v>0.1016281684802893</v>
      </c>
      <c r="F44" s="1">
        <v>100000</v>
      </c>
      <c r="G44" s="1">
        <v>1.7891079473984557</v>
      </c>
      <c r="H44" s="1">
        <v>0.49081209082990179</v>
      </c>
      <c r="I44" s="1">
        <v>797.77529671226398</v>
      </c>
      <c r="J44" s="1">
        <v>390.1339377257483</v>
      </c>
      <c r="K44" s="1">
        <v>3.3892030790395766E-2</v>
      </c>
      <c r="L44" s="1">
        <v>159224.16454496089</v>
      </c>
      <c r="M44" s="1">
        <v>9.2618886853517338E-2</v>
      </c>
      <c r="N44" s="1">
        <v>0.55633593962389183</v>
      </c>
      <c r="O44" s="1">
        <v>229.51410393958662</v>
      </c>
      <c r="P44" s="1">
        <v>1498.4706974974179</v>
      </c>
      <c r="Q44">
        <v>1535.88015620652</v>
      </c>
      <c r="R44" t="s">
        <v>65</v>
      </c>
    </row>
    <row r="45" spans="1:18" x14ac:dyDescent="0.25">
      <c r="A45" s="1">
        <v>53</v>
      </c>
      <c r="B45" s="1">
        <v>1.1825137553524987</v>
      </c>
      <c r="C45" s="1">
        <v>292.21826781003557</v>
      </c>
      <c r="D45" s="1">
        <v>50.025210569530529</v>
      </c>
      <c r="E45" s="1">
        <v>9.4952608714876499E-2</v>
      </c>
      <c r="F45" s="1">
        <v>100000</v>
      </c>
      <c r="G45" s="1">
        <v>2.6286645166677052</v>
      </c>
      <c r="H45" s="1">
        <v>0.48339653645444342</v>
      </c>
      <c r="I45" s="1">
        <v>797.02640395711626</v>
      </c>
      <c r="J45" s="1">
        <v>368.518546764532</v>
      </c>
      <c r="K45" s="1">
        <v>5.7215031318635604E-2</v>
      </c>
      <c r="L45" s="1">
        <v>169963.81155743758</v>
      </c>
      <c r="M45" s="1">
        <v>9.9261158314756792E-2</v>
      </c>
      <c r="N45" s="1">
        <v>0.50131274744453003</v>
      </c>
      <c r="O45" s="1">
        <v>233.09271268824932</v>
      </c>
      <c r="P45" s="1">
        <v>1553.9610215500506</v>
      </c>
      <c r="Q45">
        <v>1547.5991702699976</v>
      </c>
      <c r="R45" t="s">
        <v>65</v>
      </c>
    </row>
    <row r="46" spans="1:18" x14ac:dyDescent="0.25">
      <c r="A46" s="1">
        <v>55</v>
      </c>
      <c r="B46" s="1">
        <v>1.1826837629542521</v>
      </c>
      <c r="C46" s="1">
        <v>291.78942040019996</v>
      </c>
      <c r="D46" s="1">
        <v>47.567088503219267</v>
      </c>
      <c r="E46" s="1">
        <v>9.0769074331067914E-2</v>
      </c>
      <c r="F46" s="1">
        <v>100000</v>
      </c>
      <c r="G46" s="1">
        <v>5.5760891482125086</v>
      </c>
      <c r="H46" s="1">
        <v>0.49129626298532675</v>
      </c>
      <c r="I46" s="1">
        <v>786.96717642514761</v>
      </c>
      <c r="J46" s="1">
        <v>248.01638633029575</v>
      </c>
      <c r="K46" s="1">
        <v>4.2739846348682602E-2</v>
      </c>
      <c r="L46" s="1">
        <v>150800.56657912294</v>
      </c>
      <c r="M46" s="1">
        <v>0.11543141489675825</v>
      </c>
      <c r="N46" s="1">
        <v>0.55589906377864096</v>
      </c>
      <c r="O46" s="1">
        <v>235.93033024104633</v>
      </c>
      <c r="P46" s="1">
        <v>1201.5651261323874</v>
      </c>
      <c r="Q46">
        <v>1206.1997566861974</v>
      </c>
      <c r="R46" t="s">
        <v>65</v>
      </c>
    </row>
    <row r="47" spans="1:18" x14ac:dyDescent="0.25">
      <c r="A47" s="1">
        <v>56</v>
      </c>
      <c r="B47" s="1">
        <v>1.1827818601618114</v>
      </c>
      <c r="C47" s="1">
        <v>291.96167966268757</v>
      </c>
      <c r="D47" s="1">
        <v>29.120998034668499</v>
      </c>
      <c r="E47" s="1">
        <v>0.10645428566384479</v>
      </c>
      <c r="F47" s="1">
        <v>100000</v>
      </c>
      <c r="G47" s="1">
        <v>5.6993814236317304</v>
      </c>
      <c r="H47" s="1">
        <v>0.48810121806552476</v>
      </c>
      <c r="I47" s="1">
        <v>796.22323955268109</v>
      </c>
      <c r="J47" s="1">
        <v>363.91367550387372</v>
      </c>
      <c r="K47" s="1">
        <v>5.1512350678393097E-2</v>
      </c>
      <c r="L47" s="1">
        <v>170617.57658095221</v>
      </c>
      <c r="M47" s="1">
        <v>0.11205970607638573</v>
      </c>
      <c r="N47" s="1">
        <v>0.52990502593819744</v>
      </c>
      <c r="O47" s="1">
        <v>222.30840142336879</v>
      </c>
      <c r="P47" s="1">
        <v>1636.6928523033785</v>
      </c>
      <c r="Q47">
        <v>1594.7189663151221</v>
      </c>
      <c r="R47" t="s">
        <v>65</v>
      </c>
    </row>
    <row r="48" spans="1:18" x14ac:dyDescent="0.25">
      <c r="A48" s="1">
        <v>57</v>
      </c>
      <c r="B48" s="1">
        <v>1.1829230642964457</v>
      </c>
      <c r="C48" s="1">
        <v>290.67690898495812</v>
      </c>
      <c r="D48" s="1">
        <v>47.300643165102272</v>
      </c>
      <c r="E48" s="1">
        <v>0.1022549605344994</v>
      </c>
      <c r="F48" s="1">
        <v>100000</v>
      </c>
      <c r="G48" s="1">
        <v>4.7280701981334019</v>
      </c>
      <c r="H48" s="1">
        <v>0.47968033793476728</v>
      </c>
      <c r="I48" s="1">
        <v>793.09901016327331</v>
      </c>
      <c r="J48" s="1">
        <v>340.61153615474478</v>
      </c>
      <c r="K48" s="1">
        <v>3.9058325867399539E-2</v>
      </c>
      <c r="L48" s="1">
        <v>164696.46918308284</v>
      </c>
      <c r="M48" s="1">
        <v>0.1067269447963356</v>
      </c>
      <c r="N48" s="1">
        <v>0.512419089634786</v>
      </c>
      <c r="O48" s="1">
        <v>226.45528055756748</v>
      </c>
      <c r="P48" s="1">
        <v>1654.4016894780143</v>
      </c>
      <c r="Q48">
        <v>1670.1871996713744</v>
      </c>
      <c r="R48" t="s">
        <v>65</v>
      </c>
    </row>
    <row r="49" spans="1:18" x14ac:dyDescent="0.25">
      <c r="A49" s="1">
        <v>58</v>
      </c>
      <c r="B49" s="1">
        <v>1.1872927311071801</v>
      </c>
      <c r="C49" s="1">
        <v>290.84719285901906</v>
      </c>
      <c r="D49" s="1">
        <v>42.935003297203664</v>
      </c>
      <c r="E49" s="1">
        <v>9.4241178971364567E-2</v>
      </c>
      <c r="F49" s="1">
        <v>100000</v>
      </c>
      <c r="G49" s="1">
        <v>5.4436735700576486</v>
      </c>
      <c r="H49" s="1">
        <v>0.48674696353323677</v>
      </c>
      <c r="I49" s="1">
        <v>806.2707214966116</v>
      </c>
      <c r="J49" s="1">
        <v>385.97221270388957</v>
      </c>
      <c r="K49" s="1">
        <v>4.9608329594061605E-2</v>
      </c>
      <c r="L49" s="1">
        <v>154545.5120654646</v>
      </c>
      <c r="M49" s="1">
        <v>9.7580004574298246E-2</v>
      </c>
      <c r="N49" s="1">
        <v>0.53677039714905472</v>
      </c>
      <c r="O49" s="1">
        <v>231.20428264317587</v>
      </c>
      <c r="P49" s="1">
        <v>1729.9907068291723</v>
      </c>
      <c r="Q49">
        <v>1756.2222391540126</v>
      </c>
      <c r="R49" t="s">
        <v>65</v>
      </c>
    </row>
    <row r="50" spans="1:18" x14ac:dyDescent="0.25">
      <c r="A50" s="1">
        <v>59</v>
      </c>
      <c r="B50" s="1">
        <v>1.185111782490432</v>
      </c>
      <c r="C50" s="1">
        <v>291.82701522341154</v>
      </c>
      <c r="D50" s="1">
        <v>31.623066738730586</v>
      </c>
      <c r="E50" s="1">
        <v>9.5847172887876822E-2</v>
      </c>
      <c r="F50" s="1">
        <v>100000</v>
      </c>
      <c r="G50" s="1">
        <v>2.6375471810802842</v>
      </c>
      <c r="H50" s="1">
        <v>0.47960261039357049</v>
      </c>
      <c r="I50" s="1">
        <v>802.7191915937351</v>
      </c>
      <c r="J50" s="1">
        <v>300.99876491682954</v>
      </c>
      <c r="K50" s="1">
        <v>4.1586963608203555E-2</v>
      </c>
      <c r="L50" s="1">
        <v>158648.17618875444</v>
      </c>
      <c r="M50" s="1">
        <v>0.10941923984294738</v>
      </c>
      <c r="N50" s="1">
        <v>0.53351175656686378</v>
      </c>
      <c r="O50" s="1">
        <v>225.83714162877354</v>
      </c>
      <c r="P50" s="1">
        <v>1232.5516146122754</v>
      </c>
      <c r="Q50">
        <v>1266.0512015731947</v>
      </c>
      <c r="R50" t="s">
        <v>65</v>
      </c>
    </row>
    <row r="51" spans="1:18" x14ac:dyDescent="0.25">
      <c r="A51" s="1">
        <v>60</v>
      </c>
      <c r="B51" s="1">
        <v>1.1830353128235591</v>
      </c>
      <c r="C51" s="1">
        <v>290.59067002198708</v>
      </c>
      <c r="D51" s="1">
        <v>37.902030309110586</v>
      </c>
      <c r="E51" s="1">
        <v>9.9477505209657646E-2</v>
      </c>
      <c r="F51" s="1">
        <v>100000</v>
      </c>
      <c r="G51" s="1">
        <v>2.9933045781587033</v>
      </c>
      <c r="H51" s="1">
        <v>0.484165682867785</v>
      </c>
      <c r="I51" s="1">
        <v>808.86121297364832</v>
      </c>
      <c r="J51" s="1">
        <v>248.39505898059159</v>
      </c>
      <c r="K51" s="1">
        <v>4.7748547687613489E-2</v>
      </c>
      <c r="L51" s="1">
        <v>154870.84920712697</v>
      </c>
      <c r="M51" s="1">
        <v>0.11340736758429143</v>
      </c>
      <c r="N51" s="1">
        <v>0.51855574788572611</v>
      </c>
      <c r="O51" s="1">
        <v>228.06926272819462</v>
      </c>
      <c r="P51" s="1">
        <v>1151.4305541862777</v>
      </c>
      <c r="Q51">
        <v>1219.7695895513461</v>
      </c>
      <c r="R51" t="s">
        <v>47</v>
      </c>
    </row>
    <row r="52" spans="1:18" x14ac:dyDescent="0.25">
      <c r="A52" s="1">
        <v>61</v>
      </c>
      <c r="B52" s="1">
        <v>1.1869766889967901</v>
      </c>
      <c r="C52" s="1">
        <v>290.0235473706191</v>
      </c>
      <c r="D52" s="1">
        <v>29.417434009077549</v>
      </c>
      <c r="E52" s="1">
        <v>0.10158789381132523</v>
      </c>
      <c r="F52" s="1">
        <v>100000</v>
      </c>
      <c r="G52" s="1">
        <v>5.5806560039015238</v>
      </c>
      <c r="H52" s="1">
        <v>0.48985361599906913</v>
      </c>
      <c r="I52" s="1">
        <v>788.70948875204601</v>
      </c>
      <c r="J52" s="1">
        <v>292.91826988348481</v>
      </c>
      <c r="K52" s="1">
        <v>6.1265248387094809E-2</v>
      </c>
      <c r="L52" s="1">
        <v>149034.77522756814</v>
      </c>
      <c r="M52" s="1">
        <v>0.10539737366312664</v>
      </c>
      <c r="N52" s="1">
        <v>0.52710752612830247</v>
      </c>
      <c r="O52" s="1">
        <v>226.46841226066672</v>
      </c>
      <c r="P52" s="1">
        <v>1414.8742327828004</v>
      </c>
      <c r="Q52">
        <v>1385.7541164612339</v>
      </c>
      <c r="R52" t="s">
        <v>65</v>
      </c>
    </row>
    <row r="53" spans="1:18" x14ac:dyDescent="0.25">
      <c r="A53" s="1">
        <v>62</v>
      </c>
      <c r="B53" s="1">
        <v>1.1830898236718601</v>
      </c>
      <c r="C53" s="1">
        <v>291.78690733155673</v>
      </c>
      <c r="D53" s="1">
        <v>35.177283754190171</v>
      </c>
      <c r="E53" s="1">
        <v>0.10185471843018126</v>
      </c>
      <c r="F53" s="1">
        <v>100000</v>
      </c>
      <c r="G53" s="1">
        <v>5.4397081032452261</v>
      </c>
      <c r="H53" s="1">
        <v>0.48205674462971831</v>
      </c>
      <c r="I53" s="1">
        <v>798.01577811377695</v>
      </c>
      <c r="J53" s="1">
        <v>310.73886445858875</v>
      </c>
      <c r="K53" s="1">
        <v>4.6692273858176009E-2</v>
      </c>
      <c r="L53" s="1">
        <v>157269.67646735269</v>
      </c>
      <c r="M53" s="1">
        <v>9.9240177794513995E-2</v>
      </c>
      <c r="N53" s="1">
        <v>0.52454075850800741</v>
      </c>
      <c r="O53" s="1">
        <v>230.82939628775731</v>
      </c>
      <c r="P53" s="1">
        <v>1431.0796292925297</v>
      </c>
      <c r="Q53">
        <v>1458.4239877281652</v>
      </c>
      <c r="R53" t="s">
        <v>65</v>
      </c>
    </row>
    <row r="54" spans="1:18" x14ac:dyDescent="0.25">
      <c r="A54" s="1">
        <v>63</v>
      </c>
      <c r="B54" s="1">
        <v>1.1841388125730323</v>
      </c>
      <c r="C54" s="1">
        <v>290.50070897780597</v>
      </c>
      <c r="D54" s="1">
        <v>45.83272025435501</v>
      </c>
      <c r="E54" s="1">
        <v>0.10000582576110047</v>
      </c>
      <c r="F54" s="1">
        <v>100000</v>
      </c>
      <c r="G54" s="1">
        <v>5.3077791277816821</v>
      </c>
      <c r="H54" s="1">
        <v>0.4854435073470203</v>
      </c>
      <c r="I54" s="1">
        <v>800.54172870123955</v>
      </c>
      <c r="J54" s="1">
        <v>343.18694026096568</v>
      </c>
      <c r="K54" s="1">
        <v>4.3486920636574708E-2</v>
      </c>
      <c r="L54" s="1">
        <v>154732.35242059655</v>
      </c>
      <c r="M54" s="1">
        <v>9.8181893369608503E-2</v>
      </c>
      <c r="N54" s="1">
        <v>0.50538960846967229</v>
      </c>
      <c r="O54" s="1">
        <v>233.9462871688394</v>
      </c>
      <c r="P54" s="1">
        <v>1605.269539738707</v>
      </c>
      <c r="Q54">
        <v>1658.0463093711005</v>
      </c>
      <c r="R54" t="s">
        <v>65</v>
      </c>
    </row>
    <row r="55" spans="1:18" x14ac:dyDescent="0.25">
      <c r="A55" s="1">
        <v>64</v>
      </c>
      <c r="B55" s="1">
        <v>1.1826803690941177</v>
      </c>
      <c r="C55" s="1">
        <v>291.91720223137287</v>
      </c>
      <c r="D55" s="1">
        <v>31.246225583163749</v>
      </c>
      <c r="E55" s="1">
        <v>9.4007363637526292E-2</v>
      </c>
      <c r="F55" s="1">
        <v>100000</v>
      </c>
      <c r="G55" s="1">
        <v>2.8785597318165737</v>
      </c>
      <c r="H55" s="1">
        <v>0.47999661784055148</v>
      </c>
      <c r="I55" s="1">
        <v>793.10011292898935</v>
      </c>
      <c r="J55" s="1">
        <v>358.44529659058776</v>
      </c>
      <c r="K55" s="1">
        <v>3.9031360535332217E-2</v>
      </c>
      <c r="L55" s="1">
        <v>167966.18928001463</v>
      </c>
      <c r="M55" s="1">
        <v>0.10425924328557352</v>
      </c>
      <c r="N55" s="1">
        <v>0.53180790695988112</v>
      </c>
      <c r="O55" s="1">
        <v>225.87612576418184</v>
      </c>
      <c r="P55" s="1">
        <v>1450.1793578652942</v>
      </c>
      <c r="Q55">
        <v>1439.1278607031272</v>
      </c>
      <c r="R55" t="s">
        <v>65</v>
      </c>
    </row>
    <row r="56" spans="1:18" x14ac:dyDescent="0.25">
      <c r="A56" s="1">
        <v>68</v>
      </c>
      <c r="B56" s="1">
        <v>1.1857534489337771</v>
      </c>
      <c r="C56" s="1">
        <v>290.0841635523131</v>
      </c>
      <c r="D56" s="1">
        <v>32.088283011919749</v>
      </c>
      <c r="E56" s="1">
        <v>9.9028248046046652E-2</v>
      </c>
      <c r="F56" s="1">
        <v>100000</v>
      </c>
      <c r="G56" s="1">
        <v>3.5476475060874328</v>
      </c>
      <c r="H56" s="1">
        <v>0.48725903838281992</v>
      </c>
      <c r="I56" s="1">
        <v>788.8163854808937</v>
      </c>
      <c r="J56" s="1">
        <v>372.91590789227405</v>
      </c>
      <c r="K56" s="1">
        <v>4.3668050256914559E-2</v>
      </c>
      <c r="L56" s="1">
        <v>164921.1089575915</v>
      </c>
      <c r="M56" s="1">
        <v>0.10925503144567542</v>
      </c>
      <c r="N56" s="1">
        <v>0.51282510120447389</v>
      </c>
      <c r="O56" s="1">
        <v>225.9178491556728</v>
      </c>
      <c r="P56" s="1">
        <v>1621.6673645483606</v>
      </c>
      <c r="Q56">
        <v>1624.6229032693373</v>
      </c>
      <c r="R56" t="s">
        <v>65</v>
      </c>
    </row>
    <row r="57" spans="1:18" x14ac:dyDescent="0.25">
      <c r="A57" s="1">
        <v>69</v>
      </c>
      <c r="B57" s="1">
        <v>1.1842351937687596</v>
      </c>
      <c r="C57" s="1">
        <v>290.20417724977733</v>
      </c>
      <c r="D57" s="1">
        <v>41.138876345579718</v>
      </c>
      <c r="E57" s="1">
        <v>9.4094464303609363E-2</v>
      </c>
      <c r="F57" s="1">
        <v>100000</v>
      </c>
      <c r="G57" s="1">
        <v>4.7817726025707969</v>
      </c>
      <c r="H57" s="1">
        <v>0.48514582706319043</v>
      </c>
      <c r="I57" s="1">
        <v>807.95803692782329</v>
      </c>
      <c r="J57" s="1">
        <v>363.38852224455445</v>
      </c>
      <c r="K57" s="1">
        <v>4.7505795508652415E-2</v>
      </c>
      <c r="L57" s="1">
        <v>168527.28713077406</v>
      </c>
      <c r="M57" s="1">
        <v>0.10635992502547245</v>
      </c>
      <c r="N57" s="1">
        <v>0.52429896246273899</v>
      </c>
      <c r="O57" s="1">
        <v>227.24830973446223</v>
      </c>
      <c r="P57" s="1">
        <v>1736.6673217146235</v>
      </c>
      <c r="Q57">
        <v>1752.8327440848516</v>
      </c>
      <c r="R57" t="s">
        <v>65</v>
      </c>
    </row>
    <row r="58" spans="1:18" x14ac:dyDescent="0.25">
      <c r="A58" s="1">
        <v>70</v>
      </c>
      <c r="B58" s="1">
        <v>1.1841763029494066</v>
      </c>
      <c r="C58" s="1">
        <v>290.27844074056986</v>
      </c>
      <c r="D58" s="1">
        <v>41.314779339696628</v>
      </c>
      <c r="E58" s="1">
        <v>9.905447222527336E-2</v>
      </c>
      <c r="F58" s="1">
        <v>100000</v>
      </c>
      <c r="G58" s="1">
        <v>3.0407667096714475</v>
      </c>
      <c r="H58" s="1">
        <v>0.48929114374752702</v>
      </c>
      <c r="I58" s="1">
        <v>794.38829889069518</v>
      </c>
      <c r="J58" s="1">
        <v>332.05755393872619</v>
      </c>
      <c r="K58" s="1">
        <v>5.4421175754162734E-2</v>
      </c>
      <c r="L58" s="1">
        <v>155536.47067642637</v>
      </c>
      <c r="M58" s="1">
        <v>0.10460653010577602</v>
      </c>
      <c r="N58" s="1">
        <v>0.52574594605488389</v>
      </c>
      <c r="O58" s="1">
        <v>229.55107298883505</v>
      </c>
      <c r="P58" s="1">
        <v>1436.5738962757678</v>
      </c>
      <c r="Q58">
        <v>1479.6180564580427</v>
      </c>
      <c r="R58" t="s">
        <v>65</v>
      </c>
    </row>
    <row r="59" spans="1:18" x14ac:dyDescent="0.25">
      <c r="A59" s="1">
        <v>72</v>
      </c>
      <c r="B59" s="1">
        <v>1.1839969905188263</v>
      </c>
      <c r="C59" s="1">
        <v>290.51168852511518</v>
      </c>
      <c r="D59" s="1">
        <v>42.243811742341734</v>
      </c>
      <c r="E59" s="1">
        <v>9.9784281463172628E-2</v>
      </c>
      <c r="F59" s="1">
        <v>100000</v>
      </c>
      <c r="G59" s="1">
        <v>4.7302119070458266</v>
      </c>
      <c r="H59" s="1">
        <v>0.48004133298338225</v>
      </c>
      <c r="I59" s="1">
        <v>808.26752888793817</v>
      </c>
      <c r="J59" s="1">
        <v>297.06176666576494</v>
      </c>
      <c r="K59" s="1">
        <v>5.8663488346134232E-2</v>
      </c>
      <c r="L59" s="1">
        <v>163279.43423280615</v>
      </c>
      <c r="M59" s="1">
        <v>0.1057832013123914</v>
      </c>
      <c r="N59" s="1">
        <v>0.51037245595634262</v>
      </c>
      <c r="O59" s="1">
        <v>229.68377611746106</v>
      </c>
      <c r="P59" s="1">
        <v>1502.1489992306379</v>
      </c>
      <c r="Q59">
        <v>1575.5893049171136</v>
      </c>
      <c r="R59" t="s">
        <v>65</v>
      </c>
    </row>
    <row r="60" spans="1:18" x14ac:dyDescent="0.25">
      <c r="A60" s="1">
        <v>73</v>
      </c>
      <c r="B60" s="1">
        <v>1.1855770553826048</v>
      </c>
      <c r="C60" s="1">
        <v>291.54936185486235</v>
      </c>
      <c r="D60" s="1">
        <v>41.949279267618216</v>
      </c>
      <c r="E60" s="1">
        <v>9.6116186056914618E-2</v>
      </c>
      <c r="F60" s="1">
        <v>100000</v>
      </c>
      <c r="G60" s="1">
        <v>4.8019210769434544</v>
      </c>
      <c r="H60" s="1">
        <v>0.4800961263809102</v>
      </c>
      <c r="I60" s="1">
        <v>792.97022591369944</v>
      </c>
      <c r="J60" s="1">
        <v>372.70768926802134</v>
      </c>
      <c r="K60" s="1">
        <v>4.1523001390772779E-2</v>
      </c>
      <c r="L60" s="1">
        <v>155179.18124556763</v>
      </c>
      <c r="M60" s="1">
        <v>0.10727329099900246</v>
      </c>
      <c r="N60" s="1">
        <v>0.52174924519898602</v>
      </c>
      <c r="O60" s="1">
        <v>231.36094110772473</v>
      </c>
      <c r="P60" s="1">
        <v>1603.5885452179282</v>
      </c>
      <c r="Q60">
        <v>1604.8695843970345</v>
      </c>
      <c r="R60" t="s">
        <v>65</v>
      </c>
    </row>
    <row r="61" spans="1:18" x14ac:dyDescent="0.25">
      <c r="A61" s="1">
        <v>74</v>
      </c>
      <c r="B61" s="1">
        <v>1.1867391010655428</v>
      </c>
      <c r="C61" s="1">
        <v>290.84770778093809</v>
      </c>
      <c r="D61" s="1">
        <v>41.100420900968516</v>
      </c>
      <c r="E61" s="1">
        <v>9.4412061947689196E-2</v>
      </c>
      <c r="F61" s="1">
        <v>100000</v>
      </c>
      <c r="G61" s="1">
        <v>4.3761999261814015</v>
      </c>
      <c r="H61" s="1">
        <v>0.48330496089380109</v>
      </c>
      <c r="I61" s="1">
        <v>800.99975514096184</v>
      </c>
      <c r="J61" s="1">
        <v>302.96139216104365</v>
      </c>
      <c r="K61" s="1">
        <v>4.6709532983626768E-2</v>
      </c>
      <c r="L61" s="1">
        <v>166766.13801479319</v>
      </c>
      <c r="M61" s="1">
        <v>0.10440863122572769</v>
      </c>
      <c r="N61" s="1">
        <v>0.53049308843471332</v>
      </c>
      <c r="O61" s="1">
        <v>229.40494189152528</v>
      </c>
      <c r="P61" s="1">
        <v>1497.7934504625664</v>
      </c>
      <c r="Q61">
        <v>1539.7127375794516</v>
      </c>
      <c r="R61" t="s">
        <v>65</v>
      </c>
    </row>
    <row r="62" spans="1:18" x14ac:dyDescent="0.25">
      <c r="A62" s="1">
        <v>75</v>
      </c>
      <c r="B62" s="1">
        <v>1.1870464103747846</v>
      </c>
      <c r="C62" s="1">
        <v>290.22357688612101</v>
      </c>
      <c r="D62" s="1">
        <v>32.695466049090491</v>
      </c>
      <c r="E62" s="1">
        <v>9.9008751392579392E-2</v>
      </c>
      <c r="F62" s="1">
        <v>100000</v>
      </c>
      <c r="G62" s="1">
        <v>3.7002969622742872</v>
      </c>
      <c r="H62" s="1">
        <v>0.4887805145052076</v>
      </c>
      <c r="I62" s="1">
        <v>805.05636380969213</v>
      </c>
      <c r="J62" s="1">
        <v>329.80270735841611</v>
      </c>
      <c r="K62" s="1">
        <v>4.801509355449967E-2</v>
      </c>
      <c r="L62" s="1">
        <v>155514.42473651766</v>
      </c>
      <c r="M62" s="1">
        <v>0.1058522475296771</v>
      </c>
      <c r="N62" s="1">
        <v>0.51242302114556815</v>
      </c>
      <c r="O62" s="1">
        <v>227.01566385598016</v>
      </c>
      <c r="P62" s="1">
        <v>1456.8084740338891</v>
      </c>
      <c r="Q62">
        <v>1499.677580865653</v>
      </c>
      <c r="R62" t="s">
        <v>65</v>
      </c>
    </row>
    <row r="63" spans="1:18" x14ac:dyDescent="0.25">
      <c r="A63" s="1">
        <v>76</v>
      </c>
      <c r="B63" s="1">
        <v>1.1856199881393736</v>
      </c>
      <c r="C63" s="1">
        <v>290.47484811468985</v>
      </c>
      <c r="D63" s="1">
        <v>39.232710484223418</v>
      </c>
      <c r="E63" s="1">
        <v>9.5577383531499416E-2</v>
      </c>
      <c r="F63" s="1">
        <v>100000</v>
      </c>
      <c r="G63" s="1">
        <v>3.2327850229315636</v>
      </c>
      <c r="H63" s="1">
        <v>0.48726221587190049</v>
      </c>
      <c r="I63" s="1">
        <v>798.3167268978118</v>
      </c>
      <c r="J63" s="1">
        <v>301.54399409122584</v>
      </c>
      <c r="K63" s="1">
        <v>4.7956804446013725E-2</v>
      </c>
      <c r="L63" s="1">
        <v>158596.12041252706</v>
      </c>
      <c r="M63" s="1">
        <v>0.10384985339309792</v>
      </c>
      <c r="N63" s="1">
        <v>0.52854805954770712</v>
      </c>
      <c r="O63" s="1">
        <v>226.95338602090402</v>
      </c>
      <c r="P63" s="1">
        <v>1373.8940815548922</v>
      </c>
      <c r="Q63">
        <v>1428.4763743510412</v>
      </c>
      <c r="R63" t="s">
        <v>65</v>
      </c>
    </row>
    <row r="64" spans="1:18" x14ac:dyDescent="0.25">
      <c r="A64" s="1">
        <v>78</v>
      </c>
      <c r="B64" s="1">
        <v>1.1838293033943352</v>
      </c>
      <c r="C64" s="1">
        <v>290.80770057379868</v>
      </c>
      <c r="D64" s="1">
        <v>38.005181950046698</v>
      </c>
      <c r="E64" s="1">
        <v>9.3194112630156326E-2</v>
      </c>
      <c r="F64" s="1">
        <v>100000</v>
      </c>
      <c r="G64" s="1">
        <v>3.732504022608683</v>
      </c>
      <c r="H64" s="1">
        <v>0.48817203094400974</v>
      </c>
      <c r="I64" s="1">
        <v>790.95284102035862</v>
      </c>
      <c r="J64" s="1">
        <v>302.95694932011833</v>
      </c>
      <c r="K64" s="1">
        <v>4.3462863644308292E-2</v>
      </c>
      <c r="L64" s="1">
        <v>166231.29488071662</v>
      </c>
      <c r="M64" s="1">
        <v>0.10448890625593517</v>
      </c>
      <c r="N64" s="1">
        <v>0.52475128863284837</v>
      </c>
      <c r="O64" s="1">
        <v>230.18030349894772</v>
      </c>
      <c r="P64" s="1">
        <v>1431.663008728814</v>
      </c>
      <c r="Q64">
        <v>1467.3387494446652</v>
      </c>
      <c r="R64" t="s">
        <v>65</v>
      </c>
    </row>
    <row r="65" spans="1:18" x14ac:dyDescent="0.25">
      <c r="A65" s="1">
        <v>81</v>
      </c>
      <c r="B65" s="1">
        <v>1.1847706599581183</v>
      </c>
      <c r="C65" s="1">
        <v>291.30020378406692</v>
      </c>
      <c r="D65" s="1">
        <v>40.566697071274987</v>
      </c>
      <c r="E65" s="1">
        <v>9.2664736197040173E-2</v>
      </c>
      <c r="F65" s="1">
        <v>100000</v>
      </c>
      <c r="G65" s="1">
        <v>4.674194748345684</v>
      </c>
      <c r="H65" s="1">
        <v>0.48061953636868793</v>
      </c>
      <c r="I65" s="1">
        <v>802.05496963422922</v>
      </c>
      <c r="J65" s="1">
        <v>364.32274868783804</v>
      </c>
      <c r="K65" s="1">
        <v>5.6689317314813123E-2</v>
      </c>
      <c r="L65" s="1">
        <v>156359.34260340268</v>
      </c>
      <c r="M65" s="1">
        <v>0.10681913188817137</v>
      </c>
      <c r="N65" s="1">
        <v>0.5261682485586392</v>
      </c>
      <c r="O65" s="1">
        <v>228.19439659883705</v>
      </c>
      <c r="P65" s="1">
        <v>1599.2979587343798</v>
      </c>
      <c r="Q65">
        <v>1613.5181135484891</v>
      </c>
      <c r="R65" t="s">
        <v>65</v>
      </c>
    </row>
    <row r="66" spans="1:18" x14ac:dyDescent="0.25">
      <c r="A66" s="1">
        <v>83</v>
      </c>
      <c r="B66" s="1">
        <v>1.1853984275808076</v>
      </c>
      <c r="C66" s="1">
        <v>290.45754940099738</v>
      </c>
      <c r="D66" s="1">
        <v>38.817505183373882</v>
      </c>
      <c r="E66" s="1">
        <v>9.4416664198918129E-2</v>
      </c>
      <c r="F66" s="1">
        <v>100000</v>
      </c>
      <c r="G66" s="1">
        <v>3.8126402534353154</v>
      </c>
      <c r="H66" s="1">
        <v>0.48800216864497897</v>
      </c>
      <c r="I66" s="1">
        <v>804.49891601461957</v>
      </c>
      <c r="J66" s="1">
        <v>352.69148332838307</v>
      </c>
      <c r="K66" s="1">
        <v>4.2605008938684588E-2</v>
      </c>
      <c r="L66" s="1">
        <v>165006.68650057647</v>
      </c>
      <c r="M66" s="1">
        <v>0.10720501243139417</v>
      </c>
      <c r="N66" s="1">
        <v>0.52487032639588282</v>
      </c>
      <c r="O66" s="1">
        <v>227.08332013695053</v>
      </c>
      <c r="P66" s="1">
        <v>1601.033326597586</v>
      </c>
      <c r="Q66">
        <v>1638.3671083027439</v>
      </c>
      <c r="R66" t="s">
        <v>65</v>
      </c>
    </row>
    <row r="67" spans="1:18" x14ac:dyDescent="0.25">
      <c r="A67" s="1">
        <v>85</v>
      </c>
      <c r="B67" s="1">
        <v>1.1866542628338048</v>
      </c>
      <c r="C67" s="1">
        <v>290.33775505714618</v>
      </c>
      <c r="D67" s="1">
        <v>38.043976523282566</v>
      </c>
      <c r="E67" s="1">
        <v>9.7659172666860111E-2</v>
      </c>
      <c r="F67" s="1">
        <v>100000</v>
      </c>
      <c r="G67" s="1">
        <v>3.7984958482894959</v>
      </c>
      <c r="H67" s="1">
        <v>0.48822791632994694</v>
      </c>
      <c r="I67" s="1">
        <v>791.1349538273314</v>
      </c>
      <c r="J67" s="1">
        <v>364.0652135848058</v>
      </c>
      <c r="K67" s="1">
        <v>5.429159305338857E-2</v>
      </c>
      <c r="L67" s="1">
        <v>166009.62551581167</v>
      </c>
      <c r="M67" s="1">
        <v>0.10685320225891637</v>
      </c>
      <c r="N67" s="1">
        <v>0.51587754696031984</v>
      </c>
      <c r="O67" s="1">
        <v>229.18000872741098</v>
      </c>
      <c r="P67" s="1">
        <v>1626.5472300109031</v>
      </c>
      <c r="Q67">
        <v>1638.9431165853457</v>
      </c>
      <c r="R67" t="s">
        <v>65</v>
      </c>
    </row>
    <row r="68" spans="1:18" x14ac:dyDescent="0.25">
      <c r="A68" s="1">
        <v>88</v>
      </c>
      <c r="B68" s="1">
        <v>1.1845989943015098</v>
      </c>
      <c r="C68" s="1">
        <v>290.65853833693836</v>
      </c>
      <c r="D68" s="1">
        <v>37.115261626297837</v>
      </c>
      <c r="E68" s="1">
        <v>9.6600788981269572E-2</v>
      </c>
      <c r="F68" s="1">
        <v>100000</v>
      </c>
      <c r="G68" s="1">
        <v>4.1572141171009793</v>
      </c>
      <c r="H68" s="1">
        <v>0.48722254793906405</v>
      </c>
      <c r="I68" s="1">
        <v>800.09823779040062</v>
      </c>
      <c r="J68" s="1">
        <v>357.40154002966398</v>
      </c>
      <c r="K68" s="1">
        <v>4.7547776044972401E-2</v>
      </c>
      <c r="L68" s="1">
        <v>165913.24427774531</v>
      </c>
      <c r="M68" s="1">
        <v>0.10708583579982202</v>
      </c>
      <c r="N68" s="1">
        <v>0.52785126940377058</v>
      </c>
      <c r="O68" s="1">
        <v>227.20443916543621</v>
      </c>
      <c r="P68" s="1">
        <v>1616.6684424464402</v>
      </c>
      <c r="Q68">
        <v>1637.2452906953113</v>
      </c>
      <c r="R68" t="s">
        <v>65</v>
      </c>
    </row>
    <row r="69" spans="1:18" x14ac:dyDescent="0.25">
      <c r="A69" s="1">
        <v>91</v>
      </c>
      <c r="B69" s="1">
        <v>1.1846116438904937</v>
      </c>
      <c r="C69" s="1">
        <v>290.96814966394862</v>
      </c>
      <c r="D69" s="1">
        <v>35.998809361059735</v>
      </c>
      <c r="E69" s="1">
        <v>9.3634091308436876E-2</v>
      </c>
      <c r="F69" s="1">
        <v>100000</v>
      </c>
      <c r="G69" s="1">
        <v>4.2249679885689959</v>
      </c>
      <c r="H69" s="1">
        <v>0.48166474255195668</v>
      </c>
      <c r="I69" s="1">
        <v>797.99835752713318</v>
      </c>
      <c r="J69" s="1">
        <v>356.86372246852625</v>
      </c>
      <c r="K69" s="1">
        <v>4.7352084731435207E-2</v>
      </c>
      <c r="L69" s="1">
        <v>161190.41298442151</v>
      </c>
      <c r="M69" s="1">
        <v>0.10414464783863064</v>
      </c>
      <c r="N69" s="1">
        <v>0.52218041771642676</v>
      </c>
      <c r="O69" s="1">
        <v>227.47148250477966</v>
      </c>
      <c r="P69" s="1">
        <v>1572.8270625226942</v>
      </c>
      <c r="Q69">
        <v>1597.6714239424036</v>
      </c>
      <c r="R69" t="s">
        <v>65</v>
      </c>
    </row>
    <row r="70" spans="1:18" x14ac:dyDescent="0.25">
      <c r="A70" s="1">
        <v>93</v>
      </c>
      <c r="B70" s="1">
        <v>1.1854763055774127</v>
      </c>
      <c r="C70" s="1">
        <v>291.15935510823039</v>
      </c>
      <c r="D70" s="1">
        <v>37.57249674913988</v>
      </c>
      <c r="E70" s="1">
        <v>9.455218596182452E-2</v>
      </c>
      <c r="F70" s="1">
        <v>100000</v>
      </c>
      <c r="G70" s="1">
        <v>3.6092959349867275</v>
      </c>
      <c r="H70" s="1">
        <v>0.48301579650551912</v>
      </c>
      <c r="I70" s="1">
        <v>791.85281898463279</v>
      </c>
      <c r="J70" s="1">
        <v>307.82462978855472</v>
      </c>
      <c r="K70" s="1">
        <v>4.4767189190303001E-2</v>
      </c>
      <c r="L70" s="1">
        <v>160867.54331555421</v>
      </c>
      <c r="M70" s="1">
        <v>0.1040176305707089</v>
      </c>
      <c r="N70" s="1">
        <v>0.52089580248991163</v>
      </c>
      <c r="O70" s="1">
        <v>228.57435504211705</v>
      </c>
      <c r="P70" s="1">
        <v>1381.0783917584267</v>
      </c>
      <c r="Q70">
        <v>1419.4912909330742</v>
      </c>
      <c r="R70" t="s">
        <v>65</v>
      </c>
    </row>
    <row r="71" spans="1:18" x14ac:dyDescent="0.25">
      <c r="A71" s="1">
        <v>101</v>
      </c>
      <c r="B71" s="1">
        <v>1.1858991556011236</v>
      </c>
      <c r="C71" s="1">
        <v>290.738449855986</v>
      </c>
      <c r="D71" s="1">
        <v>36.235382822004205</v>
      </c>
      <c r="E71" s="1">
        <v>9.4163294916399146E-2</v>
      </c>
      <c r="F71" s="1">
        <v>100000</v>
      </c>
      <c r="G71" s="1">
        <v>4.0148697610261221</v>
      </c>
      <c r="H71" s="1">
        <v>0.48625535350738991</v>
      </c>
      <c r="I71" s="1">
        <v>797.43554761315386</v>
      </c>
      <c r="J71" s="1">
        <v>340.25543511071885</v>
      </c>
      <c r="K71" s="1">
        <v>4.6898621963921312E-2</v>
      </c>
      <c r="L71" s="1">
        <v>161378.42008453808</v>
      </c>
      <c r="M71" s="1">
        <v>0.10539297099521816</v>
      </c>
      <c r="N71" s="1">
        <v>0.51961455989296956</v>
      </c>
      <c r="O71" s="1">
        <v>227.64167940045809</v>
      </c>
      <c r="P71" s="1">
        <v>1525.204749092627</v>
      </c>
      <c r="Q71">
        <v>1561.0956179114</v>
      </c>
      <c r="R71" t="s">
        <v>65</v>
      </c>
    </row>
    <row r="72" spans="1:18" x14ac:dyDescent="0.25">
      <c r="A72" s="1">
        <v>103</v>
      </c>
      <c r="B72" s="1">
        <v>1.1845356762952526</v>
      </c>
      <c r="C72" s="1">
        <v>291.16792700974412</v>
      </c>
      <c r="D72" s="1">
        <v>37.581098062722297</v>
      </c>
      <c r="E72" s="1">
        <v>9.4712426536161937E-2</v>
      </c>
      <c r="F72" s="1">
        <v>100000</v>
      </c>
      <c r="G72" s="1">
        <v>4.2361522217896947</v>
      </c>
      <c r="H72" s="1">
        <v>0.48661536368253139</v>
      </c>
      <c r="I72" s="1">
        <v>796.12277070528148</v>
      </c>
      <c r="J72" s="1">
        <v>341.16832032310822</v>
      </c>
      <c r="K72" s="1">
        <v>4.5066917557010013E-2</v>
      </c>
      <c r="L72" s="1">
        <v>159196.09281646696</v>
      </c>
      <c r="M72" s="1">
        <v>0.10489874462414797</v>
      </c>
      <c r="N72" s="1">
        <v>0.51883931124237403</v>
      </c>
      <c r="O72" s="1">
        <v>228.42618250178384</v>
      </c>
      <c r="P72" s="1">
        <v>1508.718352321237</v>
      </c>
      <c r="Q72">
        <v>1537.0934945853369</v>
      </c>
      <c r="R72" t="s">
        <v>65</v>
      </c>
    </row>
    <row r="74" spans="1:18" x14ac:dyDescent="0.25">
      <c r="A74" t="s">
        <v>45</v>
      </c>
    </row>
    <row r="75" spans="1:18" x14ac:dyDescent="0.25">
      <c r="A75">
        <f t="array" ref="A75:A145">AVERAGE('Coeficiente de Acerto'!$P$2:$P$72)</f>
        <v>1632.7951896000666</v>
      </c>
    </row>
    <row r="76" spans="1:18" x14ac:dyDescent="0.25">
      <c r="A76">
        <v>1632.7951896000666</v>
      </c>
    </row>
    <row r="77" spans="1:18" x14ac:dyDescent="0.25">
      <c r="A77">
        <v>1632.7951896000666</v>
      </c>
    </row>
    <row r="78" spans="1:18" x14ac:dyDescent="0.25">
      <c r="A78">
        <v>1632.7951896000666</v>
      </c>
    </row>
    <row r="79" spans="1:18" x14ac:dyDescent="0.25">
      <c r="A79">
        <v>1632.7951896000666</v>
      </c>
    </row>
    <row r="80" spans="1:18" x14ac:dyDescent="0.25">
      <c r="A80">
        <v>1632.7951896000666</v>
      </c>
    </row>
    <row r="81" spans="1:1" x14ac:dyDescent="0.25">
      <c r="A81">
        <v>1632.7951896000666</v>
      </c>
    </row>
    <row r="82" spans="1:1" x14ac:dyDescent="0.25">
      <c r="A82">
        <v>1632.7951896000666</v>
      </c>
    </row>
    <row r="83" spans="1:1" x14ac:dyDescent="0.25">
      <c r="A83">
        <v>1632.7951896000666</v>
      </c>
    </row>
    <row r="84" spans="1:1" x14ac:dyDescent="0.25">
      <c r="A84">
        <v>1632.7951896000666</v>
      </c>
    </row>
    <row r="85" spans="1:1" x14ac:dyDescent="0.25">
      <c r="A85">
        <v>1632.7951896000666</v>
      </c>
    </row>
    <row r="86" spans="1:1" x14ac:dyDescent="0.25">
      <c r="A86">
        <v>1632.7951896000666</v>
      </c>
    </row>
    <row r="87" spans="1:1" x14ac:dyDescent="0.25">
      <c r="A87">
        <v>1632.7951896000666</v>
      </c>
    </row>
    <row r="88" spans="1:1" x14ac:dyDescent="0.25">
      <c r="A88">
        <v>1632.7951896000666</v>
      </c>
    </row>
    <row r="89" spans="1:1" x14ac:dyDescent="0.25">
      <c r="A89">
        <v>1632.7951896000666</v>
      </c>
    </row>
    <row r="90" spans="1:1" x14ac:dyDescent="0.25">
      <c r="A90">
        <v>1632.7951896000666</v>
      </c>
    </row>
    <row r="91" spans="1:1" x14ac:dyDescent="0.25">
      <c r="A91">
        <v>1632.7951896000666</v>
      </c>
    </row>
    <row r="92" spans="1:1" x14ac:dyDescent="0.25">
      <c r="A92">
        <v>1632.7951896000666</v>
      </c>
    </row>
    <row r="93" spans="1:1" x14ac:dyDescent="0.25">
      <c r="A93">
        <v>1632.7951896000666</v>
      </c>
    </row>
    <row r="94" spans="1:1" x14ac:dyDescent="0.25">
      <c r="A94">
        <v>1632.7951896000666</v>
      </c>
    </row>
    <row r="95" spans="1:1" x14ac:dyDescent="0.25">
      <c r="A95">
        <v>1632.7951896000666</v>
      </c>
    </row>
    <row r="96" spans="1:1" x14ac:dyDescent="0.25">
      <c r="A96">
        <v>1632.7951896000666</v>
      </c>
    </row>
    <row r="97" spans="1:1" x14ac:dyDescent="0.25">
      <c r="A97">
        <v>1632.7951896000666</v>
      </c>
    </row>
    <row r="98" spans="1:1" x14ac:dyDescent="0.25">
      <c r="A98">
        <v>1632.7951896000666</v>
      </c>
    </row>
    <row r="99" spans="1:1" x14ac:dyDescent="0.25">
      <c r="A99">
        <v>1632.7951896000666</v>
      </c>
    </row>
    <row r="100" spans="1:1" x14ac:dyDescent="0.25">
      <c r="A100">
        <v>1632.7951896000666</v>
      </c>
    </row>
    <row r="101" spans="1:1" x14ac:dyDescent="0.25">
      <c r="A101">
        <v>1632.7951896000666</v>
      </c>
    </row>
    <row r="102" spans="1:1" x14ac:dyDescent="0.25">
      <c r="A102">
        <v>1632.7951896000666</v>
      </c>
    </row>
    <row r="103" spans="1:1" x14ac:dyDescent="0.25">
      <c r="A103">
        <v>1632.7951896000666</v>
      </c>
    </row>
    <row r="104" spans="1:1" x14ac:dyDescent="0.25">
      <c r="A104">
        <v>1632.7951896000666</v>
      </c>
    </row>
    <row r="105" spans="1:1" x14ac:dyDescent="0.25">
      <c r="A105">
        <v>1632.7951896000666</v>
      </c>
    </row>
    <row r="106" spans="1:1" x14ac:dyDescent="0.25">
      <c r="A106">
        <v>1632.7951896000666</v>
      </c>
    </row>
    <row r="107" spans="1:1" x14ac:dyDescent="0.25">
      <c r="A107">
        <v>1632.7951896000666</v>
      </c>
    </row>
    <row r="108" spans="1:1" x14ac:dyDescent="0.25">
      <c r="A108">
        <v>1632.7951896000666</v>
      </c>
    </row>
    <row r="109" spans="1:1" x14ac:dyDescent="0.25">
      <c r="A109">
        <v>1632.7951896000666</v>
      </c>
    </row>
    <row r="110" spans="1:1" x14ac:dyDescent="0.25">
      <c r="A110">
        <v>1632.7951896000666</v>
      </c>
    </row>
    <row r="111" spans="1:1" x14ac:dyDescent="0.25">
      <c r="A111">
        <v>1632.7951896000666</v>
      </c>
    </row>
    <row r="112" spans="1:1" x14ac:dyDescent="0.25">
      <c r="A112">
        <v>1632.7951896000666</v>
      </c>
    </row>
    <row r="113" spans="1:1" x14ac:dyDescent="0.25">
      <c r="A113">
        <v>1632.7951896000666</v>
      </c>
    </row>
    <row r="114" spans="1:1" x14ac:dyDescent="0.25">
      <c r="A114">
        <v>1632.7951896000666</v>
      </c>
    </row>
    <row r="115" spans="1:1" x14ac:dyDescent="0.25">
      <c r="A115">
        <v>1632.7951896000666</v>
      </c>
    </row>
    <row r="116" spans="1:1" x14ac:dyDescent="0.25">
      <c r="A116">
        <v>1632.7951896000666</v>
      </c>
    </row>
    <row r="117" spans="1:1" x14ac:dyDescent="0.25">
      <c r="A117">
        <v>1632.7951896000666</v>
      </c>
    </row>
    <row r="118" spans="1:1" x14ac:dyDescent="0.25">
      <c r="A118">
        <v>1632.7951896000666</v>
      </c>
    </row>
    <row r="119" spans="1:1" x14ac:dyDescent="0.25">
      <c r="A119">
        <v>1632.7951896000666</v>
      </c>
    </row>
    <row r="120" spans="1:1" x14ac:dyDescent="0.25">
      <c r="A120">
        <v>1632.7951896000666</v>
      </c>
    </row>
    <row r="121" spans="1:1" x14ac:dyDescent="0.25">
      <c r="A121">
        <v>1632.7951896000666</v>
      </c>
    </row>
    <row r="122" spans="1:1" x14ac:dyDescent="0.25">
      <c r="A122">
        <v>1632.7951896000666</v>
      </c>
    </row>
    <row r="123" spans="1:1" x14ac:dyDescent="0.25">
      <c r="A123">
        <v>1632.7951896000666</v>
      </c>
    </row>
    <row r="124" spans="1:1" x14ac:dyDescent="0.25">
      <c r="A124">
        <v>1632.7951896000666</v>
      </c>
    </row>
    <row r="125" spans="1:1" x14ac:dyDescent="0.25">
      <c r="A125">
        <v>1632.7951896000666</v>
      </c>
    </row>
    <row r="126" spans="1:1" x14ac:dyDescent="0.25">
      <c r="A126">
        <v>1632.7951896000666</v>
      </c>
    </row>
    <row r="127" spans="1:1" x14ac:dyDescent="0.25">
      <c r="A127">
        <v>1632.7951896000666</v>
      </c>
    </row>
    <row r="128" spans="1:1" x14ac:dyDescent="0.25">
      <c r="A128">
        <v>1632.7951896000666</v>
      </c>
    </row>
    <row r="129" spans="1:1" x14ac:dyDescent="0.25">
      <c r="A129">
        <v>1632.7951896000666</v>
      </c>
    </row>
    <row r="130" spans="1:1" x14ac:dyDescent="0.25">
      <c r="A130">
        <v>1632.7951896000666</v>
      </c>
    </row>
    <row r="131" spans="1:1" x14ac:dyDescent="0.25">
      <c r="A131">
        <v>1632.7951896000666</v>
      </c>
    </row>
    <row r="132" spans="1:1" x14ac:dyDescent="0.25">
      <c r="A132">
        <v>1632.7951896000666</v>
      </c>
    </row>
    <row r="133" spans="1:1" x14ac:dyDescent="0.25">
      <c r="A133">
        <v>1632.7951896000666</v>
      </c>
    </row>
    <row r="134" spans="1:1" x14ac:dyDescent="0.25">
      <c r="A134">
        <v>1632.7951896000666</v>
      </c>
    </row>
    <row r="135" spans="1:1" x14ac:dyDescent="0.25">
      <c r="A135">
        <v>1632.7951896000666</v>
      </c>
    </row>
    <row r="136" spans="1:1" x14ac:dyDescent="0.25">
      <c r="A136">
        <v>1632.7951896000666</v>
      </c>
    </row>
    <row r="137" spans="1:1" x14ac:dyDescent="0.25">
      <c r="A137">
        <v>1632.7951896000666</v>
      </c>
    </row>
    <row r="138" spans="1:1" x14ac:dyDescent="0.25">
      <c r="A138">
        <v>1632.7951896000666</v>
      </c>
    </row>
    <row r="139" spans="1:1" x14ac:dyDescent="0.25">
      <c r="A139">
        <v>1632.7951896000666</v>
      </c>
    </row>
    <row r="140" spans="1:1" x14ac:dyDescent="0.25">
      <c r="A140">
        <v>1632.7951896000666</v>
      </c>
    </row>
    <row r="141" spans="1:1" x14ac:dyDescent="0.25">
      <c r="A141">
        <v>1632.7951896000666</v>
      </c>
    </row>
    <row r="142" spans="1:1" x14ac:dyDescent="0.25">
      <c r="A142">
        <v>1632.7951896000666</v>
      </c>
    </row>
    <row r="143" spans="1:1" x14ac:dyDescent="0.25">
      <c r="A143">
        <v>1632.7951896000666</v>
      </c>
    </row>
    <row r="144" spans="1:1" x14ac:dyDescent="0.25">
      <c r="A144">
        <v>1632.7951896000666</v>
      </c>
    </row>
    <row r="145" spans="1:2" x14ac:dyDescent="0.25">
      <c r="A145">
        <v>1632.7951896000666</v>
      </c>
    </row>
    <row r="147" spans="1:2" x14ac:dyDescent="0.25">
      <c r="A147" t="s">
        <v>46</v>
      </c>
      <c r="B147">
        <f>1-SUMXMY2('Coeficiente de Acerto'!$Q$2:$Q$72,'Coeficiente de Acerto'!$P$2:$P$72)/SUMXMY2('Coeficiente de Acerto'!$P$2:$P$72,'Coeficiente de Acerto'!$A$75:$A$145)</f>
        <v>0.98008395173096585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16"/>
  <sheetViews>
    <sheetView workbookViewId="0">
      <selection activeCell="A17" sqref="A17"/>
    </sheetView>
  </sheetViews>
  <sheetFormatPr defaultRowHeight="15" x14ac:dyDescent="0.25"/>
  <cols>
    <col min="16" max="16" width="17.85546875" bestFit="1" customWidth="1"/>
    <col min="17" max="17" width="12.140625" bestFit="1" customWidth="1"/>
  </cols>
  <sheetData>
    <row r="1" spans="1:17" x14ac:dyDescent="0.25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51</v>
      </c>
      <c r="J1" s="1" t="s">
        <v>52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67</v>
      </c>
      <c r="Q1" s="1" t="s">
        <v>68</v>
      </c>
    </row>
    <row r="2" spans="1:17" x14ac:dyDescent="0.25">
      <c r="A2" s="1">
        <v>3</v>
      </c>
      <c r="B2" s="1">
        <v>1.24</v>
      </c>
      <c r="C2" s="1">
        <v>280</v>
      </c>
      <c r="D2" s="1">
        <v>70</v>
      </c>
      <c r="E2" s="1">
        <v>0.18099999999999999</v>
      </c>
      <c r="F2" s="1">
        <v>100000</v>
      </c>
      <c r="G2" s="1">
        <v>9.9700000000000006</v>
      </c>
      <c r="H2" s="1">
        <v>0.39</v>
      </c>
      <c r="I2" s="1">
        <v>900</v>
      </c>
      <c r="J2" s="1">
        <v>497</v>
      </c>
      <c r="K2" s="1">
        <v>8.1000000000000003E-2</v>
      </c>
      <c r="L2" s="1">
        <v>200000</v>
      </c>
      <c r="M2" s="1">
        <v>0.2</v>
      </c>
      <c r="N2" s="1">
        <v>0.4</v>
      </c>
      <c r="O2" s="1">
        <v>230</v>
      </c>
      <c r="P2" s="1">
        <v>3729.3913409251181</v>
      </c>
      <c r="Q2" s="1">
        <v>3510.5921615833358</v>
      </c>
    </row>
    <row r="3" spans="1:17" x14ac:dyDescent="0.25">
      <c r="A3" s="1">
        <v>5</v>
      </c>
      <c r="B3" s="1">
        <v>1.1599999999999999</v>
      </c>
      <c r="C3" s="1">
        <v>300</v>
      </c>
      <c r="D3" s="1">
        <v>70</v>
      </c>
      <c r="E3" s="1">
        <v>0.10100000000000001</v>
      </c>
      <c r="F3" s="1">
        <v>100000</v>
      </c>
      <c r="G3" s="1">
        <v>5.0199999999999996</v>
      </c>
      <c r="H3" s="1">
        <v>0.45</v>
      </c>
      <c r="I3" s="1">
        <v>700</v>
      </c>
      <c r="J3" s="1">
        <v>539</v>
      </c>
      <c r="K3" s="1">
        <v>3.1E-2</v>
      </c>
      <c r="L3" s="1">
        <v>200000</v>
      </c>
      <c r="M3" s="1">
        <v>0.14000000000000001</v>
      </c>
      <c r="N3" s="1">
        <v>0.4</v>
      </c>
      <c r="O3" s="1">
        <v>170</v>
      </c>
      <c r="P3" s="1">
        <v>2169.3572215889508</v>
      </c>
      <c r="Q3" s="1">
        <v>2464.104543348396</v>
      </c>
    </row>
    <row r="4" spans="1:17" x14ac:dyDescent="0.25">
      <c r="A4" s="1">
        <v>10</v>
      </c>
      <c r="B4" s="1">
        <v>1.1599999999999999</v>
      </c>
      <c r="C4" s="1">
        <v>300</v>
      </c>
      <c r="D4" s="1">
        <v>2</v>
      </c>
      <c r="E4" s="1">
        <v>8.0000000000000002E-3</v>
      </c>
      <c r="F4" s="1">
        <v>100000</v>
      </c>
      <c r="G4" s="1">
        <v>1.7999999999999999E-2</v>
      </c>
      <c r="H4" s="1">
        <v>0.43</v>
      </c>
      <c r="I4" s="1">
        <v>800</v>
      </c>
      <c r="J4" s="1">
        <v>5</v>
      </c>
      <c r="K4" s="1">
        <v>8.0000000000000002E-3</v>
      </c>
      <c r="L4" s="1">
        <v>100000</v>
      </c>
      <c r="M4" s="1">
        <v>0.05</v>
      </c>
      <c r="N4" s="1">
        <v>0.33</v>
      </c>
      <c r="O4" s="1">
        <v>260</v>
      </c>
      <c r="P4" s="1">
        <v>80.726962516368076</v>
      </c>
      <c r="Q4" s="1">
        <v>14.10430924090906</v>
      </c>
    </row>
    <row r="5" spans="1:17" x14ac:dyDescent="0.25">
      <c r="A5" s="1">
        <v>12</v>
      </c>
      <c r="B5" s="1">
        <v>1.1637387993215749</v>
      </c>
      <c r="C5" s="1">
        <v>290.32608405394734</v>
      </c>
      <c r="D5" s="1">
        <v>76.356998217360712</v>
      </c>
      <c r="E5" s="1">
        <v>0.15408288442378273</v>
      </c>
      <c r="F5" s="1">
        <v>100000</v>
      </c>
      <c r="G5" s="1">
        <v>9.8468249107742398</v>
      </c>
      <c r="H5" s="1">
        <v>0.4045255822862811</v>
      </c>
      <c r="I5" s="1">
        <v>757.44703132454254</v>
      </c>
      <c r="J5" s="1">
        <v>557.67749827552518</v>
      </c>
      <c r="K5" s="1">
        <v>3.6015896098957501E-2</v>
      </c>
      <c r="L5" s="1">
        <v>137362.82880296651</v>
      </c>
      <c r="M5" s="1">
        <v>8.9715847756492551E-2</v>
      </c>
      <c r="N5" s="1">
        <v>0.6519625179348818</v>
      </c>
      <c r="O5" s="1">
        <v>186.19577049529653</v>
      </c>
      <c r="P5" s="1">
        <v>2772.9128895238318</v>
      </c>
      <c r="Q5" s="1">
        <v>2612.4041330596374</v>
      </c>
    </row>
    <row r="6" spans="1:17" x14ac:dyDescent="0.25">
      <c r="A6" s="1">
        <v>14</v>
      </c>
      <c r="B6" s="1">
        <v>1.2018688128286317</v>
      </c>
      <c r="C6" s="1">
        <v>287.61774275795892</v>
      </c>
      <c r="D6" s="1">
        <v>8.6713341362277312</v>
      </c>
      <c r="E6" s="1">
        <v>0.14513980393738357</v>
      </c>
      <c r="F6" s="1">
        <v>100000</v>
      </c>
      <c r="G6" s="1">
        <v>3.9557365545934529</v>
      </c>
      <c r="H6" s="1">
        <v>0.40536326269660922</v>
      </c>
      <c r="I6" s="1">
        <v>746.3217180846417</v>
      </c>
      <c r="J6" s="1">
        <v>210.30805809632758</v>
      </c>
      <c r="K6" s="1">
        <v>7.3861776337964147E-2</v>
      </c>
      <c r="L6" s="1">
        <v>134020.17059652868</v>
      </c>
      <c r="M6" s="1">
        <v>9.2737693283689776E-2</v>
      </c>
      <c r="N6" s="1">
        <v>0.35417266633745054</v>
      </c>
      <c r="O6" s="1">
        <v>224.56427150900089</v>
      </c>
      <c r="P6" s="1">
        <v>941.24542910436139</v>
      </c>
      <c r="Q6" s="1">
        <v>877.78496079202159</v>
      </c>
    </row>
    <row r="7" spans="1:17" x14ac:dyDescent="0.25">
      <c r="A7" s="1">
        <v>16</v>
      </c>
      <c r="B7" s="1">
        <v>1.1624211650174012</v>
      </c>
      <c r="C7" s="1">
        <v>295.2257330474572</v>
      </c>
      <c r="D7" s="1">
        <v>48.629963933721875</v>
      </c>
      <c r="E7" s="1">
        <v>0.14641587052709071</v>
      </c>
      <c r="F7" s="1">
        <v>100000</v>
      </c>
      <c r="G7" s="1">
        <v>4.458847216472912</v>
      </c>
      <c r="H7" s="1">
        <v>0.5195577076855552</v>
      </c>
      <c r="I7" s="1">
        <v>804.08653698499779</v>
      </c>
      <c r="J7" s="1">
        <v>101.83915416795141</v>
      </c>
      <c r="K7" s="1">
        <v>5.9270832515313294E-2</v>
      </c>
      <c r="L7" s="1">
        <v>166657.7923230585</v>
      </c>
      <c r="M7" s="1">
        <v>0.16382232942267907</v>
      </c>
      <c r="N7" s="1">
        <v>0.75663519499451459</v>
      </c>
      <c r="O7" s="1">
        <v>180.88562253366283</v>
      </c>
      <c r="P7" s="1">
        <v>924.96078076649428</v>
      </c>
      <c r="Q7" s="1">
        <v>866.75840940009221</v>
      </c>
    </row>
    <row r="8" spans="1:17" x14ac:dyDescent="0.25">
      <c r="A8" s="1">
        <v>18</v>
      </c>
      <c r="B8" s="1">
        <v>1.1844912972126356</v>
      </c>
      <c r="C8" s="1">
        <v>292.49460715577453</v>
      </c>
      <c r="D8" s="1">
        <v>33.127492000668468</v>
      </c>
      <c r="E8" s="1">
        <v>7.9639208012270035E-2</v>
      </c>
      <c r="F8" s="1">
        <v>100000</v>
      </c>
      <c r="G8" s="1">
        <v>5.6658027027726323</v>
      </c>
      <c r="H8" s="1">
        <v>0.4371472740198078</v>
      </c>
      <c r="I8" s="1">
        <v>754.66903685224577</v>
      </c>
      <c r="J8" s="1">
        <v>349.83626512934336</v>
      </c>
      <c r="K8" s="1">
        <v>9.6412103175524226E-3</v>
      </c>
      <c r="L8" s="1">
        <v>119811.62098438881</v>
      </c>
      <c r="M8" s="1">
        <v>0.13250757810119448</v>
      </c>
      <c r="N8" s="1">
        <v>0.57735705772685963</v>
      </c>
      <c r="O8" s="1">
        <v>183.64603438472477</v>
      </c>
      <c r="P8" s="1">
        <v>1387.1107206908564</v>
      </c>
      <c r="Q8" s="1">
        <v>1694.220661772968</v>
      </c>
    </row>
    <row r="9" spans="1:17" x14ac:dyDescent="0.25">
      <c r="A9" s="1">
        <v>20</v>
      </c>
      <c r="B9" s="1">
        <v>1.1673522130512617</v>
      </c>
      <c r="C9" s="1">
        <v>288.01301652492492</v>
      </c>
      <c r="D9" s="1">
        <v>51.456322528257381</v>
      </c>
      <c r="E9" s="1">
        <v>8.8357454783872136E-2</v>
      </c>
      <c r="F9" s="1">
        <v>100000</v>
      </c>
      <c r="G9" s="1">
        <v>0.48784627155270305</v>
      </c>
      <c r="H9" s="1">
        <v>0.43366599179372411</v>
      </c>
      <c r="I9" s="1">
        <v>872.55918071164012</v>
      </c>
      <c r="J9" s="1">
        <v>161.87108595576785</v>
      </c>
      <c r="K9" s="1">
        <v>6.7894040642083459E-2</v>
      </c>
      <c r="L9" s="1">
        <v>156204.81820432932</v>
      </c>
      <c r="M9" s="1">
        <v>5.0835808904804887E-2</v>
      </c>
      <c r="N9" s="1">
        <v>0.51876130569857337</v>
      </c>
      <c r="O9" s="1">
        <v>242.27817879563568</v>
      </c>
      <c r="P9" s="1">
        <v>913.3044898399894</v>
      </c>
      <c r="Q9" s="1">
        <v>1210.8034977061616</v>
      </c>
    </row>
    <row r="10" spans="1:17" x14ac:dyDescent="0.25">
      <c r="A10" s="1">
        <v>21</v>
      </c>
      <c r="B10" s="1">
        <v>1.1799922266652665</v>
      </c>
      <c r="C10" s="1">
        <v>291.01036393460095</v>
      </c>
      <c r="D10" s="1">
        <v>67.581600342488102</v>
      </c>
      <c r="E10" s="1">
        <v>7.9905172247649398E-2</v>
      </c>
      <c r="F10" s="1">
        <v>100000</v>
      </c>
      <c r="G10" s="1">
        <v>4.8650419541148429</v>
      </c>
      <c r="H10" s="1">
        <v>0.41110412841837718</v>
      </c>
      <c r="I10" s="1">
        <v>818.55119174854599</v>
      </c>
      <c r="J10" s="1">
        <v>220.47694506823228</v>
      </c>
      <c r="K10" s="1">
        <v>1.4248390415235578E-2</v>
      </c>
      <c r="L10" s="1">
        <v>145666.65321070363</v>
      </c>
      <c r="M10" s="1">
        <v>0.10673229446208393</v>
      </c>
      <c r="N10" s="1">
        <v>0.36116903950427287</v>
      </c>
      <c r="O10" s="1">
        <v>189.74731781119178</v>
      </c>
      <c r="P10" s="1">
        <v>1316.5346815964949</v>
      </c>
      <c r="Q10" s="1">
        <v>1136.0850746152864</v>
      </c>
    </row>
    <row r="11" spans="1:17" x14ac:dyDescent="0.25">
      <c r="A11" s="1">
        <v>27</v>
      </c>
      <c r="B11" s="1">
        <v>1.1834600513440603</v>
      </c>
      <c r="C11" s="1">
        <v>296.79928024976806</v>
      </c>
      <c r="D11" s="1">
        <v>51.944594682467695</v>
      </c>
      <c r="E11" s="1">
        <v>9.4607762713498134E-2</v>
      </c>
      <c r="F11" s="1">
        <v>100000</v>
      </c>
      <c r="G11" s="1">
        <v>2.728392895448442</v>
      </c>
      <c r="H11" s="1">
        <v>0.49397624430053633</v>
      </c>
      <c r="I11" s="1">
        <v>764.25953532885876</v>
      </c>
      <c r="J11" s="1">
        <v>198.45624273815665</v>
      </c>
      <c r="K11" s="1">
        <v>1.0515926035967847E-2</v>
      </c>
      <c r="L11" s="1">
        <v>162181.73402825234</v>
      </c>
      <c r="M11" s="1">
        <v>0.1011693044377161</v>
      </c>
      <c r="N11" s="1">
        <v>0.41676968418847427</v>
      </c>
      <c r="O11" s="1">
        <v>205.09057136416428</v>
      </c>
      <c r="P11" s="1">
        <v>855.70743371725985</v>
      </c>
      <c r="Q11" s="1">
        <v>761.88559818136855</v>
      </c>
    </row>
    <row r="12" spans="1:17" x14ac:dyDescent="0.25">
      <c r="A12" s="1">
        <v>30</v>
      </c>
      <c r="B12" s="1">
        <v>1.189828922648337</v>
      </c>
      <c r="C12" s="1">
        <v>289.45455163709482</v>
      </c>
      <c r="D12" s="1">
        <v>34.419859616428127</v>
      </c>
      <c r="E12" s="1">
        <v>0.1361962383603624</v>
      </c>
      <c r="F12" s="1">
        <v>100000</v>
      </c>
      <c r="G12" s="1">
        <v>3.2453864996373891</v>
      </c>
      <c r="H12" s="1">
        <v>0.50301948429145638</v>
      </c>
      <c r="I12" s="1">
        <v>772.61660641449919</v>
      </c>
      <c r="J12" s="1">
        <v>411.56178074535433</v>
      </c>
      <c r="K12" s="1">
        <v>3.4990681829183398E-2</v>
      </c>
      <c r="L12" s="1">
        <v>172788.33553333563</v>
      </c>
      <c r="M12" s="1">
        <v>0.13800175778086837</v>
      </c>
      <c r="N12" s="1">
        <v>0.65536084157339003</v>
      </c>
      <c r="O12" s="1">
        <v>214.73922983279206</v>
      </c>
      <c r="P12" s="1">
        <v>1794.3802535401119</v>
      </c>
      <c r="Q12" s="1">
        <v>1679.1901786090748</v>
      </c>
    </row>
    <row r="13" spans="1:17" x14ac:dyDescent="0.25">
      <c r="A13" s="1">
        <v>33</v>
      </c>
      <c r="B13" s="1">
        <v>1.1844814367889824</v>
      </c>
      <c r="C13" s="1">
        <v>289.99342718337044</v>
      </c>
      <c r="D13" s="1">
        <v>57.144293069411361</v>
      </c>
      <c r="E13" s="1">
        <v>8.6295563133106309E-2</v>
      </c>
      <c r="F13" s="1">
        <v>100000</v>
      </c>
      <c r="G13" s="1">
        <v>4.2378197818462562</v>
      </c>
      <c r="H13" s="1">
        <v>0.47315260998239073</v>
      </c>
      <c r="I13" s="1">
        <v>766.46691433177523</v>
      </c>
      <c r="J13" s="1">
        <v>227.60699852590272</v>
      </c>
      <c r="K13" s="1">
        <v>2.1337609191090363E-2</v>
      </c>
      <c r="L13" s="1">
        <v>177474.71199794975</v>
      </c>
      <c r="M13" s="1">
        <v>0.1267271730044888</v>
      </c>
      <c r="N13" s="1">
        <v>0.58285015363379078</v>
      </c>
      <c r="O13" s="1">
        <v>222.55480535772159</v>
      </c>
      <c r="P13" s="1">
        <v>1610.1124068199933</v>
      </c>
      <c r="Q13" s="1">
        <v>1489.7096743002476</v>
      </c>
    </row>
    <row r="14" spans="1:17" x14ac:dyDescent="0.25">
      <c r="A14" s="1">
        <v>42</v>
      </c>
      <c r="B14" s="1">
        <v>1.1830835351799578</v>
      </c>
      <c r="C14" s="1">
        <v>291.56821234520027</v>
      </c>
      <c r="D14" s="1">
        <v>56.313637528584515</v>
      </c>
      <c r="E14" s="1">
        <v>0.11321065610777964</v>
      </c>
      <c r="F14" s="1">
        <v>100000</v>
      </c>
      <c r="G14" s="1">
        <v>1.7411734925087776</v>
      </c>
      <c r="H14" s="1">
        <v>0.4937142555490317</v>
      </c>
      <c r="I14" s="1">
        <v>834.61214311974391</v>
      </c>
      <c r="J14" s="1">
        <v>288.66739393297166</v>
      </c>
      <c r="K14" s="1">
        <v>3.9175692470987164E-2</v>
      </c>
      <c r="L14" s="1">
        <v>142346.05244436173</v>
      </c>
      <c r="M14" s="1">
        <v>9.6635551260441058E-2</v>
      </c>
      <c r="N14" s="1">
        <v>0.55216372928291801</v>
      </c>
      <c r="O14" s="1">
        <v>224.34619611979994</v>
      </c>
      <c r="P14" s="1">
        <v>1046.7616909229473</v>
      </c>
      <c r="Q14" s="1">
        <v>958.94448701347574</v>
      </c>
    </row>
    <row r="15" spans="1:17" x14ac:dyDescent="0.25">
      <c r="A15" s="1">
        <v>44</v>
      </c>
      <c r="B15" s="1">
        <v>1.1888806009168553</v>
      </c>
      <c r="C15" s="1">
        <v>292.65799515287966</v>
      </c>
      <c r="D15" s="1">
        <v>51.015765991956052</v>
      </c>
      <c r="E15" s="1">
        <v>9.0365935289773769E-2</v>
      </c>
      <c r="F15" s="1">
        <v>100000</v>
      </c>
      <c r="G15" s="1">
        <v>1.8542115022305889</v>
      </c>
      <c r="H15" s="1">
        <v>0.47872190432876027</v>
      </c>
      <c r="I15" s="1">
        <v>839.7660913450145</v>
      </c>
      <c r="J15" s="1">
        <v>392.05269684475559</v>
      </c>
      <c r="K15" s="1">
        <v>4.5864130174332017E-2</v>
      </c>
      <c r="L15" s="1">
        <v>142327.89682806074</v>
      </c>
      <c r="M15" s="1">
        <v>9.6646945300689804E-2</v>
      </c>
      <c r="N15" s="1">
        <v>0.513152884657472</v>
      </c>
      <c r="O15" s="1">
        <v>219.0269157357497</v>
      </c>
      <c r="P15" s="1">
        <v>1372.9792951396012</v>
      </c>
      <c r="Q15" s="1">
        <v>1246.5814702516363</v>
      </c>
    </row>
    <row r="16" spans="1:17" x14ac:dyDescent="0.25">
      <c r="A16" s="1">
        <v>60</v>
      </c>
      <c r="B16" s="1">
        <v>1.1830353128235591</v>
      </c>
      <c r="C16" s="1">
        <v>290.59067002198708</v>
      </c>
      <c r="D16" s="1">
        <v>37.902030309110586</v>
      </c>
      <c r="E16" s="1">
        <v>9.9477505209657646E-2</v>
      </c>
      <c r="F16" s="1">
        <v>100000</v>
      </c>
      <c r="G16" s="1">
        <v>2.9933045781587033</v>
      </c>
      <c r="H16" s="1">
        <v>0.484165682867785</v>
      </c>
      <c r="I16" s="1">
        <v>808.86121297364832</v>
      </c>
      <c r="J16" s="1">
        <v>248.39505898059159</v>
      </c>
      <c r="K16" s="1">
        <v>4.7748547687613489E-2</v>
      </c>
      <c r="L16" s="1">
        <v>154870.84920712697</v>
      </c>
      <c r="M16" s="1">
        <v>0.11340736758429143</v>
      </c>
      <c r="N16" s="1">
        <v>0.51855574788572611</v>
      </c>
      <c r="O16" s="1">
        <v>228.06926272819462</v>
      </c>
      <c r="P16" s="1">
        <v>1151.4305541862777</v>
      </c>
      <c r="Q16" s="1">
        <v>1219.7695895513461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2017-10-01T11:52:32Z</dcterms:modified>
</cp:coreProperties>
</file>