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Google Drive\EdenSoft\Aplicativos\RBF2\"/>
    </mc:Choice>
  </mc:AlternateContent>
  <bookViews>
    <workbookView xWindow="360" yWindow="45" windowWidth="3585" windowHeight="4935" tabRatio="886" firstSheet="6" activeTab="10"/>
  </bookViews>
  <sheets>
    <sheet name="Executar" sheetId="1" r:id="rId1"/>
    <sheet name="Tabela Entrada-Saída" sheetId="2" r:id="rId2"/>
    <sheet name="Coordenadas dos Polos" sheetId="3" r:id="rId3"/>
    <sheet name="Cálculos Diversos" sheetId="4" r:id="rId4"/>
    <sheet name="Matrix (R)" sheetId="5" r:id="rId5"/>
    <sheet name="Matrix (R)^t" sheetId="6" r:id="rId6"/>
    <sheet name="Matrix (R)^t.(R)" sheetId="7" r:id="rId7"/>
    <sheet name="Matrix ((R)^t.(R))^(-1)" sheetId="8" r:id="rId8"/>
    <sheet name="Matrix (((R)^t.(R))^(-1)).(R)^t" sheetId="9" r:id="rId9"/>
    <sheet name="Solução" sheetId="10" r:id="rId10"/>
    <sheet name="Formulário" sheetId="11" r:id="rId11"/>
    <sheet name="Sem Outlayers" sheetId="14" r:id="rId12"/>
    <sheet name="Coeficiente de Acerto" sheetId="12" r:id="rId13"/>
    <sheet name="Outlayers" sheetId="13" r:id="rId14"/>
  </sheets>
  <definedNames>
    <definedName name="_xlnm._FilterDatabase" localSheetId="12" hidden="1">'Coeficiente de Acerto'!$A$372:$X$782</definedName>
    <definedName name="_xlnm.Print_Titles" localSheetId="11">'Sem Outlayers'!$1:$1</definedName>
  </definedNames>
  <calcPr calcId="171027"/>
</workbook>
</file>

<file path=xl/calcChain.xml><?xml version="1.0" encoding="utf-8"?>
<calcChain xmlns="http://schemas.openxmlformats.org/spreadsheetml/2006/main">
  <c r="A204" i="12" l="1" a="1"/>
  <c r="A204" i="12" s="1"/>
  <c r="A208" i="12"/>
  <c r="A209" i="12"/>
  <c r="A210" i="12"/>
  <c r="A211" i="12"/>
  <c r="A216" i="12"/>
  <c r="A217" i="12"/>
  <c r="A218" i="12"/>
  <c r="A219" i="12"/>
  <c r="A224" i="12"/>
  <c r="A225" i="12"/>
  <c r="A226" i="12"/>
  <c r="A227" i="12"/>
  <c r="A232" i="12"/>
  <c r="A233" i="12"/>
  <c r="A234" i="12"/>
  <c r="A235" i="12"/>
  <c r="A240" i="12"/>
  <c r="A241" i="12"/>
  <c r="A242" i="12"/>
  <c r="A243" i="12"/>
  <c r="A248" i="12"/>
  <c r="A249" i="12"/>
  <c r="A250" i="12"/>
  <c r="A251" i="12"/>
  <c r="A256" i="12"/>
  <c r="A257" i="12"/>
  <c r="A258" i="12"/>
  <c r="A259" i="12"/>
  <c r="A264" i="12"/>
  <c r="A265" i="12"/>
  <c r="A266" i="12"/>
  <c r="A267" i="12"/>
  <c r="A272" i="12"/>
  <c r="A273" i="12"/>
  <c r="A274" i="12"/>
  <c r="A275" i="12"/>
  <c r="A280" i="12"/>
  <c r="A281" i="12"/>
  <c r="A282" i="12"/>
  <c r="A283" i="12"/>
  <c r="A287" i="12"/>
  <c r="A288" i="12"/>
  <c r="A289" i="12"/>
  <c r="A290" i="12"/>
  <c r="A291" i="12"/>
  <c r="A295" i="12"/>
  <c r="A296" i="12"/>
  <c r="A297" i="12"/>
  <c r="A298" i="12"/>
  <c r="A299" i="12"/>
  <c r="A303" i="12"/>
  <c r="A304" i="12"/>
  <c r="A305" i="12"/>
  <c r="A306" i="12"/>
  <c r="A307" i="12"/>
  <c r="A311" i="12"/>
  <c r="A312" i="12"/>
  <c r="A313" i="12"/>
  <c r="A314" i="12"/>
  <c r="A315" i="12"/>
  <c r="A319" i="12"/>
  <c r="A320" i="12"/>
  <c r="A321" i="12"/>
  <c r="A322" i="12"/>
  <c r="A323" i="12"/>
  <c r="A327" i="12"/>
  <c r="A328" i="12"/>
  <c r="A329" i="12"/>
  <c r="A330" i="12"/>
  <c r="A331" i="12"/>
  <c r="A335" i="12"/>
  <c r="A336" i="12"/>
  <c r="A337" i="12"/>
  <c r="A338" i="12"/>
  <c r="A339" i="12"/>
  <c r="A343" i="12"/>
  <c r="A344" i="12"/>
  <c r="A345" i="12"/>
  <c r="A346" i="12"/>
  <c r="A347" i="12"/>
  <c r="A351" i="12"/>
  <c r="A352" i="12"/>
  <c r="A353" i="12"/>
  <c r="A354" i="12"/>
  <c r="A355" i="12"/>
  <c r="A359" i="12"/>
  <c r="A360" i="12"/>
  <c r="A361" i="12"/>
  <c r="A362" i="12"/>
  <c r="A363" i="12"/>
  <c r="A367" i="12"/>
  <c r="A368" i="12"/>
  <c r="A369" i="12"/>
  <c r="A370" i="12"/>
  <c r="A371" i="12"/>
  <c r="A375" i="12"/>
  <c r="A376" i="12"/>
  <c r="A377" i="12"/>
  <c r="A378" i="12"/>
  <c r="A379" i="12"/>
  <c r="A383" i="12"/>
  <c r="A384" i="12"/>
  <c r="A385" i="12"/>
  <c r="A386" i="12"/>
  <c r="A387" i="12"/>
  <c r="A391" i="12"/>
  <c r="A392" i="12"/>
  <c r="A393" i="12"/>
  <c r="A394" i="12"/>
  <c r="A395" i="12"/>
  <c r="A399" i="12"/>
  <c r="A400" i="12"/>
  <c r="A401" i="12"/>
  <c r="A402" i="12"/>
  <c r="A403" i="12"/>
  <c r="GP16" i="3"/>
  <c r="GB16" i="3"/>
  <c r="FN16" i="3"/>
  <c r="EZ16" i="3"/>
  <c r="EL16" i="3"/>
  <c r="DX16" i="3"/>
  <c r="DJ16" i="3"/>
  <c r="CV16" i="3"/>
  <c r="CH16" i="3"/>
  <c r="BT16" i="3"/>
  <c r="BF16" i="3"/>
  <c r="AR16" i="3"/>
  <c r="AD16" i="3"/>
  <c r="P16" i="3"/>
  <c r="GP15" i="3"/>
  <c r="GB15" i="3"/>
  <c r="FN15" i="3"/>
  <c r="EZ15" i="3"/>
  <c r="EL15" i="3"/>
  <c r="DX15" i="3"/>
  <c r="DJ15" i="3"/>
  <c r="CV15" i="3"/>
  <c r="CH15" i="3"/>
  <c r="BT15" i="3"/>
  <c r="BF15" i="3"/>
  <c r="AR15" i="3"/>
  <c r="AD15" i="3"/>
  <c r="P15" i="3"/>
  <c r="GP14" i="3"/>
  <c r="GB14" i="3"/>
  <c r="FN14" i="3"/>
  <c r="EZ14" i="3"/>
  <c r="EL14" i="3"/>
  <c r="DX14" i="3"/>
  <c r="DJ14" i="3"/>
  <c r="CV14" i="3"/>
  <c r="CH14" i="3"/>
  <c r="BT14" i="3"/>
  <c r="BF14" i="3"/>
  <c r="AR14" i="3"/>
  <c r="AD14" i="3"/>
  <c r="P14" i="3"/>
  <c r="GP13" i="3"/>
  <c r="GB13" i="3"/>
  <c r="FN13" i="3"/>
  <c r="EZ13" i="3"/>
  <c r="EL13" i="3"/>
  <c r="DX13" i="3"/>
  <c r="DJ13" i="3"/>
  <c r="CV13" i="3"/>
  <c r="CH13" i="3"/>
  <c r="BT13" i="3"/>
  <c r="BF13" i="3"/>
  <c r="AR13" i="3"/>
  <c r="AD13" i="3"/>
  <c r="P13" i="3"/>
  <c r="GP12" i="3"/>
  <c r="GB12" i="3"/>
  <c r="FN12" i="3"/>
  <c r="EZ12" i="3"/>
  <c r="EL12" i="3"/>
  <c r="DX12" i="3"/>
  <c r="DJ12" i="3"/>
  <c r="CV12" i="3"/>
  <c r="CH12" i="3"/>
  <c r="BT12" i="3"/>
  <c r="BF12" i="3"/>
  <c r="AR12" i="3"/>
  <c r="AD12" i="3"/>
  <c r="P12" i="3"/>
  <c r="GP11" i="3"/>
  <c r="GB11" i="3"/>
  <c r="FN11" i="3"/>
  <c r="EZ11" i="3"/>
  <c r="EL11" i="3"/>
  <c r="DX11" i="3"/>
  <c r="DJ11" i="3"/>
  <c r="CV11" i="3"/>
  <c r="CH11" i="3"/>
  <c r="BT11" i="3"/>
  <c r="BF11" i="3"/>
  <c r="AR11" i="3"/>
  <c r="AD11" i="3"/>
  <c r="P11" i="3"/>
  <c r="GP10" i="3"/>
  <c r="GB10" i="3"/>
  <c r="FN10" i="3"/>
  <c r="EZ10" i="3"/>
  <c r="EL10" i="3"/>
  <c r="DX10" i="3"/>
  <c r="DJ10" i="3"/>
  <c r="CV10" i="3"/>
  <c r="CH10" i="3"/>
  <c r="BT10" i="3"/>
  <c r="BF10" i="3"/>
  <c r="AR10" i="3"/>
  <c r="AD10" i="3"/>
  <c r="P10" i="3"/>
  <c r="GP9" i="3"/>
  <c r="GB9" i="3"/>
  <c r="FN9" i="3"/>
  <c r="EZ9" i="3"/>
  <c r="EL9" i="3"/>
  <c r="DX9" i="3"/>
  <c r="DJ9" i="3"/>
  <c r="CV9" i="3"/>
  <c r="CH9" i="3"/>
  <c r="BT9" i="3"/>
  <c r="BF9" i="3"/>
  <c r="AR9" i="3"/>
  <c r="AD9" i="3"/>
  <c r="P9" i="3"/>
  <c r="GP8" i="3"/>
  <c r="GB8" i="3"/>
  <c r="FN8" i="3"/>
  <c r="EZ8" i="3"/>
  <c r="EL8" i="3"/>
  <c r="DX8" i="3"/>
  <c r="DJ8" i="3"/>
  <c r="CV8" i="3"/>
  <c r="CH8" i="3"/>
  <c r="BT8" i="3"/>
  <c r="BF8" i="3"/>
  <c r="AR8" i="3"/>
  <c r="AD8" i="3"/>
  <c r="P8" i="3"/>
  <c r="GP7" i="3"/>
  <c r="GB7" i="3"/>
  <c r="FN7" i="3"/>
  <c r="EZ7" i="3"/>
  <c r="EL7" i="3"/>
  <c r="DX7" i="3"/>
  <c r="DJ7" i="3"/>
  <c r="CV7" i="3"/>
  <c r="CH7" i="3"/>
  <c r="BT7" i="3"/>
  <c r="BF7" i="3"/>
  <c r="AR7" i="3"/>
  <c r="AD7" i="3"/>
  <c r="P7" i="3"/>
  <c r="GP6" i="3"/>
  <c r="GB6" i="3"/>
  <c r="FN6" i="3"/>
  <c r="EZ6" i="3"/>
  <c r="EL6" i="3"/>
  <c r="DX6" i="3"/>
  <c r="DJ6" i="3"/>
  <c r="CV6" i="3"/>
  <c r="CH6" i="3"/>
  <c r="BT6" i="3"/>
  <c r="BF6" i="3"/>
  <c r="AR6" i="3"/>
  <c r="AD6" i="3"/>
  <c r="P6" i="3"/>
  <c r="GP5" i="3"/>
  <c r="GB5" i="3"/>
  <c r="FN5" i="3"/>
  <c r="EZ5" i="3"/>
  <c r="EL5" i="3"/>
  <c r="DX5" i="3"/>
  <c r="DJ5" i="3"/>
  <c r="CV5" i="3"/>
  <c r="CH5" i="3"/>
  <c r="BT5" i="3"/>
  <c r="BF5" i="3"/>
  <c r="AR5" i="3"/>
  <c r="AD5" i="3"/>
  <c r="P5" i="3"/>
  <c r="GP4" i="3"/>
  <c r="GB4" i="3"/>
  <c r="FN4" i="3"/>
  <c r="EZ4" i="3"/>
  <c r="EL4" i="3"/>
  <c r="DX4" i="3"/>
  <c r="DJ4" i="3"/>
  <c r="CV4" i="3"/>
  <c r="CH4" i="3"/>
  <c r="BT4" i="3"/>
  <c r="BF4" i="3"/>
  <c r="AR4" i="3"/>
  <c r="AD4" i="3"/>
  <c r="P4" i="3"/>
  <c r="GP3" i="3"/>
  <c r="GB3" i="3"/>
  <c r="FN3" i="3"/>
  <c r="EZ3" i="3"/>
  <c r="EL3" i="3"/>
  <c r="DX3" i="3"/>
  <c r="DJ3" i="3"/>
  <c r="CV3" i="3"/>
  <c r="CH3" i="3"/>
  <c r="BT3" i="3"/>
  <c r="BF3" i="3"/>
  <c r="AR3" i="3"/>
  <c r="AD3" i="3"/>
  <c r="P3" i="3"/>
  <c r="B3" i="4" s="1"/>
  <c r="B5" i="4" s="1"/>
  <c r="A279" i="12" l="1"/>
  <c r="A271" i="12"/>
  <c r="A263" i="12"/>
  <c r="A255" i="12"/>
  <c r="A247" i="12"/>
  <c r="A239" i="12"/>
  <c r="A231" i="12"/>
  <c r="A223" i="12"/>
  <c r="A215" i="12"/>
  <c r="A207" i="12"/>
  <c r="A398" i="12"/>
  <c r="A390" i="12"/>
  <c r="A382" i="12"/>
  <c r="A374" i="12"/>
  <c r="A366" i="12"/>
  <c r="A358" i="12"/>
  <c r="A350" i="12"/>
  <c r="A342" i="12"/>
  <c r="A334" i="12"/>
  <c r="A326" i="12"/>
  <c r="A318" i="12"/>
  <c r="A310" i="12"/>
  <c r="A302" i="12"/>
  <c r="A294" i="12"/>
  <c r="A286" i="12"/>
  <c r="A278" i="12"/>
  <c r="A270" i="12"/>
  <c r="A262" i="12"/>
  <c r="A254" i="12"/>
  <c r="A246" i="12"/>
  <c r="A238" i="12"/>
  <c r="A230" i="12"/>
  <c r="A222" i="12"/>
  <c r="A214" i="12"/>
  <c r="A206" i="12"/>
  <c r="A397" i="12"/>
  <c r="A389" i="12"/>
  <c r="A381" i="12"/>
  <c r="A373" i="12"/>
  <c r="A365" i="12"/>
  <c r="A357" i="12"/>
  <c r="A349" i="12"/>
  <c r="A341" i="12"/>
  <c r="A333" i="12"/>
  <c r="A325" i="12"/>
  <c r="A317" i="12"/>
  <c r="A309" i="12"/>
  <c r="A301" i="12"/>
  <c r="A293" i="12"/>
  <c r="A285" i="12"/>
  <c r="A277" i="12"/>
  <c r="A269" i="12"/>
  <c r="A261" i="12"/>
  <c r="A253" i="12"/>
  <c r="A245" i="12"/>
  <c r="A237" i="12"/>
  <c r="A229" i="12"/>
  <c r="A221" i="12"/>
  <c r="A213" i="12"/>
  <c r="A205" i="12"/>
  <c r="B405" i="12" s="1"/>
  <c r="B16" i="11" s="1"/>
  <c r="A396" i="12"/>
  <c r="A388" i="12"/>
  <c r="A380" i="12"/>
  <c r="A372" i="12"/>
  <c r="A364" i="12"/>
  <c r="A356" i="12"/>
  <c r="A348" i="12"/>
  <c r="A340" i="12"/>
  <c r="A332" i="12"/>
  <c r="A324" i="12"/>
  <c r="A316" i="12"/>
  <c r="A308" i="12"/>
  <c r="A300" i="12"/>
  <c r="A292" i="12"/>
  <c r="A284" i="12"/>
  <c r="A276" i="12"/>
  <c r="A268" i="12"/>
  <c r="A260" i="12"/>
  <c r="A252" i="12"/>
  <c r="A244" i="12"/>
  <c r="A236" i="12"/>
  <c r="A228" i="12"/>
  <c r="A220" i="12"/>
  <c r="A212" i="12"/>
  <c r="C13" i="10"/>
  <c r="C5" i="10"/>
  <c r="C16" i="10"/>
  <c r="C7" i="10"/>
  <c r="C15" i="10"/>
  <c r="C6" i="10"/>
  <c r="C14" i="10"/>
  <c r="C4" i="10"/>
  <c r="C11" i="10"/>
  <c r="C10" i="10"/>
  <c r="C12" i="10"/>
  <c r="C9" i="10"/>
  <c r="C8" i="10"/>
  <c r="C3" i="10"/>
  <c r="O201" i="5"/>
  <c r="G201" i="5"/>
  <c r="M200" i="5"/>
  <c r="E200" i="5"/>
  <c r="K199" i="5"/>
  <c r="C199" i="5"/>
  <c r="I198" i="5"/>
  <c r="O197" i="5"/>
  <c r="G197" i="5"/>
  <c r="M196" i="5"/>
  <c r="E196" i="5"/>
  <c r="K195" i="5"/>
  <c r="C195" i="5"/>
  <c r="I194" i="5"/>
  <c r="O193" i="5"/>
  <c r="G193" i="5"/>
  <c r="M192" i="5"/>
  <c r="E192" i="5"/>
  <c r="K191" i="5"/>
  <c r="C191" i="5"/>
  <c r="I190" i="5"/>
  <c r="O189" i="5"/>
  <c r="G189" i="5"/>
  <c r="M188" i="5"/>
  <c r="E188" i="5"/>
  <c r="K187" i="5"/>
  <c r="C187" i="5"/>
  <c r="I186" i="5"/>
  <c r="O185" i="5"/>
  <c r="G185" i="5"/>
  <c r="M184" i="5"/>
  <c r="E184" i="5"/>
  <c r="K183" i="5"/>
  <c r="C183" i="5"/>
  <c r="I182" i="5"/>
  <c r="O181" i="5"/>
  <c r="G181" i="5"/>
  <c r="M180" i="5"/>
  <c r="E180" i="5"/>
  <c r="K179" i="5"/>
  <c r="C179" i="5"/>
  <c r="I178" i="5"/>
  <c r="O177" i="5"/>
  <c r="G177" i="5"/>
  <c r="M176" i="5"/>
  <c r="E176" i="5"/>
  <c r="K175" i="5"/>
  <c r="C175" i="5"/>
  <c r="I174" i="5"/>
  <c r="O173" i="5"/>
  <c r="G173" i="5"/>
  <c r="M172" i="5"/>
  <c r="E172" i="5"/>
  <c r="K171" i="5"/>
  <c r="C171" i="5"/>
  <c r="I170" i="5"/>
  <c r="O169" i="5"/>
  <c r="G169" i="5"/>
  <c r="M168" i="5"/>
  <c r="E168" i="5"/>
  <c r="K167" i="5"/>
  <c r="C167" i="5"/>
  <c r="I166" i="5"/>
  <c r="O165" i="5"/>
  <c r="G165" i="5"/>
  <c r="M164" i="5"/>
  <c r="E164" i="5"/>
  <c r="K163" i="5"/>
  <c r="C163" i="5"/>
  <c r="I162" i="5"/>
  <c r="O161" i="5"/>
  <c r="G161" i="5"/>
  <c r="M160" i="5"/>
  <c r="N201" i="5"/>
  <c r="F201" i="5"/>
  <c r="L200" i="5"/>
  <c r="D200" i="5"/>
  <c r="J199" i="5"/>
  <c r="B199" i="5"/>
  <c r="H198" i="5"/>
  <c r="N197" i="5"/>
  <c r="F197" i="5"/>
  <c r="L196" i="5"/>
  <c r="D196" i="5"/>
  <c r="J195" i="5"/>
  <c r="B195" i="5"/>
  <c r="H194" i="5"/>
  <c r="N193" i="5"/>
  <c r="F193" i="5"/>
  <c r="L192" i="5"/>
  <c r="D192" i="5"/>
  <c r="J191" i="5"/>
  <c r="B191" i="5"/>
  <c r="H190" i="5"/>
  <c r="N189" i="5"/>
  <c r="F189" i="5"/>
  <c r="L188" i="5"/>
  <c r="D188" i="5"/>
  <c r="J187" i="5"/>
  <c r="B187" i="5"/>
  <c r="H186" i="5"/>
  <c r="N185" i="5"/>
  <c r="F185" i="5"/>
  <c r="L184" i="5"/>
  <c r="D184" i="5"/>
  <c r="J183" i="5"/>
  <c r="B183" i="5"/>
  <c r="H182" i="5"/>
  <c r="N181" i="5"/>
  <c r="F181" i="5"/>
  <c r="L180" i="5"/>
  <c r="D180" i="5"/>
  <c r="J179" i="5"/>
  <c r="B179" i="5"/>
  <c r="H178" i="5"/>
  <c r="N177" i="5"/>
  <c r="F177" i="5"/>
  <c r="L176" i="5"/>
  <c r="D176" i="5"/>
  <c r="J175" i="5"/>
  <c r="B175" i="5"/>
  <c r="H174" i="5"/>
  <c r="N173" i="5"/>
  <c r="F173" i="5"/>
  <c r="L172" i="5"/>
  <c r="D172" i="5"/>
  <c r="J171" i="5"/>
  <c r="B171" i="5"/>
  <c r="H170" i="5"/>
  <c r="N169" i="5"/>
  <c r="F169" i="5"/>
  <c r="L168" i="5"/>
  <c r="D168" i="5"/>
  <c r="J167" i="5"/>
  <c r="B167" i="5"/>
  <c r="H166" i="5"/>
  <c r="N165" i="5"/>
  <c r="F165" i="5"/>
  <c r="L164" i="5"/>
  <c r="D164" i="5"/>
  <c r="J163" i="5"/>
  <c r="B163" i="5"/>
  <c r="H162" i="5"/>
  <c r="N161" i="5"/>
  <c r="F161" i="5"/>
  <c r="L160" i="5"/>
  <c r="D160" i="5"/>
  <c r="J159" i="5"/>
  <c r="M201" i="5"/>
  <c r="E201" i="5"/>
  <c r="K200" i="5"/>
  <c r="C200" i="5"/>
  <c r="I199" i="5"/>
  <c r="O198" i="5"/>
  <c r="G198" i="5"/>
  <c r="M197" i="5"/>
  <c r="E197" i="5"/>
  <c r="K196" i="5"/>
  <c r="C196" i="5"/>
  <c r="I195" i="5"/>
  <c r="O194" i="5"/>
  <c r="G194" i="5"/>
  <c r="M193" i="5"/>
  <c r="E193" i="5"/>
  <c r="K192" i="5"/>
  <c r="C192" i="5"/>
  <c r="I191" i="5"/>
  <c r="O190" i="5"/>
  <c r="G190" i="5"/>
  <c r="M189" i="5"/>
  <c r="E189" i="5"/>
  <c r="K188" i="5"/>
  <c r="C188" i="5"/>
  <c r="I187" i="5"/>
  <c r="O186" i="5"/>
  <c r="G186" i="5"/>
  <c r="M185" i="5"/>
  <c r="E185" i="5"/>
  <c r="K184" i="5"/>
  <c r="C184" i="5"/>
  <c r="I183" i="5"/>
  <c r="O182" i="5"/>
  <c r="G182" i="5"/>
  <c r="M181" i="5"/>
  <c r="E181" i="5"/>
  <c r="K180" i="5"/>
  <c r="C180" i="5"/>
  <c r="I179" i="5"/>
  <c r="O178" i="5"/>
  <c r="G178" i="5"/>
  <c r="M177" i="5"/>
  <c r="E177" i="5"/>
  <c r="K176" i="5"/>
  <c r="C176" i="5"/>
  <c r="I175" i="5"/>
  <c r="O174" i="5"/>
  <c r="G174" i="5"/>
  <c r="M173" i="5"/>
  <c r="E173" i="5"/>
  <c r="K172" i="5"/>
  <c r="C172" i="5"/>
  <c r="I171" i="5"/>
  <c r="O170" i="5"/>
  <c r="G170" i="5"/>
  <c r="M169" i="5"/>
  <c r="E169" i="5"/>
  <c r="K168" i="5"/>
  <c r="C168" i="5"/>
  <c r="I167" i="5"/>
  <c r="O166" i="5"/>
  <c r="G166" i="5"/>
  <c r="M165" i="5"/>
  <c r="E165" i="5"/>
  <c r="K164" i="5"/>
  <c r="C164" i="5"/>
  <c r="I163" i="5"/>
  <c r="O162" i="5"/>
  <c r="G162" i="5"/>
  <c r="M161" i="5"/>
  <c r="E161" i="5"/>
  <c r="K160" i="5"/>
  <c r="C160" i="5"/>
  <c r="L201" i="5"/>
  <c r="D201" i="5"/>
  <c r="J200" i="5"/>
  <c r="B200" i="5"/>
  <c r="H199" i="5"/>
  <c r="N198" i="5"/>
  <c r="F198" i="5"/>
  <c r="L197" i="5"/>
  <c r="D197" i="5"/>
  <c r="J196" i="5"/>
  <c r="B196" i="5"/>
  <c r="H195" i="5"/>
  <c r="N194" i="5"/>
  <c r="F194" i="5"/>
  <c r="L193" i="5"/>
  <c r="D193" i="5"/>
  <c r="J192" i="5"/>
  <c r="B192" i="5"/>
  <c r="H191" i="5"/>
  <c r="N190" i="5"/>
  <c r="F190" i="5"/>
  <c r="L189" i="5"/>
  <c r="D189" i="5"/>
  <c r="J188" i="5"/>
  <c r="B188" i="5"/>
  <c r="H187" i="5"/>
  <c r="N186" i="5"/>
  <c r="F186" i="5"/>
  <c r="L185" i="5"/>
  <c r="D185" i="5"/>
  <c r="J184" i="5"/>
  <c r="B184" i="5"/>
  <c r="H183" i="5"/>
  <c r="N182" i="5"/>
  <c r="F182" i="5"/>
  <c r="L181" i="5"/>
  <c r="D181" i="5"/>
  <c r="J180" i="5"/>
  <c r="B180" i="5"/>
  <c r="H179" i="5"/>
  <c r="N178" i="5"/>
  <c r="F178" i="5"/>
  <c r="L177" i="5"/>
  <c r="D177" i="5"/>
  <c r="J176" i="5"/>
  <c r="B176" i="5"/>
  <c r="H175" i="5"/>
  <c r="N174" i="5"/>
  <c r="F174" i="5"/>
  <c r="L173" i="5"/>
  <c r="D173" i="5"/>
  <c r="J172" i="5"/>
  <c r="B172" i="5"/>
  <c r="H171" i="5"/>
  <c r="N170" i="5"/>
  <c r="F170" i="5"/>
  <c r="L169" i="5"/>
  <c r="D169" i="5"/>
  <c r="J168" i="5"/>
  <c r="B168" i="5"/>
  <c r="H167" i="5"/>
  <c r="N166" i="5"/>
  <c r="F166" i="5"/>
  <c r="L165" i="5"/>
  <c r="D165" i="5"/>
  <c r="J164" i="5"/>
  <c r="B164" i="5"/>
  <c r="H163" i="5"/>
  <c r="N162" i="5"/>
  <c r="F162" i="5"/>
  <c r="L161" i="5"/>
  <c r="D161" i="5"/>
  <c r="J160" i="5"/>
  <c r="B160" i="5"/>
  <c r="H159" i="5"/>
  <c r="K201" i="5"/>
  <c r="C201" i="5"/>
  <c r="I200" i="5"/>
  <c r="O199" i="5"/>
  <c r="G199" i="5"/>
  <c r="M198" i="5"/>
  <c r="E198" i="5"/>
  <c r="K197" i="5"/>
  <c r="C197" i="5"/>
  <c r="I196" i="5"/>
  <c r="O195" i="5"/>
  <c r="G195" i="5"/>
  <c r="M194" i="5"/>
  <c r="E194" i="5"/>
  <c r="K193" i="5"/>
  <c r="C193" i="5"/>
  <c r="I192" i="5"/>
  <c r="O191" i="5"/>
  <c r="G191" i="5"/>
  <c r="M190" i="5"/>
  <c r="E190" i="5"/>
  <c r="K189" i="5"/>
  <c r="C189" i="5"/>
  <c r="I188" i="5"/>
  <c r="O187" i="5"/>
  <c r="G187" i="5"/>
  <c r="M186" i="5"/>
  <c r="E186" i="5"/>
  <c r="K185" i="5"/>
  <c r="C185" i="5"/>
  <c r="I184" i="5"/>
  <c r="O183" i="5"/>
  <c r="G183" i="5"/>
  <c r="M182" i="5"/>
  <c r="E182" i="5"/>
  <c r="K181" i="5"/>
  <c r="C181" i="5"/>
  <c r="I180" i="5"/>
  <c r="O179" i="5"/>
  <c r="G179" i="5"/>
  <c r="M178" i="5"/>
  <c r="E178" i="5"/>
  <c r="K177" i="5"/>
  <c r="C177" i="5"/>
  <c r="I176" i="5"/>
  <c r="O175" i="5"/>
  <c r="G175" i="5"/>
  <c r="M174" i="5"/>
  <c r="E174" i="5"/>
  <c r="K173" i="5"/>
  <c r="C173" i="5"/>
  <c r="I172" i="5"/>
  <c r="O171" i="5"/>
  <c r="G171" i="5"/>
  <c r="M170" i="5"/>
  <c r="E170" i="5"/>
  <c r="K169" i="5"/>
  <c r="C169" i="5"/>
  <c r="I168" i="5"/>
  <c r="O167" i="5"/>
  <c r="G167" i="5"/>
  <c r="M166" i="5"/>
  <c r="E166" i="5"/>
  <c r="K165" i="5"/>
  <c r="C165" i="5"/>
  <c r="I164" i="5"/>
  <c r="O163" i="5"/>
  <c r="G163" i="5"/>
  <c r="M162" i="5"/>
  <c r="E162" i="5"/>
  <c r="K161" i="5"/>
  <c r="C161" i="5"/>
  <c r="J201" i="5"/>
  <c r="B201" i="5"/>
  <c r="H200" i="5"/>
  <c r="N199" i="5"/>
  <c r="F199" i="5"/>
  <c r="L198" i="5"/>
  <c r="D198" i="5"/>
  <c r="J197" i="5"/>
  <c r="B197" i="5"/>
  <c r="H196" i="5"/>
  <c r="N195" i="5"/>
  <c r="F195" i="5"/>
  <c r="L194" i="5"/>
  <c r="D194" i="5"/>
  <c r="J193" i="5"/>
  <c r="B193" i="5"/>
  <c r="H192" i="5"/>
  <c r="N191" i="5"/>
  <c r="F191" i="5"/>
  <c r="L190" i="5"/>
  <c r="D190" i="5"/>
  <c r="J189" i="5"/>
  <c r="B189" i="5"/>
  <c r="H188" i="5"/>
  <c r="N187" i="5"/>
  <c r="F187" i="5"/>
  <c r="L186" i="5"/>
  <c r="D186" i="5"/>
  <c r="J185" i="5"/>
  <c r="B185" i="5"/>
  <c r="H184" i="5"/>
  <c r="N183" i="5"/>
  <c r="F183" i="5"/>
  <c r="L182" i="5"/>
  <c r="D182" i="5"/>
  <c r="J181" i="5"/>
  <c r="B181" i="5"/>
  <c r="H180" i="5"/>
  <c r="N179" i="5"/>
  <c r="F179" i="5"/>
  <c r="L178" i="5"/>
  <c r="D178" i="5"/>
  <c r="J177" i="5"/>
  <c r="B177" i="5"/>
  <c r="H176" i="5"/>
  <c r="N175" i="5"/>
  <c r="F175" i="5"/>
  <c r="L174" i="5"/>
  <c r="D174" i="5"/>
  <c r="J173" i="5"/>
  <c r="B173" i="5"/>
  <c r="H172" i="5"/>
  <c r="N171" i="5"/>
  <c r="F171" i="5"/>
  <c r="L170" i="5"/>
  <c r="D170" i="5"/>
  <c r="J169" i="5"/>
  <c r="B169" i="5"/>
  <c r="H168" i="5"/>
  <c r="N167" i="5"/>
  <c r="F167" i="5"/>
  <c r="L166" i="5"/>
  <c r="D166" i="5"/>
  <c r="J165" i="5"/>
  <c r="I201" i="5"/>
  <c r="O200" i="5"/>
  <c r="G200" i="5"/>
  <c r="M199" i="5"/>
  <c r="E199" i="5"/>
  <c r="K198" i="5"/>
  <c r="C198" i="5"/>
  <c r="I197" i="5"/>
  <c r="O196" i="5"/>
  <c r="G196" i="5"/>
  <c r="M195" i="5"/>
  <c r="E195" i="5"/>
  <c r="K194" i="5"/>
  <c r="C194" i="5"/>
  <c r="I193" i="5"/>
  <c r="O192" i="5"/>
  <c r="G192" i="5"/>
  <c r="M191" i="5"/>
  <c r="E191" i="5"/>
  <c r="K190" i="5"/>
  <c r="C190" i="5"/>
  <c r="I189" i="5"/>
  <c r="O188" i="5"/>
  <c r="G188" i="5"/>
  <c r="M187" i="5"/>
  <c r="E187" i="5"/>
  <c r="K186" i="5"/>
  <c r="C186" i="5"/>
  <c r="I185" i="5"/>
  <c r="O184" i="5"/>
  <c r="G184" i="5"/>
  <c r="M183" i="5"/>
  <c r="E183" i="5"/>
  <c r="K182" i="5"/>
  <c r="C182" i="5"/>
  <c r="I181" i="5"/>
  <c r="O180" i="5"/>
  <c r="G180" i="5"/>
  <c r="M179" i="5"/>
  <c r="E179" i="5"/>
  <c r="K178" i="5"/>
  <c r="C178" i="5"/>
  <c r="I177" i="5"/>
  <c r="O176" i="5"/>
  <c r="G176" i="5"/>
  <c r="M175" i="5"/>
  <c r="E175" i="5"/>
  <c r="K174" i="5"/>
  <c r="C174" i="5"/>
  <c r="I173" i="5"/>
  <c r="O172" i="5"/>
  <c r="G172" i="5"/>
  <c r="M171" i="5"/>
  <c r="E171" i="5"/>
  <c r="K170" i="5"/>
  <c r="N200" i="5"/>
  <c r="F196" i="5"/>
  <c r="L191" i="5"/>
  <c r="D187" i="5"/>
  <c r="J182" i="5"/>
  <c r="B178" i="5"/>
  <c r="H173" i="5"/>
  <c r="I169" i="5"/>
  <c r="E167" i="5"/>
  <c r="B165" i="5"/>
  <c r="L163" i="5"/>
  <c r="C162" i="5"/>
  <c r="I160" i="5"/>
  <c r="L159" i="5"/>
  <c r="B159" i="5"/>
  <c r="H158" i="5"/>
  <c r="N157" i="5"/>
  <c r="F157" i="5"/>
  <c r="L156" i="5"/>
  <c r="D156" i="5"/>
  <c r="J155" i="5"/>
  <c r="B155" i="5"/>
  <c r="H154" i="5"/>
  <c r="N153" i="5"/>
  <c r="F153" i="5"/>
  <c r="L152" i="5"/>
  <c r="D152" i="5"/>
  <c r="J151" i="5"/>
  <c r="B151" i="5"/>
  <c r="H150" i="5"/>
  <c r="N149" i="5"/>
  <c r="F149" i="5"/>
  <c r="L148" i="5"/>
  <c r="D148" i="5"/>
  <c r="J147" i="5"/>
  <c r="B147" i="5"/>
  <c r="H146" i="5"/>
  <c r="N145" i="5"/>
  <c r="F145" i="5"/>
  <c r="L144" i="5"/>
  <c r="D144" i="5"/>
  <c r="J143" i="5"/>
  <c r="B143" i="5"/>
  <c r="H142" i="5"/>
  <c r="N141" i="5"/>
  <c r="F141" i="5"/>
  <c r="L140" i="5"/>
  <c r="D140" i="5"/>
  <c r="J139" i="5"/>
  <c r="B139" i="5"/>
  <c r="H138" i="5"/>
  <c r="N137" i="5"/>
  <c r="F137" i="5"/>
  <c r="L136" i="5"/>
  <c r="D136" i="5"/>
  <c r="J135" i="5"/>
  <c r="B135" i="5"/>
  <c r="H134" i="5"/>
  <c r="N133" i="5"/>
  <c r="F133" i="5"/>
  <c r="L132" i="5"/>
  <c r="D132" i="5"/>
  <c r="J131" i="5"/>
  <c r="B131" i="5"/>
  <c r="H130" i="5"/>
  <c r="N129" i="5"/>
  <c r="F129" i="5"/>
  <c r="L128" i="5"/>
  <c r="D128" i="5"/>
  <c r="J127" i="5"/>
  <c r="B127" i="5"/>
  <c r="H126" i="5"/>
  <c r="N125" i="5"/>
  <c r="F125" i="5"/>
  <c r="L124" i="5"/>
  <c r="D124" i="5"/>
  <c r="J123" i="5"/>
  <c r="B123" i="5"/>
  <c r="H122" i="5"/>
  <c r="N121" i="5"/>
  <c r="F121" i="5"/>
  <c r="L120" i="5"/>
  <c r="D120" i="5"/>
  <c r="J119" i="5"/>
  <c r="B119" i="5"/>
  <c r="H118" i="5"/>
  <c r="N117" i="5"/>
  <c r="F117" i="5"/>
  <c r="F200" i="5"/>
  <c r="L195" i="5"/>
  <c r="D191" i="5"/>
  <c r="J186" i="5"/>
  <c r="B182" i="5"/>
  <c r="H177" i="5"/>
  <c r="N172" i="5"/>
  <c r="H169" i="5"/>
  <c r="D167" i="5"/>
  <c r="O164" i="5"/>
  <c r="F163" i="5"/>
  <c r="B162" i="5"/>
  <c r="H160" i="5"/>
  <c r="K159" i="5"/>
  <c r="O158" i="5"/>
  <c r="G158" i="5"/>
  <c r="M157" i="5"/>
  <c r="E157" i="5"/>
  <c r="K156" i="5"/>
  <c r="C156" i="5"/>
  <c r="I155" i="5"/>
  <c r="O154" i="5"/>
  <c r="G154" i="5"/>
  <c r="M153" i="5"/>
  <c r="E153" i="5"/>
  <c r="K152" i="5"/>
  <c r="C152" i="5"/>
  <c r="I151" i="5"/>
  <c r="O150" i="5"/>
  <c r="G150" i="5"/>
  <c r="M149" i="5"/>
  <c r="E149" i="5"/>
  <c r="K148" i="5"/>
  <c r="C148" i="5"/>
  <c r="I147" i="5"/>
  <c r="O146" i="5"/>
  <c r="G146" i="5"/>
  <c r="M145" i="5"/>
  <c r="E145" i="5"/>
  <c r="K144" i="5"/>
  <c r="C144" i="5"/>
  <c r="I143" i="5"/>
  <c r="O142" i="5"/>
  <c r="G142" i="5"/>
  <c r="M141" i="5"/>
  <c r="E141" i="5"/>
  <c r="K140" i="5"/>
  <c r="C140" i="5"/>
  <c r="I139" i="5"/>
  <c r="O138" i="5"/>
  <c r="G138" i="5"/>
  <c r="L199" i="5"/>
  <c r="D195" i="5"/>
  <c r="J190" i="5"/>
  <c r="B186" i="5"/>
  <c r="H181" i="5"/>
  <c r="N176" i="5"/>
  <c r="F172" i="5"/>
  <c r="O168" i="5"/>
  <c r="K166" i="5"/>
  <c r="N164" i="5"/>
  <c r="E163" i="5"/>
  <c r="J161" i="5"/>
  <c r="G160" i="5"/>
  <c r="I159" i="5"/>
  <c r="N158" i="5"/>
  <c r="F158" i="5"/>
  <c r="L157" i="5"/>
  <c r="D157" i="5"/>
  <c r="J156" i="5"/>
  <c r="B156" i="5"/>
  <c r="H155" i="5"/>
  <c r="N154" i="5"/>
  <c r="F154" i="5"/>
  <c r="L153" i="5"/>
  <c r="D153" i="5"/>
  <c r="J152" i="5"/>
  <c r="B152" i="5"/>
  <c r="H151" i="5"/>
  <c r="N150" i="5"/>
  <c r="F150" i="5"/>
  <c r="L149" i="5"/>
  <c r="D149" i="5"/>
  <c r="J148" i="5"/>
  <c r="B148" i="5"/>
  <c r="H147" i="5"/>
  <c r="N146" i="5"/>
  <c r="F146" i="5"/>
  <c r="L145" i="5"/>
  <c r="D145" i="5"/>
  <c r="J144" i="5"/>
  <c r="B144" i="5"/>
  <c r="H143" i="5"/>
  <c r="N142" i="5"/>
  <c r="F142" i="5"/>
  <c r="L141" i="5"/>
  <c r="D141" i="5"/>
  <c r="J140" i="5"/>
  <c r="B140" i="5"/>
  <c r="H139" i="5"/>
  <c r="N138" i="5"/>
  <c r="F138" i="5"/>
  <c r="L137" i="5"/>
  <c r="D137" i="5"/>
  <c r="J136" i="5"/>
  <c r="B136" i="5"/>
  <c r="H135" i="5"/>
  <c r="N134" i="5"/>
  <c r="F134" i="5"/>
  <c r="L133" i="5"/>
  <c r="D133" i="5"/>
  <c r="J132" i="5"/>
  <c r="B132" i="5"/>
  <c r="H131" i="5"/>
  <c r="N130" i="5"/>
  <c r="F130" i="5"/>
  <c r="L129" i="5"/>
  <c r="D129" i="5"/>
  <c r="J128" i="5"/>
  <c r="B128" i="5"/>
  <c r="H127" i="5"/>
  <c r="N126" i="5"/>
  <c r="F126" i="5"/>
  <c r="L125" i="5"/>
  <c r="D125" i="5"/>
  <c r="J124" i="5"/>
  <c r="B124" i="5"/>
  <c r="H123" i="5"/>
  <c r="N122" i="5"/>
  <c r="F122" i="5"/>
  <c r="L121" i="5"/>
  <c r="D121" i="5"/>
  <c r="J120" i="5"/>
  <c r="B120" i="5"/>
  <c r="H119" i="5"/>
  <c r="N118" i="5"/>
  <c r="F118" i="5"/>
  <c r="L117" i="5"/>
  <c r="D117" i="5"/>
  <c r="J116" i="5"/>
  <c r="B116" i="5"/>
  <c r="D199" i="5"/>
  <c r="J194" i="5"/>
  <c r="B190" i="5"/>
  <c r="H185" i="5"/>
  <c r="N180" i="5"/>
  <c r="F176" i="5"/>
  <c r="L171" i="5"/>
  <c r="N168" i="5"/>
  <c r="J166" i="5"/>
  <c r="H164" i="5"/>
  <c r="D163" i="5"/>
  <c r="I161" i="5"/>
  <c r="F160" i="5"/>
  <c r="G159" i="5"/>
  <c r="M158" i="5"/>
  <c r="E158" i="5"/>
  <c r="K157" i="5"/>
  <c r="C157" i="5"/>
  <c r="I156" i="5"/>
  <c r="O155" i="5"/>
  <c r="G155" i="5"/>
  <c r="M154" i="5"/>
  <c r="E154" i="5"/>
  <c r="K153" i="5"/>
  <c r="C153" i="5"/>
  <c r="I152" i="5"/>
  <c r="O151" i="5"/>
  <c r="G151" i="5"/>
  <c r="M150" i="5"/>
  <c r="E150" i="5"/>
  <c r="K149" i="5"/>
  <c r="C149" i="5"/>
  <c r="I148" i="5"/>
  <c r="O147" i="5"/>
  <c r="G147" i="5"/>
  <c r="M146" i="5"/>
  <c r="E146" i="5"/>
  <c r="K145" i="5"/>
  <c r="C145" i="5"/>
  <c r="I144" i="5"/>
  <c r="O143" i="5"/>
  <c r="G143" i="5"/>
  <c r="M142" i="5"/>
  <c r="E142" i="5"/>
  <c r="K141" i="5"/>
  <c r="C141" i="5"/>
  <c r="I140" i="5"/>
  <c r="O139" i="5"/>
  <c r="G139" i="5"/>
  <c r="M138" i="5"/>
  <c r="E138" i="5"/>
  <c r="K137" i="5"/>
  <c r="C137" i="5"/>
  <c r="I136" i="5"/>
  <c r="O135" i="5"/>
  <c r="G135" i="5"/>
  <c r="M134" i="5"/>
  <c r="E134" i="5"/>
  <c r="K133" i="5"/>
  <c r="C133" i="5"/>
  <c r="I132" i="5"/>
  <c r="O131" i="5"/>
  <c r="G131" i="5"/>
  <c r="M130" i="5"/>
  <c r="E130" i="5"/>
  <c r="K129" i="5"/>
  <c r="C129" i="5"/>
  <c r="I128" i="5"/>
  <c r="O127" i="5"/>
  <c r="G127" i="5"/>
  <c r="M126" i="5"/>
  <c r="E126" i="5"/>
  <c r="K125" i="5"/>
  <c r="C125" i="5"/>
  <c r="I124" i="5"/>
  <c r="O123" i="5"/>
  <c r="G123" i="5"/>
  <c r="M122" i="5"/>
  <c r="E122" i="5"/>
  <c r="K121" i="5"/>
  <c r="C121" i="5"/>
  <c r="I120" i="5"/>
  <c r="O119" i="5"/>
  <c r="G119" i="5"/>
  <c r="J198" i="5"/>
  <c r="B194" i="5"/>
  <c r="H189" i="5"/>
  <c r="N184" i="5"/>
  <c r="F180" i="5"/>
  <c r="L175" i="5"/>
  <c r="D171" i="5"/>
  <c r="G168" i="5"/>
  <c r="C166" i="5"/>
  <c r="G164" i="5"/>
  <c r="L162" i="5"/>
  <c r="H161" i="5"/>
  <c r="E160" i="5"/>
  <c r="F159" i="5"/>
  <c r="L158" i="5"/>
  <c r="D158" i="5"/>
  <c r="J157" i="5"/>
  <c r="B157" i="5"/>
  <c r="H156" i="5"/>
  <c r="N155" i="5"/>
  <c r="F155" i="5"/>
  <c r="L154" i="5"/>
  <c r="D154" i="5"/>
  <c r="J153" i="5"/>
  <c r="B153" i="5"/>
  <c r="H152" i="5"/>
  <c r="N151" i="5"/>
  <c r="F151" i="5"/>
  <c r="L150" i="5"/>
  <c r="D150" i="5"/>
  <c r="J149" i="5"/>
  <c r="B149" i="5"/>
  <c r="H148" i="5"/>
  <c r="N147" i="5"/>
  <c r="F147" i="5"/>
  <c r="L146" i="5"/>
  <c r="D146" i="5"/>
  <c r="J145" i="5"/>
  <c r="B145" i="5"/>
  <c r="H144" i="5"/>
  <c r="N143" i="5"/>
  <c r="F143" i="5"/>
  <c r="L142" i="5"/>
  <c r="D142" i="5"/>
  <c r="J141" i="5"/>
  <c r="B141" i="5"/>
  <c r="H140" i="5"/>
  <c r="N139" i="5"/>
  <c r="F139" i="5"/>
  <c r="L138" i="5"/>
  <c r="D138" i="5"/>
  <c r="J137" i="5"/>
  <c r="B137" i="5"/>
  <c r="H136" i="5"/>
  <c r="N135" i="5"/>
  <c r="F135" i="5"/>
  <c r="L134" i="5"/>
  <c r="D134" i="5"/>
  <c r="J133" i="5"/>
  <c r="B133" i="5"/>
  <c r="H132" i="5"/>
  <c r="N131" i="5"/>
  <c r="F131" i="5"/>
  <c r="L130" i="5"/>
  <c r="D130" i="5"/>
  <c r="J129" i="5"/>
  <c r="B129" i="5"/>
  <c r="H128" i="5"/>
  <c r="N127" i="5"/>
  <c r="F127" i="5"/>
  <c r="L126" i="5"/>
  <c r="D126" i="5"/>
  <c r="J125" i="5"/>
  <c r="B125" i="5"/>
  <c r="H124" i="5"/>
  <c r="N123" i="5"/>
  <c r="F123" i="5"/>
  <c r="L122" i="5"/>
  <c r="D122" i="5"/>
  <c r="J121" i="5"/>
  <c r="B121" i="5"/>
  <c r="H120" i="5"/>
  <c r="N119" i="5"/>
  <c r="F119" i="5"/>
  <c r="L118" i="5"/>
  <c r="D118" i="5"/>
  <c r="J117" i="5"/>
  <c r="B198" i="5"/>
  <c r="H193" i="5"/>
  <c r="N188" i="5"/>
  <c r="F184" i="5"/>
  <c r="L179" i="5"/>
  <c r="D175" i="5"/>
  <c r="J170" i="5"/>
  <c r="F168" i="5"/>
  <c r="B166" i="5"/>
  <c r="F164" i="5"/>
  <c r="K162" i="5"/>
  <c r="B161" i="5"/>
  <c r="O159" i="5"/>
  <c r="E159" i="5"/>
  <c r="K158" i="5"/>
  <c r="C158" i="5"/>
  <c r="I157" i="5"/>
  <c r="O156" i="5"/>
  <c r="G156" i="5"/>
  <c r="M155" i="5"/>
  <c r="E155" i="5"/>
  <c r="K154" i="5"/>
  <c r="C154" i="5"/>
  <c r="I153" i="5"/>
  <c r="O152" i="5"/>
  <c r="G152" i="5"/>
  <c r="M151" i="5"/>
  <c r="E151" i="5"/>
  <c r="K150" i="5"/>
  <c r="C150" i="5"/>
  <c r="I149" i="5"/>
  <c r="O148" i="5"/>
  <c r="G148" i="5"/>
  <c r="M147" i="5"/>
  <c r="E147" i="5"/>
  <c r="K146" i="5"/>
  <c r="C146" i="5"/>
  <c r="I145" i="5"/>
  <c r="O144" i="5"/>
  <c r="G144" i="5"/>
  <c r="M143" i="5"/>
  <c r="E143" i="5"/>
  <c r="K142" i="5"/>
  <c r="C142" i="5"/>
  <c r="I141" i="5"/>
  <c r="O140" i="5"/>
  <c r="G140" i="5"/>
  <c r="M139" i="5"/>
  <c r="E139" i="5"/>
  <c r="K138" i="5"/>
  <c r="H197" i="5"/>
  <c r="N192" i="5"/>
  <c r="F188" i="5"/>
  <c r="L183" i="5"/>
  <c r="D179" i="5"/>
  <c r="J174" i="5"/>
  <c r="C170" i="5"/>
  <c r="M167" i="5"/>
  <c r="I165" i="5"/>
  <c r="N163" i="5"/>
  <c r="J162" i="5"/>
  <c r="O160" i="5"/>
  <c r="N159" i="5"/>
  <c r="D159" i="5"/>
  <c r="J158" i="5"/>
  <c r="B158" i="5"/>
  <c r="H157" i="5"/>
  <c r="N156" i="5"/>
  <c r="F156" i="5"/>
  <c r="L155" i="5"/>
  <c r="D155" i="5"/>
  <c r="J154" i="5"/>
  <c r="B154" i="5"/>
  <c r="H153" i="5"/>
  <c r="N152" i="5"/>
  <c r="F152" i="5"/>
  <c r="L151" i="5"/>
  <c r="D151" i="5"/>
  <c r="J150" i="5"/>
  <c r="B150" i="5"/>
  <c r="H149" i="5"/>
  <c r="N148" i="5"/>
  <c r="F148" i="5"/>
  <c r="L147" i="5"/>
  <c r="D147" i="5"/>
  <c r="J146" i="5"/>
  <c r="B146" i="5"/>
  <c r="H145" i="5"/>
  <c r="N144" i="5"/>
  <c r="F144" i="5"/>
  <c r="L143" i="5"/>
  <c r="D143" i="5"/>
  <c r="J142" i="5"/>
  <c r="B142" i="5"/>
  <c r="H141" i="5"/>
  <c r="N140" i="5"/>
  <c r="F140" i="5"/>
  <c r="L139" i="5"/>
  <c r="D139" i="5"/>
  <c r="J138" i="5"/>
  <c r="B138" i="5"/>
  <c r="H137" i="5"/>
  <c r="N136" i="5"/>
  <c r="F136" i="5"/>
  <c r="L135" i="5"/>
  <c r="D135" i="5"/>
  <c r="J134" i="5"/>
  <c r="B134" i="5"/>
  <c r="H133" i="5"/>
  <c r="N132" i="5"/>
  <c r="F132" i="5"/>
  <c r="L131" i="5"/>
  <c r="D131" i="5"/>
  <c r="J130" i="5"/>
  <c r="B130" i="5"/>
  <c r="H129" i="5"/>
  <c r="N128" i="5"/>
  <c r="F128" i="5"/>
  <c r="L127" i="5"/>
  <c r="D127" i="5"/>
  <c r="J126" i="5"/>
  <c r="B126" i="5"/>
  <c r="H125" i="5"/>
  <c r="N124" i="5"/>
  <c r="F124" i="5"/>
  <c r="L123" i="5"/>
  <c r="D123" i="5"/>
  <c r="J122" i="5"/>
  <c r="B122" i="5"/>
  <c r="H121" i="5"/>
  <c r="N120" i="5"/>
  <c r="F120" i="5"/>
  <c r="L119" i="5"/>
  <c r="D119" i="5"/>
  <c r="J118" i="5"/>
  <c r="B118" i="5"/>
  <c r="H117" i="5"/>
  <c r="N116" i="5"/>
  <c r="H201" i="5"/>
  <c r="N196" i="5"/>
  <c r="F192" i="5"/>
  <c r="L187" i="5"/>
  <c r="D183" i="5"/>
  <c r="J178" i="5"/>
  <c r="B174" i="5"/>
  <c r="B170" i="5"/>
  <c r="L167" i="5"/>
  <c r="H165" i="5"/>
  <c r="M163" i="5"/>
  <c r="D162" i="5"/>
  <c r="N160" i="5"/>
  <c r="M159" i="5"/>
  <c r="C159" i="5"/>
  <c r="I158" i="5"/>
  <c r="O157" i="5"/>
  <c r="G157" i="5"/>
  <c r="M156" i="5"/>
  <c r="E156" i="5"/>
  <c r="K155" i="5"/>
  <c r="C155" i="5"/>
  <c r="I154" i="5"/>
  <c r="O153" i="5"/>
  <c r="G153" i="5"/>
  <c r="M152" i="5"/>
  <c r="E152" i="5"/>
  <c r="K151" i="5"/>
  <c r="C151" i="5"/>
  <c r="I150" i="5"/>
  <c r="O149" i="5"/>
  <c r="G149" i="5"/>
  <c r="M148" i="5"/>
  <c r="E148" i="5"/>
  <c r="K147" i="5"/>
  <c r="C147" i="5"/>
  <c r="I146" i="5"/>
  <c r="O145" i="5"/>
  <c r="G145" i="5"/>
  <c r="M144" i="5"/>
  <c r="E144" i="5"/>
  <c r="K143" i="5"/>
  <c r="C143" i="5"/>
  <c r="I142" i="5"/>
  <c r="O141" i="5"/>
  <c r="G141" i="5"/>
  <c r="M140" i="5"/>
  <c r="E140" i="5"/>
  <c r="K139" i="5"/>
  <c r="C139" i="5"/>
  <c r="I138" i="5"/>
  <c r="O137" i="5"/>
  <c r="G137" i="5"/>
  <c r="M136" i="5"/>
  <c r="E136" i="5"/>
  <c r="K135" i="5"/>
  <c r="C135" i="5"/>
  <c r="I134" i="5"/>
  <c r="O133" i="5"/>
  <c r="G133" i="5"/>
  <c r="M132" i="5"/>
  <c r="E132" i="5"/>
  <c r="K131" i="5"/>
  <c r="C131" i="5"/>
  <c r="I130" i="5"/>
  <c r="O129" i="5"/>
  <c r="G129" i="5"/>
  <c r="M128" i="5"/>
  <c r="E128" i="5"/>
  <c r="K127" i="5"/>
  <c r="C127" i="5"/>
  <c r="I126" i="5"/>
  <c r="O125" i="5"/>
  <c r="G125" i="5"/>
  <c r="C138" i="5"/>
  <c r="M135" i="5"/>
  <c r="I133" i="5"/>
  <c r="E131" i="5"/>
  <c r="O128" i="5"/>
  <c r="K126" i="5"/>
  <c r="K124" i="5"/>
  <c r="C123" i="5"/>
  <c r="I121" i="5"/>
  <c r="C120" i="5"/>
  <c r="K118" i="5"/>
  <c r="I117" i="5"/>
  <c r="K116" i="5"/>
  <c r="O115" i="5"/>
  <c r="G115" i="5"/>
  <c r="M114" i="5"/>
  <c r="E114" i="5"/>
  <c r="K113" i="5"/>
  <c r="C113" i="5"/>
  <c r="I112" i="5"/>
  <c r="O111" i="5"/>
  <c r="G111" i="5"/>
  <c r="M110" i="5"/>
  <c r="E110" i="5"/>
  <c r="K109" i="5"/>
  <c r="C109" i="5"/>
  <c r="I108" i="5"/>
  <c r="O107" i="5"/>
  <c r="G107" i="5"/>
  <c r="M106" i="5"/>
  <c r="E106" i="5"/>
  <c r="K105" i="5"/>
  <c r="C105" i="5"/>
  <c r="I104" i="5"/>
  <c r="O103" i="5"/>
  <c r="G103" i="5"/>
  <c r="M102" i="5"/>
  <c r="E102" i="5"/>
  <c r="K101" i="5"/>
  <c r="C101" i="5"/>
  <c r="I100" i="5"/>
  <c r="O99" i="5"/>
  <c r="G99" i="5"/>
  <c r="M98" i="5"/>
  <c r="E98" i="5"/>
  <c r="K97" i="5"/>
  <c r="C97" i="5"/>
  <c r="I96" i="5"/>
  <c r="O95" i="5"/>
  <c r="G95" i="5"/>
  <c r="M94" i="5"/>
  <c r="E94" i="5"/>
  <c r="K93" i="5"/>
  <c r="C93" i="5"/>
  <c r="I92" i="5"/>
  <c r="O91" i="5"/>
  <c r="G91" i="5"/>
  <c r="M90" i="5"/>
  <c r="E90" i="5"/>
  <c r="K89" i="5"/>
  <c r="C89" i="5"/>
  <c r="I88" i="5"/>
  <c r="O87" i="5"/>
  <c r="G87" i="5"/>
  <c r="M86" i="5"/>
  <c r="E86" i="5"/>
  <c r="K85" i="5"/>
  <c r="C85" i="5"/>
  <c r="I84" i="5"/>
  <c r="O83" i="5"/>
  <c r="G83" i="5"/>
  <c r="M82" i="5"/>
  <c r="E82" i="5"/>
  <c r="K81" i="5"/>
  <c r="C81" i="5"/>
  <c r="I80" i="5"/>
  <c r="O79" i="5"/>
  <c r="G79" i="5"/>
  <c r="M78" i="5"/>
  <c r="E78" i="5"/>
  <c r="K77" i="5"/>
  <c r="C77" i="5"/>
  <c r="I76" i="5"/>
  <c r="O75" i="5"/>
  <c r="G75" i="5"/>
  <c r="M74" i="5"/>
  <c r="E74" i="5"/>
  <c r="K73" i="5"/>
  <c r="C73" i="5"/>
  <c r="I72" i="5"/>
  <c r="O71" i="5"/>
  <c r="G71" i="5"/>
  <c r="M70" i="5"/>
  <c r="E70" i="5"/>
  <c r="K69" i="5"/>
  <c r="C69" i="5"/>
  <c r="I68" i="5"/>
  <c r="O67" i="5"/>
  <c r="G67" i="5"/>
  <c r="M66" i="5"/>
  <c r="E66" i="5"/>
  <c r="K65" i="5"/>
  <c r="C65" i="5"/>
  <c r="I64" i="5"/>
  <c r="O63" i="5"/>
  <c r="G63" i="5"/>
  <c r="M62" i="5"/>
  <c r="E62" i="5"/>
  <c r="K61" i="5"/>
  <c r="C61" i="5"/>
  <c r="I60" i="5"/>
  <c r="O59" i="5"/>
  <c r="G59" i="5"/>
  <c r="M58" i="5"/>
  <c r="E58" i="5"/>
  <c r="K57" i="5"/>
  <c r="C57" i="5"/>
  <c r="I56" i="5"/>
  <c r="O55" i="5"/>
  <c r="G55" i="5"/>
  <c r="M54" i="5"/>
  <c r="E54" i="5"/>
  <c r="K53" i="5"/>
  <c r="C53" i="5"/>
  <c r="I52" i="5"/>
  <c r="O51" i="5"/>
  <c r="G51" i="5"/>
  <c r="M50" i="5"/>
  <c r="E50" i="5"/>
  <c r="K49" i="5"/>
  <c r="C49" i="5"/>
  <c r="I48" i="5"/>
  <c r="O47" i="5"/>
  <c r="G47" i="5"/>
  <c r="M46" i="5"/>
  <c r="E46" i="5"/>
  <c r="K45" i="5"/>
  <c r="C45" i="5"/>
  <c r="I44" i="5"/>
  <c r="O43" i="5"/>
  <c r="G43" i="5"/>
  <c r="M42" i="5"/>
  <c r="E42" i="5"/>
  <c r="K41" i="5"/>
  <c r="C41" i="5"/>
  <c r="I40" i="5"/>
  <c r="O39" i="5"/>
  <c r="G39" i="5"/>
  <c r="M38" i="5"/>
  <c r="E38" i="5"/>
  <c r="K37" i="5"/>
  <c r="C37" i="5"/>
  <c r="I36" i="5"/>
  <c r="O35" i="5"/>
  <c r="G35" i="5"/>
  <c r="M34" i="5"/>
  <c r="E34" i="5"/>
  <c r="K33" i="5"/>
  <c r="C33" i="5"/>
  <c r="I32" i="5"/>
  <c r="O31" i="5"/>
  <c r="G31" i="5"/>
  <c r="M30" i="5"/>
  <c r="E30" i="5"/>
  <c r="K29" i="5"/>
  <c r="C29" i="5"/>
  <c r="I28" i="5"/>
  <c r="O27" i="5"/>
  <c r="G27" i="5"/>
  <c r="M26" i="5"/>
  <c r="E26" i="5"/>
  <c r="M137" i="5"/>
  <c r="I135" i="5"/>
  <c r="E133" i="5"/>
  <c r="O130" i="5"/>
  <c r="K128" i="5"/>
  <c r="G126" i="5"/>
  <c r="G124" i="5"/>
  <c r="O122" i="5"/>
  <c r="G121" i="5"/>
  <c r="M119" i="5"/>
  <c r="I118" i="5"/>
  <c r="G117" i="5"/>
  <c r="I116" i="5"/>
  <c r="N115" i="5"/>
  <c r="F115" i="5"/>
  <c r="L114" i="5"/>
  <c r="D114" i="5"/>
  <c r="J113" i="5"/>
  <c r="B113" i="5"/>
  <c r="H112" i="5"/>
  <c r="N111" i="5"/>
  <c r="F111" i="5"/>
  <c r="L110" i="5"/>
  <c r="D110" i="5"/>
  <c r="J109" i="5"/>
  <c r="B109" i="5"/>
  <c r="H108" i="5"/>
  <c r="N107" i="5"/>
  <c r="F107" i="5"/>
  <c r="L106" i="5"/>
  <c r="D106" i="5"/>
  <c r="J105" i="5"/>
  <c r="B105" i="5"/>
  <c r="H104" i="5"/>
  <c r="N103" i="5"/>
  <c r="F103" i="5"/>
  <c r="L102" i="5"/>
  <c r="D102" i="5"/>
  <c r="J101" i="5"/>
  <c r="B101" i="5"/>
  <c r="H100" i="5"/>
  <c r="N99" i="5"/>
  <c r="F99" i="5"/>
  <c r="L98" i="5"/>
  <c r="D98" i="5"/>
  <c r="J97" i="5"/>
  <c r="B97" i="5"/>
  <c r="H96" i="5"/>
  <c r="N95" i="5"/>
  <c r="F95" i="5"/>
  <c r="L94" i="5"/>
  <c r="D94" i="5"/>
  <c r="J93" i="5"/>
  <c r="B93" i="5"/>
  <c r="H92" i="5"/>
  <c r="N91" i="5"/>
  <c r="F91" i="5"/>
  <c r="L90" i="5"/>
  <c r="D90" i="5"/>
  <c r="J89" i="5"/>
  <c r="B89" i="5"/>
  <c r="H88" i="5"/>
  <c r="N87" i="5"/>
  <c r="F87" i="5"/>
  <c r="L86" i="5"/>
  <c r="D86" i="5"/>
  <c r="J85" i="5"/>
  <c r="B85" i="5"/>
  <c r="H84" i="5"/>
  <c r="N83" i="5"/>
  <c r="F83" i="5"/>
  <c r="L82" i="5"/>
  <c r="D82" i="5"/>
  <c r="J81" i="5"/>
  <c r="B81" i="5"/>
  <c r="H80" i="5"/>
  <c r="N79" i="5"/>
  <c r="F79" i="5"/>
  <c r="L78" i="5"/>
  <c r="D78" i="5"/>
  <c r="J77" i="5"/>
  <c r="B77" i="5"/>
  <c r="H76" i="5"/>
  <c r="N75" i="5"/>
  <c r="F75" i="5"/>
  <c r="L74" i="5"/>
  <c r="D74" i="5"/>
  <c r="J73" i="5"/>
  <c r="B73" i="5"/>
  <c r="H72" i="5"/>
  <c r="N71" i="5"/>
  <c r="F71" i="5"/>
  <c r="L70" i="5"/>
  <c r="D70" i="5"/>
  <c r="J69" i="5"/>
  <c r="B69" i="5"/>
  <c r="H68" i="5"/>
  <c r="N67" i="5"/>
  <c r="F67" i="5"/>
  <c r="L66" i="5"/>
  <c r="D66" i="5"/>
  <c r="J65" i="5"/>
  <c r="B65" i="5"/>
  <c r="H64" i="5"/>
  <c r="N63" i="5"/>
  <c r="F63" i="5"/>
  <c r="L62" i="5"/>
  <c r="D62" i="5"/>
  <c r="I137" i="5"/>
  <c r="E135" i="5"/>
  <c r="O132" i="5"/>
  <c r="K130" i="5"/>
  <c r="G128" i="5"/>
  <c r="C126" i="5"/>
  <c r="E124" i="5"/>
  <c r="K122" i="5"/>
  <c r="E121" i="5"/>
  <c r="K119" i="5"/>
  <c r="G118" i="5"/>
  <c r="E117" i="5"/>
  <c r="H116" i="5"/>
  <c r="M115" i="5"/>
  <c r="E115" i="5"/>
  <c r="K114" i="5"/>
  <c r="C114" i="5"/>
  <c r="I113" i="5"/>
  <c r="O112" i="5"/>
  <c r="G112" i="5"/>
  <c r="M111" i="5"/>
  <c r="E111" i="5"/>
  <c r="K110" i="5"/>
  <c r="C110" i="5"/>
  <c r="I109" i="5"/>
  <c r="O108" i="5"/>
  <c r="G108" i="5"/>
  <c r="M107" i="5"/>
  <c r="E107" i="5"/>
  <c r="K106" i="5"/>
  <c r="C106" i="5"/>
  <c r="I105" i="5"/>
  <c r="O104" i="5"/>
  <c r="G104" i="5"/>
  <c r="M103" i="5"/>
  <c r="E103" i="5"/>
  <c r="K102" i="5"/>
  <c r="C102" i="5"/>
  <c r="I101" i="5"/>
  <c r="O100" i="5"/>
  <c r="G100" i="5"/>
  <c r="M99" i="5"/>
  <c r="E99" i="5"/>
  <c r="K98" i="5"/>
  <c r="C98" i="5"/>
  <c r="I97" i="5"/>
  <c r="O96" i="5"/>
  <c r="G96" i="5"/>
  <c r="M95" i="5"/>
  <c r="E95" i="5"/>
  <c r="K94" i="5"/>
  <c r="C94" i="5"/>
  <c r="I93" i="5"/>
  <c r="O92" i="5"/>
  <c r="G92" i="5"/>
  <c r="M91" i="5"/>
  <c r="E91" i="5"/>
  <c r="K90" i="5"/>
  <c r="C90" i="5"/>
  <c r="I89" i="5"/>
  <c r="O88" i="5"/>
  <c r="G88" i="5"/>
  <c r="M87" i="5"/>
  <c r="E87" i="5"/>
  <c r="K86" i="5"/>
  <c r="C86" i="5"/>
  <c r="I85" i="5"/>
  <c r="O84" i="5"/>
  <c r="G84" i="5"/>
  <c r="M83" i="5"/>
  <c r="E83" i="5"/>
  <c r="K82" i="5"/>
  <c r="C82" i="5"/>
  <c r="I81" i="5"/>
  <c r="O80" i="5"/>
  <c r="G80" i="5"/>
  <c r="M79" i="5"/>
  <c r="E79" i="5"/>
  <c r="K78" i="5"/>
  <c r="C78" i="5"/>
  <c r="I77" i="5"/>
  <c r="O76" i="5"/>
  <c r="G76" i="5"/>
  <c r="M75" i="5"/>
  <c r="E75" i="5"/>
  <c r="K74" i="5"/>
  <c r="C74" i="5"/>
  <c r="I73" i="5"/>
  <c r="O72" i="5"/>
  <c r="G72" i="5"/>
  <c r="M71" i="5"/>
  <c r="E71" i="5"/>
  <c r="K70" i="5"/>
  <c r="C70" i="5"/>
  <c r="I69" i="5"/>
  <c r="O68" i="5"/>
  <c r="G68" i="5"/>
  <c r="M67" i="5"/>
  <c r="E67" i="5"/>
  <c r="K66" i="5"/>
  <c r="C66" i="5"/>
  <c r="I65" i="5"/>
  <c r="O64" i="5"/>
  <c r="G64" i="5"/>
  <c r="M63" i="5"/>
  <c r="E63" i="5"/>
  <c r="K62" i="5"/>
  <c r="C62" i="5"/>
  <c r="I61" i="5"/>
  <c r="O60" i="5"/>
  <c r="G60" i="5"/>
  <c r="M59" i="5"/>
  <c r="E59" i="5"/>
  <c r="K58" i="5"/>
  <c r="C58" i="5"/>
  <c r="I57" i="5"/>
  <c r="O56" i="5"/>
  <c r="G56" i="5"/>
  <c r="M55" i="5"/>
  <c r="E55" i="5"/>
  <c r="K54" i="5"/>
  <c r="C54" i="5"/>
  <c r="I53" i="5"/>
  <c r="O52" i="5"/>
  <c r="G52" i="5"/>
  <c r="M51" i="5"/>
  <c r="E51" i="5"/>
  <c r="K50" i="5"/>
  <c r="C50" i="5"/>
  <c r="I49" i="5"/>
  <c r="O48" i="5"/>
  <c r="G48" i="5"/>
  <c r="M47" i="5"/>
  <c r="E47" i="5"/>
  <c r="K46" i="5"/>
  <c r="C46" i="5"/>
  <c r="I45" i="5"/>
  <c r="O44" i="5"/>
  <c r="G44" i="5"/>
  <c r="M43" i="5"/>
  <c r="E43" i="5"/>
  <c r="K42" i="5"/>
  <c r="C42" i="5"/>
  <c r="I41" i="5"/>
  <c r="O40" i="5"/>
  <c r="G40" i="5"/>
  <c r="M39" i="5"/>
  <c r="E39" i="5"/>
  <c r="K38" i="5"/>
  <c r="C38" i="5"/>
  <c r="I37" i="5"/>
  <c r="O36" i="5"/>
  <c r="G36" i="5"/>
  <c r="M35" i="5"/>
  <c r="E35" i="5"/>
  <c r="K34" i="5"/>
  <c r="C34" i="5"/>
  <c r="I33" i="5"/>
  <c r="O32" i="5"/>
  <c r="G32" i="5"/>
  <c r="M31" i="5"/>
  <c r="E31" i="5"/>
  <c r="K30" i="5"/>
  <c r="C30" i="5"/>
  <c r="I29" i="5"/>
  <c r="O28" i="5"/>
  <c r="G28" i="5"/>
  <c r="M27" i="5"/>
  <c r="E27" i="5"/>
  <c r="K26" i="5"/>
  <c r="E137" i="5"/>
  <c r="O134" i="5"/>
  <c r="K132" i="5"/>
  <c r="G130" i="5"/>
  <c r="C128" i="5"/>
  <c r="M125" i="5"/>
  <c r="C124" i="5"/>
  <c r="I122" i="5"/>
  <c r="O120" i="5"/>
  <c r="I119" i="5"/>
  <c r="E118" i="5"/>
  <c r="C117" i="5"/>
  <c r="G116" i="5"/>
  <c r="L115" i="5"/>
  <c r="D115" i="5"/>
  <c r="J114" i="5"/>
  <c r="B114" i="5"/>
  <c r="H113" i="5"/>
  <c r="N112" i="5"/>
  <c r="F112" i="5"/>
  <c r="L111" i="5"/>
  <c r="D111" i="5"/>
  <c r="J110" i="5"/>
  <c r="B110" i="5"/>
  <c r="H109" i="5"/>
  <c r="N108" i="5"/>
  <c r="F108" i="5"/>
  <c r="L107" i="5"/>
  <c r="D107" i="5"/>
  <c r="J106" i="5"/>
  <c r="B106" i="5"/>
  <c r="H105" i="5"/>
  <c r="N104" i="5"/>
  <c r="F104" i="5"/>
  <c r="L103" i="5"/>
  <c r="D103" i="5"/>
  <c r="J102" i="5"/>
  <c r="B102" i="5"/>
  <c r="H101" i="5"/>
  <c r="N100" i="5"/>
  <c r="F100" i="5"/>
  <c r="L99" i="5"/>
  <c r="D99" i="5"/>
  <c r="J98" i="5"/>
  <c r="B98" i="5"/>
  <c r="H97" i="5"/>
  <c r="N96" i="5"/>
  <c r="F96" i="5"/>
  <c r="L95" i="5"/>
  <c r="D95" i="5"/>
  <c r="J94" i="5"/>
  <c r="B94" i="5"/>
  <c r="H93" i="5"/>
  <c r="N92" i="5"/>
  <c r="F92" i="5"/>
  <c r="L91" i="5"/>
  <c r="D91" i="5"/>
  <c r="J90" i="5"/>
  <c r="B90" i="5"/>
  <c r="H89" i="5"/>
  <c r="N88" i="5"/>
  <c r="F88" i="5"/>
  <c r="L87" i="5"/>
  <c r="D87" i="5"/>
  <c r="J86" i="5"/>
  <c r="B86" i="5"/>
  <c r="H85" i="5"/>
  <c r="N84" i="5"/>
  <c r="F84" i="5"/>
  <c r="L83" i="5"/>
  <c r="D83" i="5"/>
  <c r="J82" i="5"/>
  <c r="B82" i="5"/>
  <c r="H81" i="5"/>
  <c r="N80" i="5"/>
  <c r="F80" i="5"/>
  <c r="L79" i="5"/>
  <c r="D79" i="5"/>
  <c r="J78" i="5"/>
  <c r="B78" i="5"/>
  <c r="H77" i="5"/>
  <c r="N76" i="5"/>
  <c r="F76" i="5"/>
  <c r="L75" i="5"/>
  <c r="D75" i="5"/>
  <c r="J74" i="5"/>
  <c r="B74" i="5"/>
  <c r="H73" i="5"/>
  <c r="N72" i="5"/>
  <c r="F72" i="5"/>
  <c r="L71" i="5"/>
  <c r="D71" i="5"/>
  <c r="J70" i="5"/>
  <c r="B70" i="5"/>
  <c r="H69" i="5"/>
  <c r="N68" i="5"/>
  <c r="F68" i="5"/>
  <c r="L67" i="5"/>
  <c r="D67" i="5"/>
  <c r="J66" i="5"/>
  <c r="B66" i="5"/>
  <c r="H65" i="5"/>
  <c r="N64" i="5"/>
  <c r="F64" i="5"/>
  <c r="L63" i="5"/>
  <c r="D63" i="5"/>
  <c r="J62" i="5"/>
  <c r="B62" i="5"/>
  <c r="H61" i="5"/>
  <c r="N60" i="5"/>
  <c r="F60" i="5"/>
  <c r="L59" i="5"/>
  <c r="D59" i="5"/>
  <c r="J58" i="5"/>
  <c r="B58" i="5"/>
  <c r="H57" i="5"/>
  <c r="N56" i="5"/>
  <c r="F56" i="5"/>
  <c r="L55" i="5"/>
  <c r="D55" i="5"/>
  <c r="J54" i="5"/>
  <c r="B54" i="5"/>
  <c r="H53" i="5"/>
  <c r="N52" i="5"/>
  <c r="F52" i="5"/>
  <c r="L51" i="5"/>
  <c r="D51" i="5"/>
  <c r="J50" i="5"/>
  <c r="B50" i="5"/>
  <c r="H49" i="5"/>
  <c r="N48" i="5"/>
  <c r="F48" i="5"/>
  <c r="L47" i="5"/>
  <c r="D47" i="5"/>
  <c r="J46" i="5"/>
  <c r="B46" i="5"/>
  <c r="H45" i="5"/>
  <c r="N44" i="5"/>
  <c r="F44" i="5"/>
  <c r="L43" i="5"/>
  <c r="D43" i="5"/>
  <c r="J42" i="5"/>
  <c r="B42" i="5"/>
  <c r="H41" i="5"/>
  <c r="N40" i="5"/>
  <c r="F40" i="5"/>
  <c r="L39" i="5"/>
  <c r="D39" i="5"/>
  <c r="J38" i="5"/>
  <c r="B38" i="5"/>
  <c r="H37" i="5"/>
  <c r="N36" i="5"/>
  <c r="F36" i="5"/>
  <c r="L35" i="5"/>
  <c r="D35" i="5"/>
  <c r="J34" i="5"/>
  <c r="B34" i="5"/>
  <c r="H33" i="5"/>
  <c r="N32" i="5"/>
  <c r="F32" i="5"/>
  <c r="L31" i="5"/>
  <c r="D31" i="5"/>
  <c r="J30" i="5"/>
  <c r="B30" i="5"/>
  <c r="H29" i="5"/>
  <c r="N28" i="5"/>
  <c r="F28" i="5"/>
  <c r="L27" i="5"/>
  <c r="D27" i="5"/>
  <c r="J26" i="5"/>
  <c r="B26" i="5"/>
  <c r="O136" i="5"/>
  <c r="K134" i="5"/>
  <c r="G132" i="5"/>
  <c r="C130" i="5"/>
  <c r="M127" i="5"/>
  <c r="I125" i="5"/>
  <c r="M123" i="5"/>
  <c r="G122" i="5"/>
  <c r="M120" i="5"/>
  <c r="E119" i="5"/>
  <c r="C118" i="5"/>
  <c r="B117" i="5"/>
  <c r="F116" i="5"/>
  <c r="K115" i="5"/>
  <c r="C115" i="5"/>
  <c r="I114" i="5"/>
  <c r="O113" i="5"/>
  <c r="G113" i="5"/>
  <c r="M112" i="5"/>
  <c r="E112" i="5"/>
  <c r="K111" i="5"/>
  <c r="C111" i="5"/>
  <c r="I110" i="5"/>
  <c r="O109" i="5"/>
  <c r="G109" i="5"/>
  <c r="M108" i="5"/>
  <c r="E108" i="5"/>
  <c r="K107" i="5"/>
  <c r="C107" i="5"/>
  <c r="I106" i="5"/>
  <c r="O105" i="5"/>
  <c r="G105" i="5"/>
  <c r="M104" i="5"/>
  <c r="E104" i="5"/>
  <c r="K103" i="5"/>
  <c r="C103" i="5"/>
  <c r="I102" i="5"/>
  <c r="O101" i="5"/>
  <c r="G101" i="5"/>
  <c r="M100" i="5"/>
  <c r="E100" i="5"/>
  <c r="K99" i="5"/>
  <c r="C99" i="5"/>
  <c r="I98" i="5"/>
  <c r="O97" i="5"/>
  <c r="G97" i="5"/>
  <c r="M96" i="5"/>
  <c r="E96" i="5"/>
  <c r="K95" i="5"/>
  <c r="C95" i="5"/>
  <c r="I94" i="5"/>
  <c r="O93" i="5"/>
  <c r="G93" i="5"/>
  <c r="M92" i="5"/>
  <c r="E92" i="5"/>
  <c r="K91" i="5"/>
  <c r="C91" i="5"/>
  <c r="I90" i="5"/>
  <c r="O89" i="5"/>
  <c r="G89" i="5"/>
  <c r="M88" i="5"/>
  <c r="E88" i="5"/>
  <c r="K87" i="5"/>
  <c r="C87" i="5"/>
  <c r="I86" i="5"/>
  <c r="O85" i="5"/>
  <c r="G85" i="5"/>
  <c r="M84" i="5"/>
  <c r="E84" i="5"/>
  <c r="K83" i="5"/>
  <c r="C83" i="5"/>
  <c r="I82" i="5"/>
  <c r="O81" i="5"/>
  <c r="G81" i="5"/>
  <c r="M80" i="5"/>
  <c r="E80" i="5"/>
  <c r="K79" i="5"/>
  <c r="C79" i="5"/>
  <c r="I78" i="5"/>
  <c r="O77" i="5"/>
  <c r="G77" i="5"/>
  <c r="M76" i="5"/>
  <c r="E76" i="5"/>
  <c r="K75" i="5"/>
  <c r="C75" i="5"/>
  <c r="I74" i="5"/>
  <c r="O73" i="5"/>
  <c r="G73" i="5"/>
  <c r="M72" i="5"/>
  <c r="E72" i="5"/>
  <c r="K71" i="5"/>
  <c r="C71" i="5"/>
  <c r="I70" i="5"/>
  <c r="O69" i="5"/>
  <c r="G69" i="5"/>
  <c r="M68" i="5"/>
  <c r="E68" i="5"/>
  <c r="K67" i="5"/>
  <c r="C67" i="5"/>
  <c r="I66" i="5"/>
  <c r="O65" i="5"/>
  <c r="G65" i="5"/>
  <c r="M64" i="5"/>
  <c r="E64" i="5"/>
  <c r="K63" i="5"/>
  <c r="C63" i="5"/>
  <c r="I62" i="5"/>
  <c r="O61" i="5"/>
  <c r="G61" i="5"/>
  <c r="M60" i="5"/>
  <c r="E60" i="5"/>
  <c r="K59" i="5"/>
  <c r="C59" i="5"/>
  <c r="I58" i="5"/>
  <c r="O57" i="5"/>
  <c r="G57" i="5"/>
  <c r="M56" i="5"/>
  <c r="E56" i="5"/>
  <c r="K55" i="5"/>
  <c r="C55" i="5"/>
  <c r="I54" i="5"/>
  <c r="O53" i="5"/>
  <c r="G53" i="5"/>
  <c r="M52" i="5"/>
  <c r="E52" i="5"/>
  <c r="K51" i="5"/>
  <c r="C51" i="5"/>
  <c r="I50" i="5"/>
  <c r="O49" i="5"/>
  <c r="G49" i="5"/>
  <c r="M48" i="5"/>
  <c r="E48" i="5"/>
  <c r="K47" i="5"/>
  <c r="C47" i="5"/>
  <c r="I46" i="5"/>
  <c r="O45" i="5"/>
  <c r="G45" i="5"/>
  <c r="M44" i="5"/>
  <c r="E44" i="5"/>
  <c r="K43" i="5"/>
  <c r="C43" i="5"/>
  <c r="I42" i="5"/>
  <c r="O41" i="5"/>
  <c r="G41" i="5"/>
  <c r="M40" i="5"/>
  <c r="E40" i="5"/>
  <c r="K39" i="5"/>
  <c r="C39" i="5"/>
  <c r="I38" i="5"/>
  <c r="O37" i="5"/>
  <c r="G37" i="5"/>
  <c r="M36" i="5"/>
  <c r="E36" i="5"/>
  <c r="K35" i="5"/>
  <c r="C35" i="5"/>
  <c r="I34" i="5"/>
  <c r="O33" i="5"/>
  <c r="G33" i="5"/>
  <c r="M32" i="5"/>
  <c r="E32" i="5"/>
  <c r="K31" i="5"/>
  <c r="C31" i="5"/>
  <c r="I30" i="5"/>
  <c r="O29" i="5"/>
  <c r="G29" i="5"/>
  <c r="M28" i="5"/>
  <c r="E28" i="5"/>
  <c r="K27" i="5"/>
  <c r="C27" i="5"/>
  <c r="K136" i="5"/>
  <c r="G134" i="5"/>
  <c r="C132" i="5"/>
  <c r="M129" i="5"/>
  <c r="I127" i="5"/>
  <c r="E125" i="5"/>
  <c r="K123" i="5"/>
  <c r="C122" i="5"/>
  <c r="K120" i="5"/>
  <c r="C119" i="5"/>
  <c r="O117" i="5"/>
  <c r="O116" i="5"/>
  <c r="E116" i="5"/>
  <c r="J115" i="5"/>
  <c r="B115" i="5"/>
  <c r="H114" i="5"/>
  <c r="N113" i="5"/>
  <c r="F113" i="5"/>
  <c r="L112" i="5"/>
  <c r="D112" i="5"/>
  <c r="J111" i="5"/>
  <c r="B111" i="5"/>
  <c r="H110" i="5"/>
  <c r="N109" i="5"/>
  <c r="F109" i="5"/>
  <c r="L108" i="5"/>
  <c r="D108" i="5"/>
  <c r="J107" i="5"/>
  <c r="B107" i="5"/>
  <c r="H106" i="5"/>
  <c r="N105" i="5"/>
  <c r="F105" i="5"/>
  <c r="L104" i="5"/>
  <c r="D104" i="5"/>
  <c r="J103" i="5"/>
  <c r="B103" i="5"/>
  <c r="H102" i="5"/>
  <c r="N101" i="5"/>
  <c r="F101" i="5"/>
  <c r="L100" i="5"/>
  <c r="D100" i="5"/>
  <c r="J99" i="5"/>
  <c r="B99" i="5"/>
  <c r="H98" i="5"/>
  <c r="N97" i="5"/>
  <c r="F97" i="5"/>
  <c r="L96" i="5"/>
  <c r="D96" i="5"/>
  <c r="J95" i="5"/>
  <c r="B95" i="5"/>
  <c r="H94" i="5"/>
  <c r="N93" i="5"/>
  <c r="F93" i="5"/>
  <c r="L92" i="5"/>
  <c r="D92" i="5"/>
  <c r="J91" i="5"/>
  <c r="B91" i="5"/>
  <c r="H90" i="5"/>
  <c r="N89" i="5"/>
  <c r="F89" i="5"/>
  <c r="L88" i="5"/>
  <c r="D88" i="5"/>
  <c r="J87" i="5"/>
  <c r="B87" i="5"/>
  <c r="H86" i="5"/>
  <c r="N85" i="5"/>
  <c r="F85" i="5"/>
  <c r="L84" i="5"/>
  <c r="D84" i="5"/>
  <c r="J83" i="5"/>
  <c r="B83" i="5"/>
  <c r="H82" i="5"/>
  <c r="N81" i="5"/>
  <c r="F81" i="5"/>
  <c r="L80" i="5"/>
  <c r="D80" i="5"/>
  <c r="J79" i="5"/>
  <c r="B79" i="5"/>
  <c r="H78" i="5"/>
  <c r="N77" i="5"/>
  <c r="F77" i="5"/>
  <c r="L76" i="5"/>
  <c r="D76" i="5"/>
  <c r="J75" i="5"/>
  <c r="B75" i="5"/>
  <c r="H74" i="5"/>
  <c r="N73" i="5"/>
  <c r="F73" i="5"/>
  <c r="L72" i="5"/>
  <c r="D72" i="5"/>
  <c r="J71" i="5"/>
  <c r="B71" i="5"/>
  <c r="H70" i="5"/>
  <c r="N69" i="5"/>
  <c r="F69" i="5"/>
  <c r="L68" i="5"/>
  <c r="D68" i="5"/>
  <c r="J67" i="5"/>
  <c r="B67" i="5"/>
  <c r="H66" i="5"/>
  <c r="N65" i="5"/>
  <c r="F65" i="5"/>
  <c r="L64" i="5"/>
  <c r="D64" i="5"/>
  <c r="J63" i="5"/>
  <c r="B63" i="5"/>
  <c r="H62" i="5"/>
  <c r="G136" i="5"/>
  <c r="C134" i="5"/>
  <c r="M131" i="5"/>
  <c r="I129" i="5"/>
  <c r="E127" i="5"/>
  <c r="O124" i="5"/>
  <c r="I123" i="5"/>
  <c r="O121" i="5"/>
  <c r="G120" i="5"/>
  <c r="O118" i="5"/>
  <c r="M117" i="5"/>
  <c r="M116" i="5"/>
  <c r="D116" i="5"/>
  <c r="I115" i="5"/>
  <c r="O114" i="5"/>
  <c r="G114" i="5"/>
  <c r="M113" i="5"/>
  <c r="E113" i="5"/>
  <c r="K112" i="5"/>
  <c r="C112" i="5"/>
  <c r="I111" i="5"/>
  <c r="O110" i="5"/>
  <c r="G110" i="5"/>
  <c r="M109" i="5"/>
  <c r="E109" i="5"/>
  <c r="K108" i="5"/>
  <c r="C108" i="5"/>
  <c r="I107" i="5"/>
  <c r="O106" i="5"/>
  <c r="G106" i="5"/>
  <c r="M105" i="5"/>
  <c r="E105" i="5"/>
  <c r="K104" i="5"/>
  <c r="C104" i="5"/>
  <c r="I103" i="5"/>
  <c r="O102" i="5"/>
  <c r="G102" i="5"/>
  <c r="M101" i="5"/>
  <c r="E101" i="5"/>
  <c r="K100" i="5"/>
  <c r="C100" i="5"/>
  <c r="I99" i="5"/>
  <c r="O98" i="5"/>
  <c r="G98" i="5"/>
  <c r="M97" i="5"/>
  <c r="E97" i="5"/>
  <c r="K96" i="5"/>
  <c r="C96" i="5"/>
  <c r="I95" i="5"/>
  <c r="O94" i="5"/>
  <c r="G94" i="5"/>
  <c r="M93" i="5"/>
  <c r="E93" i="5"/>
  <c r="K92" i="5"/>
  <c r="C92" i="5"/>
  <c r="I91" i="5"/>
  <c r="O90" i="5"/>
  <c r="G90" i="5"/>
  <c r="M89" i="5"/>
  <c r="E89" i="5"/>
  <c r="K88" i="5"/>
  <c r="C88" i="5"/>
  <c r="I87" i="5"/>
  <c r="O86" i="5"/>
  <c r="G86" i="5"/>
  <c r="M85" i="5"/>
  <c r="E85" i="5"/>
  <c r="K84" i="5"/>
  <c r="C84" i="5"/>
  <c r="I83" i="5"/>
  <c r="O82" i="5"/>
  <c r="G82" i="5"/>
  <c r="M81" i="5"/>
  <c r="E81" i="5"/>
  <c r="K80" i="5"/>
  <c r="C80" i="5"/>
  <c r="I79" i="5"/>
  <c r="O78" i="5"/>
  <c r="G78" i="5"/>
  <c r="M77" i="5"/>
  <c r="E77" i="5"/>
  <c r="K76" i="5"/>
  <c r="C76" i="5"/>
  <c r="I75" i="5"/>
  <c r="O74" i="5"/>
  <c r="G74" i="5"/>
  <c r="M73" i="5"/>
  <c r="E73" i="5"/>
  <c r="K72" i="5"/>
  <c r="C72" i="5"/>
  <c r="I71" i="5"/>
  <c r="O70" i="5"/>
  <c r="G70" i="5"/>
  <c r="M69" i="5"/>
  <c r="E69" i="5"/>
  <c r="K68" i="5"/>
  <c r="C68" i="5"/>
  <c r="I67" i="5"/>
  <c r="O66" i="5"/>
  <c r="G66" i="5"/>
  <c r="M65" i="5"/>
  <c r="E65" i="5"/>
  <c r="K64" i="5"/>
  <c r="C64" i="5"/>
  <c r="I63" i="5"/>
  <c r="O62" i="5"/>
  <c r="G62" i="5"/>
  <c r="M61" i="5"/>
  <c r="E61" i="5"/>
  <c r="K60" i="5"/>
  <c r="C60" i="5"/>
  <c r="I59" i="5"/>
  <c r="O58" i="5"/>
  <c r="G58" i="5"/>
  <c r="M57" i="5"/>
  <c r="E57" i="5"/>
  <c r="K56" i="5"/>
  <c r="C56" i="5"/>
  <c r="I55" i="5"/>
  <c r="O54" i="5"/>
  <c r="G54" i="5"/>
  <c r="M53" i="5"/>
  <c r="E53" i="5"/>
  <c r="K52" i="5"/>
  <c r="C52" i="5"/>
  <c r="I51" i="5"/>
  <c r="O50" i="5"/>
  <c r="G50" i="5"/>
  <c r="M49" i="5"/>
  <c r="E49" i="5"/>
  <c r="K48" i="5"/>
  <c r="C48" i="5"/>
  <c r="I47" i="5"/>
  <c r="O46" i="5"/>
  <c r="G46" i="5"/>
  <c r="M45" i="5"/>
  <c r="E45" i="5"/>
  <c r="K44" i="5"/>
  <c r="C44" i="5"/>
  <c r="I43" i="5"/>
  <c r="O42" i="5"/>
  <c r="G42" i="5"/>
  <c r="M41" i="5"/>
  <c r="E41" i="5"/>
  <c r="K40" i="5"/>
  <c r="C40" i="5"/>
  <c r="I39" i="5"/>
  <c r="O38" i="5"/>
  <c r="G38" i="5"/>
  <c r="M37" i="5"/>
  <c r="E37" i="5"/>
  <c r="K36" i="5"/>
  <c r="C36" i="5"/>
  <c r="I35" i="5"/>
  <c r="O34" i="5"/>
  <c r="G34" i="5"/>
  <c r="M33" i="5"/>
  <c r="E33" i="5"/>
  <c r="K32" i="5"/>
  <c r="C32" i="5"/>
  <c r="I31" i="5"/>
  <c r="O30" i="5"/>
  <c r="G30" i="5"/>
  <c r="M29" i="5"/>
  <c r="E29" i="5"/>
  <c r="K28" i="5"/>
  <c r="C28" i="5"/>
  <c r="I27" i="5"/>
  <c r="O26" i="5"/>
  <c r="G26" i="5"/>
  <c r="C136" i="5"/>
  <c r="E120" i="5"/>
  <c r="L113" i="5"/>
  <c r="D109" i="5"/>
  <c r="J104" i="5"/>
  <c r="B100" i="5"/>
  <c r="H95" i="5"/>
  <c r="N90" i="5"/>
  <c r="F86" i="5"/>
  <c r="L81" i="5"/>
  <c r="D77" i="5"/>
  <c r="J72" i="5"/>
  <c r="B68" i="5"/>
  <c r="H63" i="5"/>
  <c r="B61" i="5"/>
  <c r="H59" i="5"/>
  <c r="N57" i="5"/>
  <c r="H56" i="5"/>
  <c r="N54" i="5"/>
  <c r="F53" i="5"/>
  <c r="N51" i="5"/>
  <c r="F50" i="5"/>
  <c r="L48" i="5"/>
  <c r="F47" i="5"/>
  <c r="L45" i="5"/>
  <c r="D44" i="5"/>
  <c r="L42" i="5"/>
  <c r="D41" i="5"/>
  <c r="J39" i="5"/>
  <c r="D38" i="5"/>
  <c r="J36" i="5"/>
  <c r="B35" i="5"/>
  <c r="J33" i="5"/>
  <c r="B32" i="5"/>
  <c r="H30" i="5"/>
  <c r="B29" i="5"/>
  <c r="H27" i="5"/>
  <c r="D26" i="5"/>
  <c r="I25" i="5"/>
  <c r="O24" i="5"/>
  <c r="G24" i="5"/>
  <c r="M23" i="5"/>
  <c r="E23" i="5"/>
  <c r="K22" i="5"/>
  <c r="C22" i="5"/>
  <c r="I21" i="5"/>
  <c r="O20" i="5"/>
  <c r="G20" i="5"/>
  <c r="M19" i="5"/>
  <c r="E19" i="5"/>
  <c r="K18" i="5"/>
  <c r="C18" i="5"/>
  <c r="I17" i="5"/>
  <c r="O16" i="5"/>
  <c r="G16" i="5"/>
  <c r="M15" i="5"/>
  <c r="E15" i="5"/>
  <c r="K14" i="5"/>
  <c r="C14" i="5"/>
  <c r="I13" i="5"/>
  <c r="O12" i="5"/>
  <c r="G12" i="5"/>
  <c r="M11" i="5"/>
  <c r="E11" i="5"/>
  <c r="K10" i="5"/>
  <c r="C10" i="5"/>
  <c r="I9" i="5"/>
  <c r="O8" i="5"/>
  <c r="G8" i="5"/>
  <c r="M7" i="5"/>
  <c r="E7" i="5"/>
  <c r="K6" i="5"/>
  <c r="C6" i="5"/>
  <c r="I5" i="5"/>
  <c r="O4" i="5"/>
  <c r="G4" i="5"/>
  <c r="M3" i="5"/>
  <c r="E3" i="5"/>
  <c r="K2" i="5"/>
  <c r="C2" i="5"/>
  <c r="M121" i="5"/>
  <c r="N86" i="5"/>
  <c r="F82" i="5"/>
  <c r="L77" i="5"/>
  <c r="D73" i="5"/>
  <c r="J68" i="5"/>
  <c r="B64" i="5"/>
  <c r="D61" i="5"/>
  <c r="J59" i="5"/>
  <c r="J56" i="5"/>
  <c r="H47" i="5"/>
  <c r="L36" i="5"/>
  <c r="F26" i="5"/>
  <c r="D22" i="5"/>
  <c r="N19" i="5"/>
  <c r="N15" i="5"/>
  <c r="H12" i="5"/>
  <c r="B9" i="5"/>
  <c r="B5" i="5"/>
  <c r="M133" i="5"/>
  <c r="M118" i="5"/>
  <c r="D113" i="5"/>
  <c r="J108" i="5"/>
  <c r="B104" i="5"/>
  <c r="H99" i="5"/>
  <c r="N94" i="5"/>
  <c r="F90" i="5"/>
  <c r="L85" i="5"/>
  <c r="D81" i="5"/>
  <c r="J76" i="5"/>
  <c r="B72" i="5"/>
  <c r="H67" i="5"/>
  <c r="N62" i="5"/>
  <c r="L60" i="5"/>
  <c r="F59" i="5"/>
  <c r="L57" i="5"/>
  <c r="D56" i="5"/>
  <c r="L54" i="5"/>
  <c r="D53" i="5"/>
  <c r="J51" i="5"/>
  <c r="D50" i="5"/>
  <c r="J48" i="5"/>
  <c r="B47" i="5"/>
  <c r="J45" i="5"/>
  <c r="B44" i="5"/>
  <c r="H42" i="5"/>
  <c r="B41" i="5"/>
  <c r="H39" i="5"/>
  <c r="N37" i="5"/>
  <c r="H36" i="5"/>
  <c r="N34" i="5"/>
  <c r="F33" i="5"/>
  <c r="N31" i="5"/>
  <c r="F30" i="5"/>
  <c r="L28" i="5"/>
  <c r="F27" i="5"/>
  <c r="C26" i="5"/>
  <c r="H25" i="5"/>
  <c r="N24" i="5"/>
  <c r="F24" i="5"/>
  <c r="L23" i="5"/>
  <c r="D23" i="5"/>
  <c r="J22" i="5"/>
  <c r="B22" i="5"/>
  <c r="H21" i="5"/>
  <c r="N20" i="5"/>
  <c r="F20" i="5"/>
  <c r="L19" i="5"/>
  <c r="D19" i="5"/>
  <c r="J18" i="5"/>
  <c r="B18" i="5"/>
  <c r="H17" i="5"/>
  <c r="N16" i="5"/>
  <c r="F16" i="5"/>
  <c r="L15" i="5"/>
  <c r="D15" i="5"/>
  <c r="J14" i="5"/>
  <c r="B14" i="5"/>
  <c r="H13" i="5"/>
  <c r="N12" i="5"/>
  <c r="F12" i="5"/>
  <c r="L11" i="5"/>
  <c r="D11" i="5"/>
  <c r="J10" i="5"/>
  <c r="B10" i="5"/>
  <c r="H9" i="5"/>
  <c r="N8" i="5"/>
  <c r="F8" i="5"/>
  <c r="L7" i="5"/>
  <c r="D7" i="5"/>
  <c r="J6" i="5"/>
  <c r="B6" i="5"/>
  <c r="H5" i="5"/>
  <c r="N4" i="5"/>
  <c r="F4" i="5"/>
  <c r="L3" i="5"/>
  <c r="D3" i="5"/>
  <c r="J2" i="5"/>
  <c r="B2" i="5"/>
  <c r="B96" i="5"/>
  <c r="B52" i="5"/>
  <c r="N39" i="5"/>
  <c r="J27" i="5"/>
  <c r="F23" i="5"/>
  <c r="F19" i="5"/>
  <c r="L14" i="5"/>
  <c r="F11" i="5"/>
  <c r="N7" i="5"/>
  <c r="N3" i="5"/>
  <c r="I131" i="5"/>
  <c r="K117" i="5"/>
  <c r="J112" i="5"/>
  <c r="B108" i="5"/>
  <c r="H103" i="5"/>
  <c r="N98" i="5"/>
  <c r="F94" i="5"/>
  <c r="L89" i="5"/>
  <c r="D85" i="5"/>
  <c r="J80" i="5"/>
  <c r="B76" i="5"/>
  <c r="H71" i="5"/>
  <c r="N66" i="5"/>
  <c r="F62" i="5"/>
  <c r="J60" i="5"/>
  <c r="B59" i="5"/>
  <c r="J57" i="5"/>
  <c r="B56" i="5"/>
  <c r="H54" i="5"/>
  <c r="B53" i="5"/>
  <c r="H51" i="5"/>
  <c r="N49" i="5"/>
  <c r="H48" i="5"/>
  <c r="N46" i="5"/>
  <c r="F45" i="5"/>
  <c r="N43" i="5"/>
  <c r="F42" i="5"/>
  <c r="L40" i="5"/>
  <c r="F39" i="5"/>
  <c r="L37" i="5"/>
  <c r="D36" i="5"/>
  <c r="L34" i="5"/>
  <c r="D33" i="5"/>
  <c r="J31" i="5"/>
  <c r="D30" i="5"/>
  <c r="J28" i="5"/>
  <c r="B27" i="5"/>
  <c r="O25" i="5"/>
  <c r="G25" i="5"/>
  <c r="M24" i="5"/>
  <c r="E24" i="5"/>
  <c r="K23" i="5"/>
  <c r="C23" i="5"/>
  <c r="I22" i="5"/>
  <c r="O21" i="5"/>
  <c r="G21" i="5"/>
  <c r="M20" i="5"/>
  <c r="E20" i="5"/>
  <c r="K19" i="5"/>
  <c r="C19" i="5"/>
  <c r="I18" i="5"/>
  <c r="O17" i="5"/>
  <c r="G17" i="5"/>
  <c r="M16" i="5"/>
  <c r="E16" i="5"/>
  <c r="K15" i="5"/>
  <c r="C15" i="5"/>
  <c r="I14" i="5"/>
  <c r="O13" i="5"/>
  <c r="G13" i="5"/>
  <c r="M12" i="5"/>
  <c r="E12" i="5"/>
  <c r="K11" i="5"/>
  <c r="C11" i="5"/>
  <c r="I10" i="5"/>
  <c r="O9" i="5"/>
  <c r="G9" i="5"/>
  <c r="M8" i="5"/>
  <c r="E8" i="5"/>
  <c r="K7" i="5"/>
  <c r="C7" i="5"/>
  <c r="I6" i="5"/>
  <c r="O5" i="5"/>
  <c r="G5" i="5"/>
  <c r="M4" i="5"/>
  <c r="E4" i="5"/>
  <c r="K3" i="5"/>
  <c r="C3" i="5"/>
  <c r="I2" i="5"/>
  <c r="J100" i="5"/>
  <c r="B55" i="5"/>
  <c r="H44" i="5"/>
  <c r="F35" i="5"/>
  <c r="J25" i="5"/>
  <c r="J21" i="5"/>
  <c r="D18" i="5"/>
  <c r="D14" i="5"/>
  <c r="J9" i="5"/>
  <c r="D6" i="5"/>
  <c r="D2" i="5"/>
  <c r="E129" i="5"/>
  <c r="L116" i="5"/>
  <c r="B112" i="5"/>
  <c r="H107" i="5"/>
  <c r="N102" i="5"/>
  <c r="F98" i="5"/>
  <c r="L93" i="5"/>
  <c r="D89" i="5"/>
  <c r="J84" i="5"/>
  <c r="B80" i="5"/>
  <c r="H75" i="5"/>
  <c r="N70" i="5"/>
  <c r="F66" i="5"/>
  <c r="N61" i="5"/>
  <c r="H60" i="5"/>
  <c r="N58" i="5"/>
  <c r="F57" i="5"/>
  <c r="N55" i="5"/>
  <c r="F54" i="5"/>
  <c r="L52" i="5"/>
  <c r="F51" i="5"/>
  <c r="L49" i="5"/>
  <c r="D48" i="5"/>
  <c r="L46" i="5"/>
  <c r="D45" i="5"/>
  <c r="J43" i="5"/>
  <c r="D42" i="5"/>
  <c r="J40" i="5"/>
  <c r="B39" i="5"/>
  <c r="J37" i="5"/>
  <c r="B36" i="5"/>
  <c r="H34" i="5"/>
  <c r="B33" i="5"/>
  <c r="H31" i="5"/>
  <c r="N29" i="5"/>
  <c r="H28" i="5"/>
  <c r="N26" i="5"/>
  <c r="N25" i="5"/>
  <c r="F25" i="5"/>
  <c r="L24" i="5"/>
  <c r="D24" i="5"/>
  <c r="J23" i="5"/>
  <c r="B23" i="5"/>
  <c r="H22" i="5"/>
  <c r="N21" i="5"/>
  <c r="F21" i="5"/>
  <c r="L20" i="5"/>
  <c r="D20" i="5"/>
  <c r="J19" i="5"/>
  <c r="B19" i="5"/>
  <c r="H18" i="5"/>
  <c r="N17" i="5"/>
  <c r="F17" i="5"/>
  <c r="L16" i="5"/>
  <c r="D16" i="5"/>
  <c r="J15" i="5"/>
  <c r="B15" i="5"/>
  <c r="H14" i="5"/>
  <c r="N13" i="5"/>
  <c r="F13" i="5"/>
  <c r="L12" i="5"/>
  <c r="D12" i="5"/>
  <c r="J11" i="5"/>
  <c r="B11" i="5"/>
  <c r="H10" i="5"/>
  <c r="N9" i="5"/>
  <c r="F9" i="5"/>
  <c r="L8" i="5"/>
  <c r="D8" i="5"/>
  <c r="J7" i="5"/>
  <c r="B7" i="5"/>
  <c r="H6" i="5"/>
  <c r="N5" i="5"/>
  <c r="F5" i="5"/>
  <c r="L4" i="5"/>
  <c r="D4" i="5"/>
  <c r="J3" i="5"/>
  <c r="B3" i="5"/>
  <c r="H2" i="5"/>
  <c r="H91" i="5"/>
  <c r="H50" i="5"/>
  <c r="F41" i="5"/>
  <c r="L30" i="5"/>
  <c r="N23" i="5"/>
  <c r="L18" i="5"/>
  <c r="F15" i="5"/>
  <c r="N11" i="5"/>
  <c r="L6" i="5"/>
  <c r="L2" i="5"/>
  <c r="O126" i="5"/>
  <c r="C116" i="5"/>
  <c r="H111" i="5"/>
  <c r="N106" i="5"/>
  <c r="F102" i="5"/>
  <c r="L97" i="5"/>
  <c r="D93" i="5"/>
  <c r="J88" i="5"/>
  <c r="B84" i="5"/>
  <c r="H79" i="5"/>
  <c r="N74" i="5"/>
  <c r="F70" i="5"/>
  <c r="L65" i="5"/>
  <c r="L61" i="5"/>
  <c r="D60" i="5"/>
  <c r="L58" i="5"/>
  <c r="D57" i="5"/>
  <c r="J55" i="5"/>
  <c r="D54" i="5"/>
  <c r="J52" i="5"/>
  <c r="B51" i="5"/>
  <c r="J49" i="5"/>
  <c r="B48" i="5"/>
  <c r="H46" i="5"/>
  <c r="B45" i="5"/>
  <c r="H43" i="5"/>
  <c r="N41" i="5"/>
  <c r="H40" i="5"/>
  <c r="N38" i="5"/>
  <c r="F37" i="5"/>
  <c r="N35" i="5"/>
  <c r="F34" i="5"/>
  <c r="L32" i="5"/>
  <c r="F31" i="5"/>
  <c r="L29" i="5"/>
  <c r="D28" i="5"/>
  <c r="L26" i="5"/>
  <c r="M25" i="5"/>
  <c r="E25" i="5"/>
  <c r="K24" i="5"/>
  <c r="C24" i="5"/>
  <c r="I23" i="5"/>
  <c r="O22" i="5"/>
  <c r="G22" i="5"/>
  <c r="M21" i="5"/>
  <c r="E21" i="5"/>
  <c r="K20" i="5"/>
  <c r="C20" i="5"/>
  <c r="I19" i="5"/>
  <c r="O18" i="5"/>
  <c r="G18" i="5"/>
  <c r="M17" i="5"/>
  <c r="E17" i="5"/>
  <c r="K16" i="5"/>
  <c r="C16" i="5"/>
  <c r="I15" i="5"/>
  <c r="O14" i="5"/>
  <c r="G14" i="5"/>
  <c r="M13" i="5"/>
  <c r="E13" i="5"/>
  <c r="K12" i="5"/>
  <c r="C12" i="5"/>
  <c r="I11" i="5"/>
  <c r="O10" i="5"/>
  <c r="G10" i="5"/>
  <c r="M9" i="5"/>
  <c r="E9" i="5"/>
  <c r="K8" i="5"/>
  <c r="C8" i="5"/>
  <c r="I7" i="5"/>
  <c r="O6" i="5"/>
  <c r="G6" i="5"/>
  <c r="M5" i="5"/>
  <c r="E5" i="5"/>
  <c r="K4" i="5"/>
  <c r="C4" i="5"/>
  <c r="I3" i="5"/>
  <c r="O2" i="5"/>
  <c r="G2" i="5"/>
  <c r="F114" i="5"/>
  <c r="D58" i="5"/>
  <c r="N45" i="5"/>
  <c r="L33" i="5"/>
  <c r="L22" i="5"/>
  <c r="B17" i="5"/>
  <c r="D10" i="5"/>
  <c r="H4" i="5"/>
  <c r="M124" i="5"/>
  <c r="H115" i="5"/>
  <c r="N110" i="5"/>
  <c r="F106" i="5"/>
  <c r="L101" i="5"/>
  <c r="D97" i="5"/>
  <c r="J92" i="5"/>
  <c r="B88" i="5"/>
  <c r="H83" i="5"/>
  <c r="N78" i="5"/>
  <c r="F74" i="5"/>
  <c r="L69" i="5"/>
  <c r="D65" i="5"/>
  <c r="J61" i="5"/>
  <c r="B60" i="5"/>
  <c r="H58" i="5"/>
  <c r="B57" i="5"/>
  <c r="H55" i="5"/>
  <c r="N53" i="5"/>
  <c r="H52" i="5"/>
  <c r="N50" i="5"/>
  <c r="F49" i="5"/>
  <c r="N47" i="5"/>
  <c r="F46" i="5"/>
  <c r="L44" i="5"/>
  <c r="F43" i="5"/>
  <c r="L41" i="5"/>
  <c r="D40" i="5"/>
  <c r="L38" i="5"/>
  <c r="D37" i="5"/>
  <c r="J35" i="5"/>
  <c r="D34" i="5"/>
  <c r="J32" i="5"/>
  <c r="B31" i="5"/>
  <c r="J29" i="5"/>
  <c r="B28" i="5"/>
  <c r="I26" i="5"/>
  <c r="L25" i="5"/>
  <c r="D25" i="5"/>
  <c r="J24" i="5"/>
  <c r="B24" i="5"/>
  <c r="H23" i="5"/>
  <c r="N22" i="5"/>
  <c r="F22" i="5"/>
  <c r="L21" i="5"/>
  <c r="D21" i="5"/>
  <c r="J20" i="5"/>
  <c r="B20" i="5"/>
  <c r="H19" i="5"/>
  <c r="N18" i="5"/>
  <c r="F18" i="5"/>
  <c r="L17" i="5"/>
  <c r="D17" i="5"/>
  <c r="J16" i="5"/>
  <c r="B16" i="5"/>
  <c r="H15" i="5"/>
  <c r="N14" i="5"/>
  <c r="F14" i="5"/>
  <c r="L13" i="5"/>
  <c r="D13" i="5"/>
  <c r="J12" i="5"/>
  <c r="B12" i="5"/>
  <c r="H11" i="5"/>
  <c r="N10" i="5"/>
  <c r="F10" i="5"/>
  <c r="L9" i="5"/>
  <c r="D9" i="5"/>
  <c r="J8" i="5"/>
  <c r="B8" i="5"/>
  <c r="H7" i="5"/>
  <c r="N6" i="5"/>
  <c r="F6" i="5"/>
  <c r="L5" i="5"/>
  <c r="D5" i="5"/>
  <c r="J4" i="5"/>
  <c r="B4" i="5"/>
  <c r="H3" i="5"/>
  <c r="N2" i="5"/>
  <c r="F2" i="5"/>
  <c r="D105" i="5"/>
  <c r="B49" i="5"/>
  <c r="F38" i="5"/>
  <c r="D29" i="5"/>
  <c r="H24" i="5"/>
  <c r="H20" i="5"/>
  <c r="H16" i="5"/>
  <c r="B13" i="5"/>
  <c r="F7" i="5"/>
  <c r="F3" i="5"/>
  <c r="E123" i="5"/>
  <c r="N114" i="5"/>
  <c r="F110" i="5"/>
  <c r="L105" i="5"/>
  <c r="D101" i="5"/>
  <c r="J96" i="5"/>
  <c r="B92" i="5"/>
  <c r="H87" i="5"/>
  <c r="N82" i="5"/>
  <c r="F78" i="5"/>
  <c r="L73" i="5"/>
  <c r="D69" i="5"/>
  <c r="J64" i="5"/>
  <c r="F61" i="5"/>
  <c r="N59" i="5"/>
  <c r="F58" i="5"/>
  <c r="L56" i="5"/>
  <c r="F55" i="5"/>
  <c r="L53" i="5"/>
  <c r="D52" i="5"/>
  <c r="L50" i="5"/>
  <c r="D49" i="5"/>
  <c r="J47" i="5"/>
  <c r="D46" i="5"/>
  <c r="J44" i="5"/>
  <c r="B43" i="5"/>
  <c r="J41" i="5"/>
  <c r="B40" i="5"/>
  <c r="H38" i="5"/>
  <c r="B37" i="5"/>
  <c r="H35" i="5"/>
  <c r="N33" i="5"/>
  <c r="H32" i="5"/>
  <c r="N30" i="5"/>
  <c r="F29" i="5"/>
  <c r="N27" i="5"/>
  <c r="H26" i="5"/>
  <c r="K25" i="5"/>
  <c r="C25" i="5"/>
  <c r="I24" i="5"/>
  <c r="O23" i="5"/>
  <c r="G23" i="5"/>
  <c r="M22" i="5"/>
  <c r="E22" i="5"/>
  <c r="K21" i="5"/>
  <c r="C21" i="5"/>
  <c r="I20" i="5"/>
  <c r="O19" i="5"/>
  <c r="G19" i="5"/>
  <c r="M18" i="5"/>
  <c r="E18" i="5"/>
  <c r="K17" i="5"/>
  <c r="C17" i="5"/>
  <c r="I16" i="5"/>
  <c r="O15" i="5"/>
  <c r="G15" i="5"/>
  <c r="M14" i="5"/>
  <c r="E14" i="5"/>
  <c r="K13" i="5"/>
  <c r="C13" i="5"/>
  <c r="I12" i="5"/>
  <c r="O11" i="5"/>
  <c r="G11" i="5"/>
  <c r="M10" i="5"/>
  <c r="E10" i="5"/>
  <c r="K9" i="5"/>
  <c r="C9" i="5"/>
  <c r="I8" i="5"/>
  <c r="O7" i="5"/>
  <c r="G7" i="5"/>
  <c r="M6" i="5"/>
  <c r="E6" i="5"/>
  <c r="K5" i="5"/>
  <c r="C5" i="5"/>
  <c r="I4" i="5"/>
  <c r="O3" i="5"/>
  <c r="G3" i="5"/>
  <c r="M2" i="5"/>
  <c r="E2" i="5"/>
  <c r="L109" i="5"/>
  <c r="J53" i="5"/>
  <c r="N42" i="5"/>
  <c r="D32" i="5"/>
  <c r="B25" i="5"/>
  <c r="B21" i="5"/>
  <c r="J17" i="5"/>
  <c r="J13" i="5"/>
  <c r="L10" i="5"/>
  <c r="H8" i="5"/>
  <c r="J5" i="5"/>
  <c r="A2" i="6" l="1" a="1"/>
  <c r="B2" i="6" l="1"/>
  <c r="J2" i="6"/>
  <c r="R2" i="6"/>
  <c r="Z2" i="6"/>
  <c r="AH2" i="6"/>
  <c r="AP2" i="6"/>
  <c r="AX2" i="6"/>
  <c r="BF2" i="6"/>
  <c r="BN2" i="6"/>
  <c r="BV2" i="6"/>
  <c r="CD2" i="6"/>
  <c r="CL2" i="6"/>
  <c r="CT2" i="6"/>
  <c r="DB2" i="6"/>
  <c r="DJ2" i="6"/>
  <c r="DR2" i="6"/>
  <c r="DZ2" i="6"/>
  <c r="EH2" i="6"/>
  <c r="EP2" i="6"/>
  <c r="EX2" i="6"/>
  <c r="FF2" i="6"/>
  <c r="FN2" i="6"/>
  <c r="FV2" i="6"/>
  <c r="GD2" i="6"/>
  <c r="GL2" i="6"/>
  <c r="B3" i="6"/>
  <c r="J3" i="6"/>
  <c r="R3" i="6"/>
  <c r="Z3" i="6"/>
  <c r="AH3" i="6"/>
  <c r="AP3" i="6"/>
  <c r="AX3" i="6"/>
  <c r="BF3" i="6"/>
  <c r="BN3" i="6"/>
  <c r="BV3" i="6"/>
  <c r="CD3" i="6"/>
  <c r="CL3" i="6"/>
  <c r="CT3" i="6"/>
  <c r="DB3" i="6"/>
  <c r="DJ3" i="6"/>
  <c r="DR3" i="6"/>
  <c r="DZ3" i="6"/>
  <c r="EH3" i="6"/>
  <c r="EP3" i="6"/>
  <c r="EX3" i="6"/>
  <c r="FF3" i="6"/>
  <c r="FN3" i="6"/>
  <c r="FV3" i="6"/>
  <c r="GD3" i="6"/>
  <c r="GL3" i="6"/>
  <c r="B4" i="6"/>
  <c r="J4" i="6"/>
  <c r="R4" i="6"/>
  <c r="Z4" i="6"/>
  <c r="AH4" i="6"/>
  <c r="AP4" i="6"/>
  <c r="AX4" i="6"/>
  <c r="BF4" i="6"/>
  <c r="BN4" i="6"/>
  <c r="BV4" i="6"/>
  <c r="CD4" i="6"/>
  <c r="CL4" i="6"/>
  <c r="CT4" i="6"/>
  <c r="DB4" i="6"/>
  <c r="DJ4" i="6"/>
  <c r="DR4" i="6"/>
  <c r="DZ4" i="6"/>
  <c r="EH4" i="6"/>
  <c r="E2" i="6"/>
  <c r="M2" i="6"/>
  <c r="U2" i="6"/>
  <c r="AC2" i="6"/>
  <c r="AK2" i="6"/>
  <c r="AS2" i="6"/>
  <c r="BA2" i="6"/>
  <c r="BI2" i="6"/>
  <c r="BQ2" i="6"/>
  <c r="BY2" i="6"/>
  <c r="CG2" i="6"/>
  <c r="CO2" i="6"/>
  <c r="CW2" i="6"/>
  <c r="DE2" i="6"/>
  <c r="DM2" i="6"/>
  <c r="DU2" i="6"/>
  <c r="EC2" i="6"/>
  <c r="EK2" i="6"/>
  <c r="ES2" i="6"/>
  <c r="FA2" i="6"/>
  <c r="FI2" i="6"/>
  <c r="FQ2" i="6"/>
  <c r="FY2" i="6"/>
  <c r="GG2" i="6"/>
  <c r="GO2" i="6"/>
  <c r="E3" i="6"/>
  <c r="M3" i="6"/>
  <c r="U3" i="6"/>
  <c r="AC3" i="6"/>
  <c r="AK3" i="6"/>
  <c r="AS3" i="6"/>
  <c r="BA3" i="6"/>
  <c r="BI3" i="6"/>
  <c r="BQ3" i="6"/>
  <c r="BY3" i="6"/>
  <c r="CG3" i="6"/>
  <c r="CO3" i="6"/>
  <c r="CW3" i="6"/>
  <c r="DE3" i="6"/>
  <c r="DM3" i="6"/>
  <c r="DU3" i="6"/>
  <c r="EC3" i="6"/>
  <c r="EK3" i="6"/>
  <c r="ES3" i="6"/>
  <c r="FA3" i="6"/>
  <c r="FI3" i="6"/>
  <c r="FQ3" i="6"/>
  <c r="FY3" i="6"/>
  <c r="GG3" i="6"/>
  <c r="GO3" i="6"/>
  <c r="E4" i="6"/>
  <c r="M4" i="6"/>
  <c r="U4" i="6"/>
  <c r="AC4" i="6"/>
  <c r="AK4" i="6"/>
  <c r="AS4" i="6"/>
  <c r="BA4" i="6"/>
  <c r="BI4" i="6"/>
  <c r="BQ4" i="6"/>
  <c r="BY4" i="6"/>
  <c r="CG4" i="6"/>
  <c r="CO4" i="6"/>
  <c r="CW4" i="6"/>
  <c r="DE4" i="6"/>
  <c r="DM4" i="6"/>
  <c r="DU4" i="6"/>
  <c r="EC4" i="6"/>
  <c r="EK4" i="6"/>
  <c r="A2" i="6"/>
  <c r="L2" i="6"/>
  <c r="W2" i="6"/>
  <c r="AG2" i="6"/>
  <c r="AR2" i="6"/>
  <c r="BC2" i="6"/>
  <c r="BM2" i="6"/>
  <c r="BX2" i="6"/>
  <c r="CI2" i="6"/>
  <c r="CS2" i="6"/>
  <c r="DD2" i="6"/>
  <c r="DO2" i="6"/>
  <c r="DY2" i="6"/>
  <c r="EJ2" i="6"/>
  <c r="EU2" i="6"/>
  <c r="FE2" i="6"/>
  <c r="FP2" i="6"/>
  <c r="GA2" i="6"/>
  <c r="GK2" i="6"/>
  <c r="D3" i="6"/>
  <c r="O3" i="6"/>
  <c r="Y3" i="6"/>
  <c r="AJ3" i="6"/>
  <c r="AU3" i="6"/>
  <c r="BE3" i="6"/>
  <c r="BP3" i="6"/>
  <c r="CA3" i="6"/>
  <c r="CK3" i="6"/>
  <c r="CV3" i="6"/>
  <c r="DG3" i="6"/>
  <c r="DQ3" i="6"/>
  <c r="EB3" i="6"/>
  <c r="EM3" i="6"/>
  <c r="EW3" i="6"/>
  <c r="FH3" i="6"/>
  <c r="FS3" i="6"/>
  <c r="GC3" i="6"/>
  <c r="GN3" i="6"/>
  <c r="G4" i="6"/>
  <c r="Q4" i="6"/>
  <c r="AB4" i="6"/>
  <c r="AM4" i="6"/>
  <c r="AW4" i="6"/>
  <c r="BH4" i="6"/>
  <c r="BS4" i="6"/>
  <c r="CC4" i="6"/>
  <c r="CN4" i="6"/>
  <c r="CY4" i="6"/>
  <c r="DI4" i="6"/>
  <c r="DT4" i="6"/>
  <c r="EE4" i="6"/>
  <c r="EO4" i="6"/>
  <c r="EW4" i="6"/>
  <c r="FE4" i="6"/>
  <c r="FM4" i="6"/>
  <c r="FU4" i="6"/>
  <c r="GC4" i="6"/>
  <c r="GK4" i="6"/>
  <c r="A5" i="6"/>
  <c r="I5" i="6"/>
  <c r="Q5" i="6"/>
  <c r="Y5" i="6"/>
  <c r="AG5" i="6"/>
  <c r="AO5" i="6"/>
  <c r="AW5" i="6"/>
  <c r="BE5" i="6"/>
  <c r="BM5" i="6"/>
  <c r="BU5" i="6"/>
  <c r="CC5" i="6"/>
  <c r="CK5" i="6"/>
  <c r="CS5" i="6"/>
  <c r="DA5" i="6"/>
  <c r="DI5" i="6"/>
  <c r="DQ5" i="6"/>
  <c r="DY5" i="6"/>
  <c r="EG5" i="6"/>
  <c r="EO5" i="6"/>
  <c r="EW5" i="6"/>
  <c r="FE5" i="6"/>
  <c r="FM5" i="6"/>
  <c r="FU5" i="6"/>
  <c r="GC5" i="6"/>
  <c r="GK5" i="6"/>
  <c r="A6" i="6"/>
  <c r="I6" i="6"/>
  <c r="Q6" i="6"/>
  <c r="Y6" i="6"/>
  <c r="AG6" i="6"/>
  <c r="AO6" i="6"/>
  <c r="AW6" i="6"/>
  <c r="BE6" i="6"/>
  <c r="BM6" i="6"/>
  <c r="BU6" i="6"/>
  <c r="CC6" i="6"/>
  <c r="CK6" i="6"/>
  <c r="CS6" i="6"/>
  <c r="DA6" i="6"/>
  <c r="DI6" i="6"/>
  <c r="DQ6" i="6"/>
  <c r="DY6" i="6"/>
  <c r="EG6" i="6"/>
  <c r="EO6" i="6"/>
  <c r="EW6" i="6"/>
  <c r="FE6" i="6"/>
  <c r="FM6" i="6"/>
  <c r="FU6" i="6"/>
  <c r="GC6" i="6"/>
  <c r="GK6" i="6"/>
  <c r="A7" i="6"/>
  <c r="I7" i="6"/>
  <c r="Q7" i="6"/>
  <c r="Y7" i="6"/>
  <c r="AG7" i="6"/>
  <c r="AO7" i="6"/>
  <c r="AW7" i="6"/>
  <c r="BE7" i="6"/>
  <c r="BM7" i="6"/>
  <c r="BU7" i="6"/>
  <c r="CC7" i="6"/>
  <c r="CK7" i="6"/>
  <c r="CS7" i="6"/>
  <c r="DA7" i="6"/>
  <c r="DI7" i="6"/>
  <c r="DQ7" i="6"/>
  <c r="DY7" i="6"/>
  <c r="EG7" i="6"/>
  <c r="EO7" i="6"/>
  <c r="EW7" i="6"/>
  <c r="FE7" i="6"/>
  <c r="FM7" i="6"/>
  <c r="FU7" i="6"/>
  <c r="GC7" i="6"/>
  <c r="GK7" i="6"/>
  <c r="D2" i="6"/>
  <c r="O2" i="6"/>
  <c r="Y2" i="6"/>
  <c r="AJ2" i="6"/>
  <c r="AU2" i="6"/>
  <c r="BE2" i="6"/>
  <c r="BP2" i="6"/>
  <c r="CA2" i="6"/>
  <c r="CK2" i="6"/>
  <c r="CV2" i="6"/>
  <c r="DG2" i="6"/>
  <c r="DQ2" i="6"/>
  <c r="EB2" i="6"/>
  <c r="EM2" i="6"/>
  <c r="EW2" i="6"/>
  <c r="FH2" i="6"/>
  <c r="FS2" i="6"/>
  <c r="GC2" i="6"/>
  <c r="GN2" i="6"/>
  <c r="G3" i="6"/>
  <c r="Q3" i="6"/>
  <c r="AB3" i="6"/>
  <c r="AM3" i="6"/>
  <c r="AW3" i="6"/>
  <c r="BH3" i="6"/>
  <c r="BS3" i="6"/>
  <c r="CC3" i="6"/>
  <c r="CN3" i="6"/>
  <c r="CY3" i="6"/>
  <c r="DI3" i="6"/>
  <c r="DT3" i="6"/>
  <c r="EE3" i="6"/>
  <c r="EO3" i="6"/>
  <c r="EZ3" i="6"/>
  <c r="FK3" i="6"/>
  <c r="FU3" i="6"/>
  <c r="GF3" i="6"/>
  <c r="GQ3" i="6"/>
  <c r="I4" i="6"/>
  <c r="T4" i="6"/>
  <c r="AE4" i="6"/>
  <c r="AO4" i="6"/>
  <c r="AZ4" i="6"/>
  <c r="BK4" i="6"/>
  <c r="BU4" i="6"/>
  <c r="CF4" i="6"/>
  <c r="CQ4" i="6"/>
  <c r="DA4" i="6"/>
  <c r="DL4" i="6"/>
  <c r="DW4" i="6"/>
  <c r="EG4" i="6"/>
  <c r="EQ4" i="6"/>
  <c r="EY4" i="6"/>
  <c r="FG4" i="6"/>
  <c r="FO4" i="6"/>
  <c r="FW4" i="6"/>
  <c r="GE4" i="6"/>
  <c r="GM4" i="6"/>
  <c r="C5" i="6"/>
  <c r="K5" i="6"/>
  <c r="S5" i="6"/>
  <c r="AA5" i="6"/>
  <c r="AI5" i="6"/>
  <c r="AQ5" i="6"/>
  <c r="AY5" i="6"/>
  <c r="BG5" i="6"/>
  <c r="BO5" i="6"/>
  <c r="BW5" i="6"/>
  <c r="CE5" i="6"/>
  <c r="CM5" i="6"/>
  <c r="CU5" i="6"/>
  <c r="DC5" i="6"/>
  <c r="DK5" i="6"/>
  <c r="DS5" i="6"/>
  <c r="EA5" i="6"/>
  <c r="EI5" i="6"/>
  <c r="EQ5" i="6"/>
  <c r="EY5" i="6"/>
  <c r="FG5" i="6"/>
  <c r="FO5" i="6"/>
  <c r="FW5" i="6"/>
  <c r="GE5" i="6"/>
  <c r="GM5" i="6"/>
  <c r="C6" i="6"/>
  <c r="K6" i="6"/>
  <c r="S6" i="6"/>
  <c r="AA6" i="6"/>
  <c r="AI6" i="6"/>
  <c r="AQ6" i="6"/>
  <c r="AY6" i="6"/>
  <c r="BG6" i="6"/>
  <c r="BO6" i="6"/>
  <c r="BW6" i="6"/>
  <c r="CE6" i="6"/>
  <c r="CM6" i="6"/>
  <c r="CU6" i="6"/>
  <c r="DC6" i="6"/>
  <c r="DK6" i="6"/>
  <c r="DS6" i="6"/>
  <c r="EA6" i="6"/>
  <c r="EI6" i="6"/>
  <c r="EQ6" i="6"/>
  <c r="EY6" i="6"/>
  <c r="FG6" i="6"/>
  <c r="FO6" i="6"/>
  <c r="FW6" i="6"/>
  <c r="GE6" i="6"/>
  <c r="GM6" i="6"/>
  <c r="C7" i="6"/>
  <c r="K7" i="6"/>
  <c r="S7" i="6"/>
  <c r="AA7" i="6"/>
  <c r="AI7" i="6"/>
  <c r="AQ7" i="6"/>
  <c r="AY7" i="6"/>
  <c r="BG7" i="6"/>
  <c r="BO7" i="6"/>
  <c r="BW7" i="6"/>
  <c r="CE7" i="6"/>
  <c r="CM7" i="6"/>
  <c r="CU7" i="6"/>
  <c r="DC7" i="6"/>
  <c r="DK7" i="6"/>
  <c r="G2" i="6"/>
  <c r="Q2" i="6"/>
  <c r="AB2" i="6"/>
  <c r="AM2" i="6"/>
  <c r="AW2" i="6"/>
  <c r="BH2" i="6"/>
  <c r="BS2" i="6"/>
  <c r="CC2" i="6"/>
  <c r="CN2" i="6"/>
  <c r="CY2" i="6"/>
  <c r="DI2" i="6"/>
  <c r="DT2" i="6"/>
  <c r="EE2" i="6"/>
  <c r="EO2" i="6"/>
  <c r="EZ2" i="6"/>
  <c r="FK2" i="6"/>
  <c r="FU2" i="6"/>
  <c r="GF2" i="6"/>
  <c r="GQ2" i="6"/>
  <c r="I3" i="6"/>
  <c r="T3" i="6"/>
  <c r="AE3" i="6"/>
  <c r="AO3" i="6"/>
  <c r="AZ3" i="6"/>
  <c r="BK3" i="6"/>
  <c r="BU3" i="6"/>
  <c r="CF3" i="6"/>
  <c r="CQ3" i="6"/>
  <c r="DA3" i="6"/>
  <c r="DL3" i="6"/>
  <c r="DW3" i="6"/>
  <c r="EG3" i="6"/>
  <c r="ER3" i="6"/>
  <c r="FC3" i="6"/>
  <c r="FM3" i="6"/>
  <c r="FX3" i="6"/>
  <c r="GI3" i="6"/>
  <c r="A4" i="6"/>
  <c r="L4" i="6"/>
  <c r="W4" i="6"/>
  <c r="AG4" i="6"/>
  <c r="AR4" i="6"/>
  <c r="BC4" i="6"/>
  <c r="BM4" i="6"/>
  <c r="BX4" i="6"/>
  <c r="CI4" i="6"/>
  <c r="CS4" i="6"/>
  <c r="DD4" i="6"/>
  <c r="DO4" i="6"/>
  <c r="DY4" i="6"/>
  <c r="EJ4" i="6"/>
  <c r="ES4" i="6"/>
  <c r="FA4" i="6"/>
  <c r="FI4" i="6"/>
  <c r="FQ4" i="6"/>
  <c r="FY4" i="6"/>
  <c r="GG4" i="6"/>
  <c r="GO4" i="6"/>
  <c r="E5" i="6"/>
  <c r="M5" i="6"/>
  <c r="U5" i="6"/>
  <c r="AC5" i="6"/>
  <c r="AK5" i="6"/>
  <c r="AS5" i="6"/>
  <c r="BA5" i="6"/>
  <c r="BI5" i="6"/>
  <c r="BQ5" i="6"/>
  <c r="BY5" i="6"/>
  <c r="CG5" i="6"/>
  <c r="CO5" i="6"/>
  <c r="CW5" i="6"/>
  <c r="DE5" i="6"/>
  <c r="DM5" i="6"/>
  <c r="DU5" i="6"/>
  <c r="EC5" i="6"/>
  <c r="EK5" i="6"/>
  <c r="ES5" i="6"/>
  <c r="FA5" i="6"/>
  <c r="FI5" i="6"/>
  <c r="FQ5" i="6"/>
  <c r="FY5" i="6"/>
  <c r="GG5" i="6"/>
  <c r="GO5" i="6"/>
  <c r="E6" i="6"/>
  <c r="M6" i="6"/>
  <c r="U6" i="6"/>
  <c r="AC6" i="6"/>
  <c r="AK6" i="6"/>
  <c r="AS6" i="6"/>
  <c r="BA6" i="6"/>
  <c r="BI6" i="6"/>
  <c r="BQ6" i="6"/>
  <c r="BY6" i="6"/>
  <c r="CG6" i="6"/>
  <c r="CO6" i="6"/>
  <c r="CW6" i="6"/>
  <c r="DE6" i="6"/>
  <c r="DM6" i="6"/>
  <c r="DU6" i="6"/>
  <c r="EC6" i="6"/>
  <c r="EK6" i="6"/>
  <c r="ES6" i="6"/>
  <c r="FA6" i="6"/>
  <c r="FI6" i="6"/>
  <c r="FQ6" i="6"/>
  <c r="FY6" i="6"/>
  <c r="GG6" i="6"/>
  <c r="GO6" i="6"/>
  <c r="E7" i="6"/>
  <c r="M7" i="6"/>
  <c r="U7" i="6"/>
  <c r="AC7" i="6"/>
  <c r="AK7" i="6"/>
  <c r="AS7" i="6"/>
  <c r="BA7" i="6"/>
  <c r="BI7" i="6"/>
  <c r="BQ7" i="6"/>
  <c r="BY7" i="6"/>
  <c r="CG7" i="6"/>
  <c r="CO7" i="6"/>
  <c r="CW7" i="6"/>
  <c r="DE7" i="6"/>
  <c r="DM7" i="6"/>
  <c r="DU7" i="6"/>
  <c r="EC7" i="6"/>
  <c r="EK7" i="6"/>
  <c r="ES7" i="6"/>
  <c r="FA7" i="6"/>
  <c r="FI7" i="6"/>
  <c r="FQ7" i="6"/>
  <c r="FY7" i="6"/>
  <c r="GG7" i="6"/>
  <c r="GO7" i="6"/>
  <c r="H2" i="6"/>
  <c r="S2" i="6"/>
  <c r="AD2" i="6"/>
  <c r="AN2" i="6"/>
  <c r="AY2" i="6"/>
  <c r="BJ2" i="6"/>
  <c r="BT2" i="6"/>
  <c r="CE2" i="6"/>
  <c r="CP2" i="6"/>
  <c r="CZ2" i="6"/>
  <c r="DK2" i="6"/>
  <c r="DV2" i="6"/>
  <c r="EF2" i="6"/>
  <c r="EQ2" i="6"/>
  <c r="FB2" i="6"/>
  <c r="FL2" i="6"/>
  <c r="FW2" i="6"/>
  <c r="GH2" i="6"/>
  <c r="GR2" i="6"/>
  <c r="K3" i="6"/>
  <c r="V3" i="6"/>
  <c r="AF3" i="6"/>
  <c r="AQ3" i="6"/>
  <c r="BB3" i="6"/>
  <c r="BL3" i="6"/>
  <c r="BW3" i="6"/>
  <c r="CH3" i="6"/>
  <c r="CR3" i="6"/>
  <c r="DC3" i="6"/>
  <c r="DN3" i="6"/>
  <c r="DX3" i="6"/>
  <c r="EI3" i="6"/>
  <c r="ET3" i="6"/>
  <c r="FD3" i="6"/>
  <c r="FO3" i="6"/>
  <c r="FZ3" i="6"/>
  <c r="GJ3" i="6"/>
  <c r="C4" i="6"/>
  <c r="N4" i="6"/>
  <c r="X4" i="6"/>
  <c r="AI4" i="6"/>
  <c r="AT4" i="6"/>
  <c r="BD4" i="6"/>
  <c r="BO4" i="6"/>
  <c r="BZ4" i="6"/>
  <c r="CJ4" i="6"/>
  <c r="CU4" i="6"/>
  <c r="DF4" i="6"/>
  <c r="DP4" i="6"/>
  <c r="EA4" i="6"/>
  <c r="EL4" i="6"/>
  <c r="ET4" i="6"/>
  <c r="FB4" i="6"/>
  <c r="FJ4" i="6"/>
  <c r="FR4" i="6"/>
  <c r="FZ4" i="6"/>
  <c r="GH4" i="6"/>
  <c r="GP4" i="6"/>
  <c r="F5" i="6"/>
  <c r="N5" i="6"/>
  <c r="V5" i="6"/>
  <c r="AD5" i="6"/>
  <c r="AL5" i="6"/>
  <c r="AT5" i="6"/>
  <c r="BB5" i="6"/>
  <c r="BJ5" i="6"/>
  <c r="BR5" i="6"/>
  <c r="BZ5" i="6"/>
  <c r="CH5" i="6"/>
  <c r="CP5" i="6"/>
  <c r="CX5" i="6"/>
  <c r="DF5" i="6"/>
  <c r="DN5" i="6"/>
  <c r="DV5" i="6"/>
  <c r="ED5" i="6"/>
  <c r="EL5" i="6"/>
  <c r="ET5" i="6"/>
  <c r="FB5" i="6"/>
  <c r="FJ5" i="6"/>
  <c r="FR5" i="6"/>
  <c r="FZ5" i="6"/>
  <c r="GH5" i="6"/>
  <c r="GP5" i="6"/>
  <c r="F6" i="6"/>
  <c r="N6" i="6"/>
  <c r="V6" i="6"/>
  <c r="AD6" i="6"/>
  <c r="AL6" i="6"/>
  <c r="AT6" i="6"/>
  <c r="BB6" i="6"/>
  <c r="BJ6" i="6"/>
  <c r="BR6" i="6"/>
  <c r="BZ6" i="6"/>
  <c r="CH6" i="6"/>
  <c r="CP6" i="6"/>
  <c r="CX6" i="6"/>
  <c r="DF6" i="6"/>
  <c r="DN6" i="6"/>
  <c r="DV6" i="6"/>
  <c r="ED6" i="6"/>
  <c r="EL6" i="6"/>
  <c r="ET6" i="6"/>
  <c r="FB6" i="6"/>
  <c r="FJ6" i="6"/>
  <c r="FR6" i="6"/>
  <c r="FZ6" i="6"/>
  <c r="GH6" i="6"/>
  <c r="GP6" i="6"/>
  <c r="F7" i="6"/>
  <c r="N7" i="6"/>
  <c r="V7" i="6"/>
  <c r="AD7" i="6"/>
  <c r="AL7" i="6"/>
  <c r="AT7" i="6"/>
  <c r="BB7" i="6"/>
  <c r="BJ7" i="6"/>
  <c r="BR7" i="6"/>
  <c r="BZ7" i="6"/>
  <c r="CH7" i="6"/>
  <c r="CP7" i="6"/>
  <c r="CX7" i="6"/>
  <c r="DF7" i="6"/>
  <c r="DN7" i="6"/>
  <c r="DV7" i="6"/>
  <c r="I2" i="6"/>
  <c r="T2" i="6"/>
  <c r="AE2" i="6"/>
  <c r="AO2" i="6"/>
  <c r="AZ2" i="6"/>
  <c r="BK2" i="6"/>
  <c r="BU2" i="6"/>
  <c r="CF2" i="6"/>
  <c r="CQ2" i="6"/>
  <c r="DA2" i="6"/>
  <c r="DL2" i="6"/>
  <c r="DW2" i="6"/>
  <c r="EG2" i="6"/>
  <c r="ER2" i="6"/>
  <c r="FC2" i="6"/>
  <c r="FM2" i="6"/>
  <c r="FX2" i="6"/>
  <c r="GI2" i="6"/>
  <c r="A3" i="6"/>
  <c r="L3" i="6"/>
  <c r="W3" i="6"/>
  <c r="AG3" i="6"/>
  <c r="AR3" i="6"/>
  <c r="BC3" i="6"/>
  <c r="BM3" i="6"/>
  <c r="BX3" i="6"/>
  <c r="CI3" i="6"/>
  <c r="CS3" i="6"/>
  <c r="DD3" i="6"/>
  <c r="DO3" i="6"/>
  <c r="DY3" i="6"/>
  <c r="EJ3" i="6"/>
  <c r="EU3" i="6"/>
  <c r="FE3" i="6"/>
  <c r="FP3" i="6"/>
  <c r="GA3" i="6"/>
  <c r="GK3" i="6"/>
  <c r="D4" i="6"/>
  <c r="O4" i="6"/>
  <c r="Y4" i="6"/>
  <c r="AJ4" i="6"/>
  <c r="AU4" i="6"/>
  <c r="BE4" i="6"/>
  <c r="BP4" i="6"/>
  <c r="CA4" i="6"/>
  <c r="CK4" i="6"/>
  <c r="CV4" i="6"/>
  <c r="DG4" i="6"/>
  <c r="DQ4" i="6"/>
  <c r="EB4" i="6"/>
  <c r="EM4" i="6"/>
  <c r="EU4" i="6"/>
  <c r="FC4" i="6"/>
  <c r="FK4" i="6"/>
  <c r="FS4" i="6"/>
  <c r="GA4" i="6"/>
  <c r="GI4" i="6"/>
  <c r="GQ4" i="6"/>
  <c r="G5" i="6"/>
  <c r="O5" i="6"/>
  <c r="W5" i="6"/>
  <c r="AE5" i="6"/>
  <c r="AM5" i="6"/>
  <c r="AU5" i="6"/>
  <c r="BC5" i="6"/>
  <c r="BK5" i="6"/>
  <c r="BS5" i="6"/>
  <c r="CA5" i="6"/>
  <c r="CI5" i="6"/>
  <c r="CQ5" i="6"/>
  <c r="CY5" i="6"/>
  <c r="DG5" i="6"/>
  <c r="DO5" i="6"/>
  <c r="DW5" i="6"/>
  <c r="EE5" i="6"/>
  <c r="EM5" i="6"/>
  <c r="EU5" i="6"/>
  <c r="FC5" i="6"/>
  <c r="FK5" i="6"/>
  <c r="FS5" i="6"/>
  <c r="GA5" i="6"/>
  <c r="GI5" i="6"/>
  <c r="GQ5" i="6"/>
  <c r="G6" i="6"/>
  <c r="O6" i="6"/>
  <c r="W6" i="6"/>
  <c r="AE6" i="6"/>
  <c r="AM6" i="6"/>
  <c r="AU6" i="6"/>
  <c r="BC6" i="6"/>
  <c r="BK6" i="6"/>
  <c r="BS6" i="6"/>
  <c r="CA6" i="6"/>
  <c r="CI6" i="6"/>
  <c r="CQ6" i="6"/>
  <c r="CY6" i="6"/>
  <c r="DG6" i="6"/>
  <c r="DO6" i="6"/>
  <c r="DW6" i="6"/>
  <c r="EE6" i="6"/>
  <c r="EM6" i="6"/>
  <c r="EU6" i="6"/>
  <c r="FC6" i="6"/>
  <c r="FK6" i="6"/>
  <c r="FS6" i="6"/>
  <c r="GA6" i="6"/>
  <c r="GI6" i="6"/>
  <c r="GQ6" i="6"/>
  <c r="G7" i="6"/>
  <c r="O7" i="6"/>
  <c r="W7" i="6"/>
  <c r="AE7" i="6"/>
  <c r="AM7" i="6"/>
  <c r="AU7" i="6"/>
  <c r="BC7" i="6"/>
  <c r="BK7" i="6"/>
  <c r="BS7" i="6"/>
  <c r="CA7" i="6"/>
  <c r="CI7" i="6"/>
  <c r="CQ7" i="6"/>
  <c r="CY7" i="6"/>
  <c r="DG7" i="6"/>
  <c r="DO7" i="6"/>
  <c r="DW7" i="6"/>
  <c r="P2" i="6"/>
  <c r="AT2" i="6"/>
  <c r="BW2" i="6"/>
  <c r="CX2" i="6"/>
  <c r="EA2" i="6"/>
  <c r="FD2" i="6"/>
  <c r="GE2" i="6"/>
  <c r="P3" i="6"/>
  <c r="AT3" i="6"/>
  <c r="BT3" i="6"/>
  <c r="CX3" i="6"/>
  <c r="EA3" i="6"/>
  <c r="FB3" i="6"/>
  <c r="GE3" i="6"/>
  <c r="P4" i="6"/>
  <c r="AQ4" i="6"/>
  <c r="BT4" i="6"/>
  <c r="CX4" i="6"/>
  <c r="DX4" i="6"/>
  <c r="EX4" i="6"/>
  <c r="FT4" i="6"/>
  <c r="GN4" i="6"/>
  <c r="R5" i="6"/>
  <c r="AN5" i="6"/>
  <c r="BH5" i="6"/>
  <c r="CD5" i="6"/>
  <c r="CZ5" i="6"/>
  <c r="DT5" i="6"/>
  <c r="EP5" i="6"/>
  <c r="FL5" i="6"/>
  <c r="GF5" i="6"/>
  <c r="J6" i="6"/>
  <c r="AF6" i="6"/>
  <c r="AZ6" i="6"/>
  <c r="BV6" i="6"/>
  <c r="CR6" i="6"/>
  <c r="DL6" i="6"/>
  <c r="EH6" i="6"/>
  <c r="FD6" i="6"/>
  <c r="FX6" i="6"/>
  <c r="B7" i="6"/>
  <c r="X7" i="6"/>
  <c r="AR7" i="6"/>
  <c r="BN7" i="6"/>
  <c r="CJ7" i="6"/>
  <c r="DD7" i="6"/>
  <c r="DX7" i="6"/>
  <c r="EI7" i="6"/>
  <c r="ET7" i="6"/>
  <c r="FD7" i="6"/>
  <c r="FO7" i="6"/>
  <c r="FZ7" i="6"/>
  <c r="GJ7" i="6"/>
  <c r="B8" i="6"/>
  <c r="J8" i="6"/>
  <c r="R8" i="6"/>
  <c r="Z8" i="6"/>
  <c r="AH8" i="6"/>
  <c r="AP8" i="6"/>
  <c r="AX8" i="6"/>
  <c r="BF8" i="6"/>
  <c r="BN8" i="6"/>
  <c r="BV8" i="6"/>
  <c r="CD8" i="6"/>
  <c r="CL8" i="6"/>
  <c r="CT8" i="6"/>
  <c r="DB8" i="6"/>
  <c r="DJ8" i="6"/>
  <c r="DR8" i="6"/>
  <c r="DZ8" i="6"/>
  <c r="EH8" i="6"/>
  <c r="EP8" i="6"/>
  <c r="EX8" i="6"/>
  <c r="FF8" i="6"/>
  <c r="FN8" i="6"/>
  <c r="FV8" i="6"/>
  <c r="GD8" i="6"/>
  <c r="GL8" i="6"/>
  <c r="B9" i="6"/>
  <c r="J9" i="6"/>
  <c r="R9" i="6"/>
  <c r="Z9" i="6"/>
  <c r="AH9" i="6"/>
  <c r="AP9" i="6"/>
  <c r="AX9" i="6"/>
  <c r="BF9" i="6"/>
  <c r="BN9" i="6"/>
  <c r="BV9" i="6"/>
  <c r="CD9" i="6"/>
  <c r="CL9" i="6"/>
  <c r="CT9" i="6"/>
  <c r="DB9" i="6"/>
  <c r="DJ9" i="6"/>
  <c r="DR9" i="6"/>
  <c r="DZ9" i="6"/>
  <c r="EH9" i="6"/>
  <c r="EP9" i="6"/>
  <c r="EX9" i="6"/>
  <c r="FF9" i="6"/>
  <c r="FN9" i="6"/>
  <c r="FV9" i="6"/>
  <c r="GD9" i="6"/>
  <c r="GL9" i="6"/>
  <c r="B10" i="6"/>
  <c r="J10" i="6"/>
  <c r="R10" i="6"/>
  <c r="Z10" i="6"/>
  <c r="AH10" i="6"/>
  <c r="AP10" i="6"/>
  <c r="AX10" i="6"/>
  <c r="BF10" i="6"/>
  <c r="BN10" i="6"/>
  <c r="BV10" i="6"/>
  <c r="CD10" i="6"/>
  <c r="CL10" i="6"/>
  <c r="CT10" i="6"/>
  <c r="DB10" i="6"/>
  <c r="DJ10" i="6"/>
  <c r="DR10" i="6"/>
  <c r="DZ10" i="6"/>
  <c r="EH10" i="6"/>
  <c r="EP10" i="6"/>
  <c r="EX10" i="6"/>
  <c r="FF10" i="6"/>
  <c r="FN10" i="6"/>
  <c r="FV10" i="6"/>
  <c r="GD10" i="6"/>
  <c r="GL10" i="6"/>
  <c r="B11" i="6"/>
  <c r="J11" i="6"/>
  <c r="R11" i="6"/>
  <c r="Z11" i="6"/>
  <c r="AH11" i="6"/>
  <c r="AP11" i="6"/>
  <c r="AX11" i="6"/>
  <c r="BF11" i="6"/>
  <c r="BN11" i="6"/>
  <c r="BV11" i="6"/>
  <c r="CD11" i="6"/>
  <c r="CL11" i="6"/>
  <c r="CT11" i="6"/>
  <c r="DB11" i="6"/>
  <c r="DJ11" i="6"/>
  <c r="DR11" i="6"/>
  <c r="DZ11" i="6"/>
  <c r="EH11" i="6"/>
  <c r="EP11" i="6"/>
  <c r="EX11" i="6"/>
  <c r="FF11" i="6"/>
  <c r="FN11" i="6"/>
  <c r="V2" i="6"/>
  <c r="AV2" i="6"/>
  <c r="BZ2" i="6"/>
  <c r="DC2" i="6"/>
  <c r="X2" i="6"/>
  <c r="BB2" i="6"/>
  <c r="CB2" i="6"/>
  <c r="DF2" i="6"/>
  <c r="EI2" i="6"/>
  <c r="FJ2" i="6"/>
  <c r="GM2" i="6"/>
  <c r="X3" i="6"/>
  <c r="AY3" i="6"/>
  <c r="CB3" i="6"/>
  <c r="DF3" i="6"/>
  <c r="EF3" i="6"/>
  <c r="FJ3" i="6"/>
  <c r="GM3" i="6"/>
  <c r="V4" i="6"/>
  <c r="AY4" i="6"/>
  <c r="CB4" i="6"/>
  <c r="DC4" i="6"/>
  <c r="EF4" i="6"/>
  <c r="FD4" i="6"/>
  <c r="FX4" i="6"/>
  <c r="B5" i="6"/>
  <c r="X5" i="6"/>
  <c r="AR5" i="6"/>
  <c r="BN5" i="6"/>
  <c r="CJ5" i="6"/>
  <c r="DD5" i="6"/>
  <c r="DZ5" i="6"/>
  <c r="EV5" i="6"/>
  <c r="FP5" i="6"/>
  <c r="GL5" i="6"/>
  <c r="P6" i="6"/>
  <c r="AJ6" i="6"/>
  <c r="BF6" i="6"/>
  <c r="CB6" i="6"/>
  <c r="CV6" i="6"/>
  <c r="DR6" i="6"/>
  <c r="EN6" i="6"/>
  <c r="FH6" i="6"/>
  <c r="GD6" i="6"/>
  <c r="H7" i="6"/>
  <c r="AB7" i="6"/>
  <c r="AX7" i="6"/>
  <c r="BT7" i="6"/>
  <c r="CN7" i="6"/>
  <c r="DJ7" i="6"/>
  <c r="EA7" i="6"/>
  <c r="EL7" i="6"/>
  <c r="EV7" i="6"/>
  <c r="FG7" i="6"/>
  <c r="FR7" i="6"/>
  <c r="GB7" i="6"/>
  <c r="GM7" i="6"/>
  <c r="D8" i="6"/>
  <c r="L8" i="6"/>
  <c r="T8" i="6"/>
  <c r="AB8" i="6"/>
  <c r="AJ8" i="6"/>
  <c r="AR8" i="6"/>
  <c r="AZ8" i="6"/>
  <c r="BH8" i="6"/>
  <c r="BP8" i="6"/>
  <c r="BX8" i="6"/>
  <c r="CF8" i="6"/>
  <c r="CN8" i="6"/>
  <c r="CV8" i="6"/>
  <c r="DD8" i="6"/>
  <c r="DL8" i="6"/>
  <c r="DT8" i="6"/>
  <c r="EB8" i="6"/>
  <c r="EJ8" i="6"/>
  <c r="ER8" i="6"/>
  <c r="EZ8" i="6"/>
  <c r="FH8" i="6"/>
  <c r="FP8" i="6"/>
  <c r="FX8" i="6"/>
  <c r="GF8" i="6"/>
  <c r="GN8" i="6"/>
  <c r="D9" i="6"/>
  <c r="L9" i="6"/>
  <c r="T9" i="6"/>
  <c r="AB9" i="6"/>
  <c r="AJ9" i="6"/>
  <c r="AR9" i="6"/>
  <c r="AZ9" i="6"/>
  <c r="BH9" i="6"/>
  <c r="BP9" i="6"/>
  <c r="BX9" i="6"/>
  <c r="CF9" i="6"/>
  <c r="CN9" i="6"/>
  <c r="CV9" i="6"/>
  <c r="DD9" i="6"/>
  <c r="DL9" i="6"/>
  <c r="DT9" i="6"/>
  <c r="EB9" i="6"/>
  <c r="EJ9" i="6"/>
  <c r="ER9" i="6"/>
  <c r="EZ9" i="6"/>
  <c r="FH9" i="6"/>
  <c r="FP9" i="6"/>
  <c r="FX9" i="6"/>
  <c r="GF9" i="6"/>
  <c r="GN9" i="6"/>
  <c r="D10" i="6"/>
  <c r="L10" i="6"/>
  <c r="T10" i="6"/>
  <c r="AB10" i="6"/>
  <c r="AJ10" i="6"/>
  <c r="AR10" i="6"/>
  <c r="AZ10" i="6"/>
  <c r="BH10" i="6"/>
  <c r="BP10" i="6"/>
  <c r="BX10" i="6"/>
  <c r="CF10" i="6"/>
  <c r="CN10" i="6"/>
  <c r="CV10" i="6"/>
  <c r="DD10" i="6"/>
  <c r="DL10" i="6"/>
  <c r="DT10" i="6"/>
  <c r="EB10" i="6"/>
  <c r="EJ10" i="6"/>
  <c r="ER10" i="6"/>
  <c r="EZ10" i="6"/>
  <c r="FH10" i="6"/>
  <c r="FP10" i="6"/>
  <c r="FX10" i="6"/>
  <c r="GF10" i="6"/>
  <c r="GN10" i="6"/>
  <c r="D11" i="6"/>
  <c r="L11" i="6"/>
  <c r="T11" i="6"/>
  <c r="AB11" i="6"/>
  <c r="AJ11" i="6"/>
  <c r="AR11" i="6"/>
  <c r="AZ11" i="6"/>
  <c r="BH11" i="6"/>
  <c r="BP11" i="6"/>
  <c r="BX11" i="6"/>
  <c r="CF11" i="6"/>
  <c r="CN11" i="6"/>
  <c r="CV11" i="6"/>
  <c r="DD11" i="6"/>
  <c r="DL11" i="6"/>
  <c r="DT11" i="6"/>
  <c r="EB11" i="6"/>
  <c r="EJ11" i="6"/>
  <c r="ER11" i="6"/>
  <c r="EZ11" i="6"/>
  <c r="FH11" i="6"/>
  <c r="FP11" i="6"/>
  <c r="FX11" i="6"/>
  <c r="GF11" i="6"/>
  <c r="GN11" i="6"/>
  <c r="D12" i="6"/>
  <c r="L12" i="6"/>
  <c r="T12" i="6"/>
  <c r="AB12" i="6"/>
  <c r="AJ12" i="6"/>
  <c r="C2" i="6"/>
  <c r="AF2" i="6"/>
  <c r="BG2" i="6"/>
  <c r="CJ2" i="6"/>
  <c r="DN2" i="6"/>
  <c r="EN2" i="6"/>
  <c r="FR2" i="6"/>
  <c r="C3" i="6"/>
  <c r="AD3" i="6"/>
  <c r="BG3" i="6"/>
  <c r="CJ3" i="6"/>
  <c r="DK3" i="6"/>
  <c r="EN3" i="6"/>
  <c r="FR3" i="6"/>
  <c r="GR3" i="6"/>
  <c r="AD4" i="6"/>
  <c r="BG4" i="6"/>
  <c r="CH4" i="6"/>
  <c r="DK4" i="6"/>
  <c r="EN4" i="6"/>
  <c r="FH4" i="6"/>
  <c r="GD4" i="6"/>
  <c r="H5" i="6"/>
  <c r="AB5" i="6"/>
  <c r="AX5" i="6"/>
  <c r="BT5" i="6"/>
  <c r="CN5" i="6"/>
  <c r="DJ5" i="6"/>
  <c r="EF5" i="6"/>
  <c r="EZ5" i="6"/>
  <c r="FV5" i="6"/>
  <c r="GR5" i="6"/>
  <c r="T6" i="6"/>
  <c r="AP6" i="6"/>
  <c r="BL6" i="6"/>
  <c r="CF6" i="6"/>
  <c r="DB6" i="6"/>
  <c r="DX6" i="6"/>
  <c r="ER6" i="6"/>
  <c r="FN6" i="6"/>
  <c r="GJ6" i="6"/>
  <c r="L7" i="6"/>
  <c r="AH7" i="6"/>
  <c r="BD7" i="6"/>
  <c r="BX7" i="6"/>
  <c r="CT7" i="6"/>
  <c r="DP7" i="6"/>
  <c r="ED7" i="6"/>
  <c r="EN7" i="6"/>
  <c r="EY7" i="6"/>
  <c r="FJ7" i="6"/>
  <c r="FT7" i="6"/>
  <c r="GE7" i="6"/>
  <c r="GP7" i="6"/>
  <c r="F8" i="6"/>
  <c r="N8" i="6"/>
  <c r="V8" i="6"/>
  <c r="AD8" i="6"/>
  <c r="AL8" i="6"/>
  <c r="AT8" i="6"/>
  <c r="BB8" i="6"/>
  <c r="BJ8" i="6"/>
  <c r="BR8" i="6"/>
  <c r="BZ8" i="6"/>
  <c r="CH8" i="6"/>
  <c r="CP8" i="6"/>
  <c r="CX8" i="6"/>
  <c r="DF8" i="6"/>
  <c r="DN8" i="6"/>
  <c r="DV8" i="6"/>
  <c r="ED8" i="6"/>
  <c r="EL8" i="6"/>
  <c r="ET8" i="6"/>
  <c r="FB8" i="6"/>
  <c r="FJ8" i="6"/>
  <c r="FR8" i="6"/>
  <c r="FZ8" i="6"/>
  <c r="GH8" i="6"/>
  <c r="GP8" i="6"/>
  <c r="F9" i="6"/>
  <c r="N9" i="6"/>
  <c r="V9" i="6"/>
  <c r="AD9" i="6"/>
  <c r="AL9" i="6"/>
  <c r="AT9" i="6"/>
  <c r="BB9" i="6"/>
  <c r="BJ9" i="6"/>
  <c r="BR9" i="6"/>
  <c r="BZ9" i="6"/>
  <c r="CH9" i="6"/>
  <c r="CP9" i="6"/>
  <c r="CX9" i="6"/>
  <c r="DF9" i="6"/>
  <c r="DN9" i="6"/>
  <c r="DV9" i="6"/>
  <c r="ED9" i="6"/>
  <c r="EL9" i="6"/>
  <c r="ET9" i="6"/>
  <c r="FB9" i="6"/>
  <c r="FJ9" i="6"/>
  <c r="FR9" i="6"/>
  <c r="FZ9" i="6"/>
  <c r="GH9" i="6"/>
  <c r="GP9" i="6"/>
  <c r="F10" i="6"/>
  <c r="N10" i="6"/>
  <c r="V10" i="6"/>
  <c r="AD10" i="6"/>
  <c r="AL10" i="6"/>
  <c r="AT10" i="6"/>
  <c r="BB10" i="6"/>
  <c r="BJ10" i="6"/>
  <c r="BR10" i="6"/>
  <c r="BZ10" i="6"/>
  <c r="CH10" i="6"/>
  <c r="CP10" i="6"/>
  <c r="CX10" i="6"/>
  <c r="DF10" i="6"/>
  <c r="DN10" i="6"/>
  <c r="DV10" i="6"/>
  <c r="ED10" i="6"/>
  <c r="EL10" i="6"/>
  <c r="ET10" i="6"/>
  <c r="FB10" i="6"/>
  <c r="FJ10" i="6"/>
  <c r="FR10" i="6"/>
  <c r="FZ10" i="6"/>
  <c r="GH10" i="6"/>
  <c r="GP10" i="6"/>
  <c r="F11" i="6"/>
  <c r="N11" i="6"/>
  <c r="V11" i="6"/>
  <c r="AD11" i="6"/>
  <c r="AL11" i="6"/>
  <c r="AT11" i="6"/>
  <c r="BB11" i="6"/>
  <c r="BJ11" i="6"/>
  <c r="BR11" i="6"/>
  <c r="BZ11" i="6"/>
  <c r="CH11" i="6"/>
  <c r="CP11" i="6"/>
  <c r="CX11" i="6"/>
  <c r="DF11" i="6"/>
  <c r="DN11" i="6"/>
  <c r="DV11" i="6"/>
  <c r="ED11" i="6"/>
  <c r="EL11" i="6"/>
  <c r="ET11" i="6"/>
  <c r="FB11" i="6"/>
  <c r="FJ11" i="6"/>
  <c r="F2" i="6"/>
  <c r="AI2" i="6"/>
  <c r="BL2" i="6"/>
  <c r="CM2" i="6"/>
  <c r="DP2" i="6"/>
  <c r="ET2" i="6"/>
  <c r="FT2" i="6"/>
  <c r="F3" i="6"/>
  <c r="AI3" i="6"/>
  <c r="BJ3" i="6"/>
  <c r="CM3" i="6"/>
  <c r="DP3" i="6"/>
  <c r="EQ3" i="6"/>
  <c r="FT3" i="6"/>
  <c r="F4" i="6"/>
  <c r="AF4" i="6"/>
  <c r="BJ4" i="6"/>
  <c r="CM4" i="6"/>
  <c r="DN4" i="6"/>
  <c r="EP4" i="6"/>
  <c r="FL4" i="6"/>
  <c r="GF4" i="6"/>
  <c r="J5" i="6"/>
  <c r="AF5" i="6"/>
  <c r="AZ5" i="6"/>
  <c r="BV5" i="6"/>
  <c r="CR5" i="6"/>
  <c r="DL5" i="6"/>
  <c r="EH5" i="6"/>
  <c r="FD5" i="6"/>
  <c r="FX5" i="6"/>
  <c r="B6" i="6"/>
  <c r="X6" i="6"/>
  <c r="AR6" i="6"/>
  <c r="BN6" i="6"/>
  <c r="CJ6" i="6"/>
  <c r="DD6" i="6"/>
  <c r="DZ6" i="6"/>
  <c r="EV6" i="6"/>
  <c r="FP6" i="6"/>
  <c r="GL6" i="6"/>
  <c r="P7" i="6"/>
  <c r="AJ7" i="6"/>
  <c r="BF7" i="6"/>
  <c r="CB7" i="6"/>
  <c r="CV7" i="6"/>
  <c r="DR7" i="6"/>
  <c r="EE7" i="6"/>
  <c r="EP7" i="6"/>
  <c r="EZ7" i="6"/>
  <c r="FK7" i="6"/>
  <c r="FV7" i="6"/>
  <c r="GF7" i="6"/>
  <c r="GQ7" i="6"/>
  <c r="G8" i="6"/>
  <c r="O8" i="6"/>
  <c r="W8" i="6"/>
  <c r="AE8" i="6"/>
  <c r="AM8" i="6"/>
  <c r="AU8" i="6"/>
  <c r="BC8" i="6"/>
  <c r="BK8" i="6"/>
  <c r="BS8" i="6"/>
  <c r="CA8" i="6"/>
  <c r="CI8" i="6"/>
  <c r="CQ8" i="6"/>
  <c r="CY8" i="6"/>
  <c r="DG8" i="6"/>
  <c r="DO8" i="6"/>
  <c r="DW8" i="6"/>
  <c r="EE8" i="6"/>
  <c r="EM8" i="6"/>
  <c r="EU8" i="6"/>
  <c r="FC8" i="6"/>
  <c r="FK8" i="6"/>
  <c r="FS8" i="6"/>
  <c r="GA8" i="6"/>
  <c r="GI8" i="6"/>
  <c r="GQ8" i="6"/>
  <c r="G9" i="6"/>
  <c r="O9" i="6"/>
  <c r="W9" i="6"/>
  <c r="AE9" i="6"/>
  <c r="AM9" i="6"/>
  <c r="AU9" i="6"/>
  <c r="BC9" i="6"/>
  <c r="BK9" i="6"/>
  <c r="BS9" i="6"/>
  <c r="CA9" i="6"/>
  <c r="CI9" i="6"/>
  <c r="CQ9" i="6"/>
  <c r="CY9" i="6"/>
  <c r="DG9" i="6"/>
  <c r="DO9" i="6"/>
  <c r="DW9" i="6"/>
  <c r="EE9" i="6"/>
  <c r="EM9" i="6"/>
  <c r="EU9" i="6"/>
  <c r="FC9" i="6"/>
  <c r="FK9" i="6"/>
  <c r="FS9" i="6"/>
  <c r="GA9" i="6"/>
  <c r="GI9" i="6"/>
  <c r="GQ9" i="6"/>
  <c r="G10" i="6"/>
  <c r="O10" i="6"/>
  <c r="W10" i="6"/>
  <c r="AE10" i="6"/>
  <c r="AM10" i="6"/>
  <c r="AU10" i="6"/>
  <c r="BC10" i="6"/>
  <c r="BK10" i="6"/>
  <c r="BS10" i="6"/>
  <c r="CA10" i="6"/>
  <c r="CI10" i="6"/>
  <c r="CQ10" i="6"/>
  <c r="CY10" i="6"/>
  <c r="DG10" i="6"/>
  <c r="DO10" i="6"/>
  <c r="DW10" i="6"/>
  <c r="K2" i="6"/>
  <c r="AL2" i="6"/>
  <c r="BO2" i="6"/>
  <c r="CR2" i="6"/>
  <c r="DS2" i="6"/>
  <c r="EV2" i="6"/>
  <c r="FZ2" i="6"/>
  <c r="H3" i="6"/>
  <c r="AL3" i="6"/>
  <c r="BO3" i="6"/>
  <c r="CP3" i="6"/>
  <c r="DS3" i="6"/>
  <c r="EV3" i="6"/>
  <c r="FW3" i="6"/>
  <c r="H4" i="6"/>
  <c r="AL4" i="6"/>
  <c r="BL4" i="6"/>
  <c r="CP4" i="6"/>
  <c r="DS4" i="6"/>
  <c r="ER4" i="6"/>
  <c r="FN4" i="6"/>
  <c r="GJ4" i="6"/>
  <c r="L5" i="6"/>
  <c r="AH5" i="6"/>
  <c r="BD5" i="6"/>
  <c r="BX5" i="6"/>
  <c r="CT5" i="6"/>
  <c r="DP5" i="6"/>
  <c r="EJ5" i="6"/>
  <c r="FF5" i="6"/>
  <c r="GB5" i="6"/>
  <c r="D6" i="6"/>
  <c r="Z6" i="6"/>
  <c r="AV6" i="6"/>
  <c r="BP6" i="6"/>
  <c r="CL6" i="6"/>
  <c r="DH6" i="6"/>
  <c r="EB6" i="6"/>
  <c r="EX6" i="6"/>
  <c r="FT6" i="6"/>
  <c r="GN6" i="6"/>
  <c r="R7" i="6"/>
  <c r="AN7" i="6"/>
  <c r="BH7" i="6"/>
  <c r="CD7" i="6"/>
  <c r="CZ7" i="6"/>
  <c r="DS7" i="6"/>
  <c r="EF7" i="6"/>
  <c r="EQ7" i="6"/>
  <c r="FB7" i="6"/>
  <c r="FL7" i="6"/>
  <c r="FW7" i="6"/>
  <c r="GH7" i="6"/>
  <c r="GR7" i="6"/>
  <c r="H8" i="6"/>
  <c r="P8" i="6"/>
  <c r="X8" i="6"/>
  <c r="AF8" i="6"/>
  <c r="AN8" i="6"/>
  <c r="AV8" i="6"/>
  <c r="BD8" i="6"/>
  <c r="BL8" i="6"/>
  <c r="BT8" i="6"/>
  <c r="CB8" i="6"/>
  <c r="CJ8" i="6"/>
  <c r="CR8" i="6"/>
  <c r="CZ8" i="6"/>
  <c r="DH8" i="6"/>
  <c r="DP8" i="6"/>
  <c r="DX8" i="6"/>
  <c r="EF8" i="6"/>
  <c r="EN8" i="6"/>
  <c r="EV8" i="6"/>
  <c r="FD8" i="6"/>
  <c r="FL8" i="6"/>
  <c r="FT8" i="6"/>
  <c r="GB8" i="6"/>
  <c r="GJ8" i="6"/>
  <c r="GR8" i="6"/>
  <c r="H9" i="6"/>
  <c r="P9" i="6"/>
  <c r="X9" i="6"/>
  <c r="AF9" i="6"/>
  <c r="AN9" i="6"/>
  <c r="AV9" i="6"/>
  <c r="BD9" i="6"/>
  <c r="BL9" i="6"/>
  <c r="BT9" i="6"/>
  <c r="CB9" i="6"/>
  <c r="CJ9" i="6"/>
  <c r="CR9" i="6"/>
  <c r="CZ9" i="6"/>
  <c r="DH9" i="6"/>
  <c r="DP9" i="6"/>
  <c r="DX9" i="6"/>
  <c r="EF9" i="6"/>
  <c r="EN9" i="6"/>
  <c r="EV9" i="6"/>
  <c r="FD9" i="6"/>
  <c r="FL9" i="6"/>
  <c r="FT9" i="6"/>
  <c r="GB9" i="6"/>
  <c r="GJ9" i="6"/>
  <c r="GR9" i="6"/>
  <c r="H10" i="6"/>
  <c r="P10" i="6"/>
  <c r="X10" i="6"/>
  <c r="AF10" i="6"/>
  <c r="AN10" i="6"/>
  <c r="AV10" i="6"/>
  <c r="BD10" i="6"/>
  <c r="BL10" i="6"/>
  <c r="BT10" i="6"/>
  <c r="CB10" i="6"/>
  <c r="CJ10" i="6"/>
  <c r="CR10" i="6"/>
  <c r="CZ10" i="6"/>
  <c r="DH10" i="6"/>
  <c r="DP10" i="6"/>
  <c r="DX10" i="6"/>
  <c r="EF10" i="6"/>
  <c r="EN10" i="6"/>
  <c r="EV10" i="6"/>
  <c r="FD10" i="6"/>
  <c r="FL10" i="6"/>
  <c r="FT10" i="6"/>
  <c r="GB10" i="6"/>
  <c r="GJ10" i="6"/>
  <c r="GR10" i="6"/>
  <c r="H11" i="6"/>
  <c r="P11" i="6"/>
  <c r="X11" i="6"/>
  <c r="AF11" i="6"/>
  <c r="AN11" i="6"/>
  <c r="AV11" i="6"/>
  <c r="BD11" i="6"/>
  <c r="BL11" i="6"/>
  <c r="BT11" i="6"/>
  <c r="CB11" i="6"/>
  <c r="CJ11" i="6"/>
  <c r="CR11" i="6"/>
  <c r="CZ11" i="6"/>
  <c r="DH11" i="6"/>
  <c r="DP11" i="6"/>
  <c r="DX11" i="6"/>
  <c r="EF11" i="6"/>
  <c r="EN11" i="6"/>
  <c r="EV11" i="6"/>
  <c r="FD11" i="6"/>
  <c r="FL11" i="6"/>
  <c r="FT11" i="6"/>
  <c r="GB11" i="6"/>
  <c r="GJ11" i="6"/>
  <c r="GR11" i="6"/>
  <c r="H12" i="6"/>
  <c r="P12" i="6"/>
  <c r="X12" i="6"/>
  <c r="AF12" i="6"/>
  <c r="AN12" i="6"/>
  <c r="BR2" i="6"/>
  <c r="FG2" i="6"/>
  <c r="AN3" i="6"/>
  <c r="DH3" i="6"/>
  <c r="GH3" i="6"/>
  <c r="BR4" i="6"/>
  <c r="EI4" i="6"/>
  <c r="GR4" i="6"/>
  <c r="BF5" i="6"/>
  <c r="DH5" i="6"/>
  <c r="FN5" i="6"/>
  <c r="AB6" i="6"/>
  <c r="CD6" i="6"/>
  <c r="EJ6" i="6"/>
  <c r="GR6" i="6"/>
  <c r="AZ7" i="6"/>
  <c r="DH7" i="6"/>
  <c r="ER7" i="6"/>
  <c r="FS7" i="6"/>
  <c r="C8" i="6"/>
  <c r="Y8" i="6"/>
  <c r="AS8" i="6"/>
  <c r="BO8" i="6"/>
  <c r="CK8" i="6"/>
  <c r="DE8" i="6"/>
  <c r="EA8" i="6"/>
  <c r="EW8" i="6"/>
  <c r="FQ8" i="6"/>
  <c r="GM8" i="6"/>
  <c r="Q9" i="6"/>
  <c r="AK9" i="6"/>
  <c r="BG9" i="6"/>
  <c r="CC9" i="6"/>
  <c r="CW9" i="6"/>
  <c r="DS9" i="6"/>
  <c r="EO9" i="6"/>
  <c r="FI9" i="6"/>
  <c r="GE9" i="6"/>
  <c r="I10" i="6"/>
  <c r="AC10" i="6"/>
  <c r="AY10" i="6"/>
  <c r="BU10" i="6"/>
  <c r="CO10" i="6"/>
  <c r="DK10" i="6"/>
  <c r="EE10" i="6"/>
  <c r="EU10" i="6"/>
  <c r="FK10" i="6"/>
  <c r="GA10" i="6"/>
  <c r="GQ10" i="6"/>
  <c r="O11" i="6"/>
  <c r="AE11" i="6"/>
  <c r="AU11" i="6"/>
  <c r="BK11" i="6"/>
  <c r="CA11" i="6"/>
  <c r="CQ11" i="6"/>
  <c r="DG11" i="6"/>
  <c r="DW11" i="6"/>
  <c r="EM11" i="6"/>
  <c r="FC11" i="6"/>
  <c r="FR11" i="6"/>
  <c r="GC11" i="6"/>
  <c r="GM11" i="6"/>
  <c r="F12" i="6"/>
  <c r="Q12" i="6"/>
  <c r="AA12" i="6"/>
  <c r="AL12" i="6"/>
  <c r="AU12" i="6"/>
  <c r="BC12" i="6"/>
  <c r="BK12" i="6"/>
  <c r="BS12" i="6"/>
  <c r="CA12" i="6"/>
  <c r="CI12" i="6"/>
  <c r="CQ12" i="6"/>
  <c r="CY12" i="6"/>
  <c r="DG12" i="6"/>
  <c r="DO12" i="6"/>
  <c r="DW12" i="6"/>
  <c r="EE12" i="6"/>
  <c r="EM12" i="6"/>
  <c r="EU12" i="6"/>
  <c r="FC12" i="6"/>
  <c r="FK12" i="6"/>
  <c r="FS12" i="6"/>
  <c r="GA12" i="6"/>
  <c r="GI12" i="6"/>
  <c r="GQ12" i="6"/>
  <c r="G13" i="6"/>
  <c r="O13" i="6"/>
  <c r="W13" i="6"/>
  <c r="AE13" i="6"/>
  <c r="AM13" i="6"/>
  <c r="AU13" i="6"/>
  <c r="BC13" i="6"/>
  <c r="BK13" i="6"/>
  <c r="BS13" i="6"/>
  <c r="CA13" i="6"/>
  <c r="CI13" i="6"/>
  <c r="CQ13" i="6"/>
  <c r="CY13" i="6"/>
  <c r="DG13" i="6"/>
  <c r="DO13" i="6"/>
  <c r="DW13" i="6"/>
  <c r="EE13" i="6"/>
  <c r="EM13" i="6"/>
  <c r="CH2" i="6"/>
  <c r="FO2" i="6"/>
  <c r="AV3" i="6"/>
  <c r="DV3" i="6"/>
  <c r="GP3" i="6"/>
  <c r="BW4" i="6"/>
  <c r="EV4" i="6"/>
  <c r="D5" i="6"/>
  <c r="BL5" i="6"/>
  <c r="DR5" i="6"/>
  <c r="FT5" i="6"/>
  <c r="AH6" i="6"/>
  <c r="CN6" i="6"/>
  <c r="EP6" i="6"/>
  <c r="D7" i="6"/>
  <c r="BL7" i="6"/>
  <c r="DL7" i="6"/>
  <c r="EU7" i="6"/>
  <c r="FX7" i="6"/>
  <c r="E8" i="6"/>
  <c r="AA8" i="6"/>
  <c r="AW8" i="6"/>
  <c r="BQ8" i="6"/>
  <c r="CM8" i="6"/>
  <c r="DI8" i="6"/>
  <c r="EC8" i="6"/>
  <c r="EY8" i="6"/>
  <c r="FU8" i="6"/>
  <c r="GO8" i="6"/>
  <c r="S9" i="6"/>
  <c r="AO9" i="6"/>
  <c r="BI9" i="6"/>
  <c r="CE9" i="6"/>
  <c r="DA9" i="6"/>
  <c r="DU9" i="6"/>
  <c r="EQ9" i="6"/>
  <c r="FM9" i="6"/>
  <c r="GG9" i="6"/>
  <c r="K10" i="6"/>
  <c r="AG10" i="6"/>
  <c r="BA10" i="6"/>
  <c r="BW10" i="6"/>
  <c r="CS10" i="6"/>
  <c r="DM10" i="6"/>
  <c r="EG10" i="6"/>
  <c r="EW10" i="6"/>
  <c r="FM10" i="6"/>
  <c r="GC10" i="6"/>
  <c r="A11" i="6"/>
  <c r="Q11" i="6"/>
  <c r="AG11" i="6"/>
  <c r="AW11" i="6"/>
  <c r="BM11" i="6"/>
  <c r="CC11" i="6"/>
  <c r="CS11" i="6"/>
  <c r="DI11" i="6"/>
  <c r="DY11" i="6"/>
  <c r="EO11" i="6"/>
  <c r="FE11" i="6"/>
  <c r="FS11" i="6"/>
  <c r="GD11" i="6"/>
  <c r="GO11" i="6"/>
  <c r="G12" i="6"/>
  <c r="R12" i="6"/>
  <c r="AC12" i="6"/>
  <c r="AM12" i="6"/>
  <c r="AV12" i="6"/>
  <c r="BD12" i="6"/>
  <c r="BL12" i="6"/>
  <c r="BT12" i="6"/>
  <c r="CB12" i="6"/>
  <c r="CJ12" i="6"/>
  <c r="CR12" i="6"/>
  <c r="CZ12" i="6"/>
  <c r="DH12" i="6"/>
  <c r="DP12" i="6"/>
  <c r="DX12" i="6"/>
  <c r="EF12" i="6"/>
  <c r="EN12" i="6"/>
  <c r="EV12" i="6"/>
  <c r="FD12" i="6"/>
  <c r="FL12" i="6"/>
  <c r="FT12" i="6"/>
  <c r="GB12" i="6"/>
  <c r="GJ12" i="6"/>
  <c r="GR12" i="6"/>
  <c r="H13" i="6"/>
  <c r="P13" i="6"/>
  <c r="X13" i="6"/>
  <c r="AF13" i="6"/>
  <c r="AN13" i="6"/>
  <c r="AV13" i="6"/>
  <c r="BD13" i="6"/>
  <c r="BL13" i="6"/>
  <c r="BT13" i="6"/>
  <c r="CB13" i="6"/>
  <c r="CJ13" i="6"/>
  <c r="CR13" i="6"/>
  <c r="CZ13" i="6"/>
  <c r="DH13" i="6"/>
  <c r="DP13" i="6"/>
  <c r="DX13" i="6"/>
  <c r="EF13" i="6"/>
  <c r="EN13" i="6"/>
  <c r="EV13" i="6"/>
  <c r="FD13" i="6"/>
  <c r="FL13" i="6"/>
  <c r="FT13" i="6"/>
  <c r="GB13" i="6"/>
  <c r="GJ13" i="6"/>
  <c r="GR13" i="6"/>
  <c r="H14" i="6"/>
  <c r="P14" i="6"/>
  <c r="X14" i="6"/>
  <c r="AF14" i="6"/>
  <c r="AN14" i="6"/>
  <c r="AV14" i="6"/>
  <c r="BD14" i="6"/>
  <c r="BL14" i="6"/>
  <c r="BT14" i="6"/>
  <c r="CB14" i="6"/>
  <c r="CJ14" i="6"/>
  <c r="CR14" i="6"/>
  <c r="CZ14" i="6"/>
  <c r="DH14" i="6"/>
  <c r="DP14" i="6"/>
  <c r="CU2" i="6"/>
  <c r="GB2" i="6"/>
  <c r="BD3" i="6"/>
  <c r="ED3" i="6"/>
  <c r="K4" i="6"/>
  <c r="CE4" i="6"/>
  <c r="EZ4" i="6"/>
  <c r="P5" i="6"/>
  <c r="BP5" i="6"/>
  <c r="DX5" i="6"/>
  <c r="GD5" i="6"/>
  <c r="AN6" i="6"/>
  <c r="CT6" i="6"/>
  <c r="EZ6" i="6"/>
  <c r="J7" i="6"/>
  <c r="BP7" i="6"/>
  <c r="DT7" i="6"/>
  <c r="EX7" i="6"/>
  <c r="GA7" i="6"/>
  <c r="I8" i="6"/>
  <c r="AC8" i="6"/>
  <c r="AY8" i="6"/>
  <c r="BU8" i="6"/>
  <c r="CO8" i="6"/>
  <c r="DK8" i="6"/>
  <c r="EG8" i="6"/>
  <c r="FA8" i="6"/>
  <c r="FW8" i="6"/>
  <c r="A9" i="6"/>
  <c r="U9" i="6"/>
  <c r="AQ9" i="6"/>
  <c r="BM9" i="6"/>
  <c r="CG9" i="6"/>
  <c r="DC9" i="6"/>
  <c r="DY9" i="6"/>
  <c r="ES9" i="6"/>
  <c r="FO9" i="6"/>
  <c r="GK9" i="6"/>
  <c r="M10" i="6"/>
  <c r="AI10" i="6"/>
  <c r="BE10" i="6"/>
  <c r="BY10" i="6"/>
  <c r="CU10" i="6"/>
  <c r="DQ10" i="6"/>
  <c r="EI10" i="6"/>
  <c r="EY10" i="6"/>
  <c r="FO10" i="6"/>
  <c r="GE10" i="6"/>
  <c r="C11" i="6"/>
  <c r="S11" i="6"/>
  <c r="AI11" i="6"/>
  <c r="AY11" i="6"/>
  <c r="BO11" i="6"/>
  <c r="CE11" i="6"/>
  <c r="CU11" i="6"/>
  <c r="DK11" i="6"/>
  <c r="EA11" i="6"/>
  <c r="EQ11" i="6"/>
  <c r="FG11" i="6"/>
  <c r="FU11" i="6"/>
  <c r="GE11" i="6"/>
  <c r="GP11" i="6"/>
  <c r="I12" i="6"/>
  <c r="S12" i="6"/>
  <c r="AD12" i="6"/>
  <c r="AO12" i="6"/>
  <c r="AW12" i="6"/>
  <c r="BE12" i="6"/>
  <c r="BM12" i="6"/>
  <c r="BU12" i="6"/>
  <c r="CC12" i="6"/>
  <c r="CK12" i="6"/>
  <c r="CS12" i="6"/>
  <c r="DA12" i="6"/>
  <c r="DI12" i="6"/>
  <c r="DQ12" i="6"/>
  <c r="DY12" i="6"/>
  <c r="EG12" i="6"/>
  <c r="EO12" i="6"/>
  <c r="EW12" i="6"/>
  <c r="FE12" i="6"/>
  <c r="FM12" i="6"/>
  <c r="FU12" i="6"/>
  <c r="GC12" i="6"/>
  <c r="GK12" i="6"/>
  <c r="A13" i="6"/>
  <c r="I13" i="6"/>
  <c r="Q13" i="6"/>
  <c r="Y13" i="6"/>
  <c r="AG13" i="6"/>
  <c r="AO13" i="6"/>
  <c r="AW13" i="6"/>
  <c r="BE13" i="6"/>
  <c r="BM13" i="6"/>
  <c r="BU13" i="6"/>
  <c r="CC13" i="6"/>
  <c r="CK13" i="6"/>
  <c r="CS13" i="6"/>
  <c r="DA13" i="6"/>
  <c r="DI13" i="6"/>
  <c r="DQ13" i="6"/>
  <c r="DY13" i="6"/>
  <c r="EG13" i="6"/>
  <c r="EO13" i="6"/>
  <c r="DH2" i="6"/>
  <c r="GJ2" i="6"/>
  <c r="BR3" i="6"/>
  <c r="EL3" i="6"/>
  <c r="S4" i="6"/>
  <c r="CR4" i="6"/>
  <c r="FF4" i="6"/>
  <c r="T5" i="6"/>
  <c r="CB5" i="6"/>
  <c r="EB5" i="6"/>
  <c r="GJ5" i="6"/>
  <c r="AX6" i="6"/>
  <c r="CZ6" i="6"/>
  <c r="FF6" i="6"/>
  <c r="T7" i="6"/>
  <c r="BV7" i="6"/>
  <c r="DZ7" i="6"/>
  <c r="FC7" i="6"/>
  <c r="GD7" i="6"/>
  <c r="K8" i="6"/>
  <c r="AG8" i="6"/>
  <c r="BA8" i="6"/>
  <c r="BW8" i="6"/>
  <c r="CS8" i="6"/>
  <c r="DM8" i="6"/>
  <c r="EI8" i="6"/>
  <c r="FE8" i="6"/>
  <c r="FY8" i="6"/>
  <c r="C9" i="6"/>
  <c r="Y9" i="6"/>
  <c r="AS9" i="6"/>
  <c r="BO9" i="6"/>
  <c r="CK9" i="6"/>
  <c r="DE9" i="6"/>
  <c r="EA9" i="6"/>
  <c r="EW9" i="6"/>
  <c r="FQ9" i="6"/>
  <c r="GM9" i="6"/>
  <c r="Q10" i="6"/>
  <c r="AK10" i="6"/>
  <c r="BG10" i="6"/>
  <c r="CC10" i="6"/>
  <c r="CW10" i="6"/>
  <c r="DS10" i="6"/>
  <c r="EK10" i="6"/>
  <c r="FA10" i="6"/>
  <c r="FQ10" i="6"/>
  <c r="GG10" i="6"/>
  <c r="E11" i="6"/>
  <c r="U11" i="6"/>
  <c r="AK11" i="6"/>
  <c r="BA11" i="6"/>
  <c r="BQ11" i="6"/>
  <c r="CG11" i="6"/>
  <c r="CW11" i="6"/>
  <c r="DM11" i="6"/>
  <c r="EC11" i="6"/>
  <c r="ES11" i="6"/>
  <c r="FI11" i="6"/>
  <c r="FV11" i="6"/>
  <c r="GG11" i="6"/>
  <c r="GQ11" i="6"/>
  <c r="J12" i="6"/>
  <c r="U12" i="6"/>
  <c r="AE12" i="6"/>
  <c r="AP12" i="6"/>
  <c r="AX12" i="6"/>
  <c r="BF12" i="6"/>
  <c r="BN12" i="6"/>
  <c r="BV12" i="6"/>
  <c r="CD12" i="6"/>
  <c r="CL12" i="6"/>
  <c r="CT12" i="6"/>
  <c r="DB12" i="6"/>
  <c r="DJ12" i="6"/>
  <c r="DR12" i="6"/>
  <c r="DZ12" i="6"/>
  <c r="EH12" i="6"/>
  <c r="EP12" i="6"/>
  <c r="EX12" i="6"/>
  <c r="FF12" i="6"/>
  <c r="FN12" i="6"/>
  <c r="FV12" i="6"/>
  <c r="N2" i="6"/>
  <c r="DX2" i="6"/>
  <c r="GP2" i="6"/>
  <c r="BZ3" i="6"/>
  <c r="EY3" i="6"/>
  <c r="AA4" i="6"/>
  <c r="CZ4" i="6"/>
  <c r="FP4" i="6"/>
  <c r="Z5" i="6"/>
  <c r="CF5" i="6"/>
  <c r="EN5" i="6"/>
  <c r="GN5" i="6"/>
  <c r="BD6" i="6"/>
  <c r="DJ6" i="6"/>
  <c r="FL6" i="6"/>
  <c r="Z7" i="6"/>
  <c r="CF7" i="6"/>
  <c r="EB7" i="6"/>
  <c r="FF7" i="6"/>
  <c r="GI7" i="6"/>
  <c r="M8" i="6"/>
  <c r="AI8" i="6"/>
  <c r="BE8" i="6"/>
  <c r="BY8" i="6"/>
  <c r="CU8" i="6"/>
  <c r="DQ8" i="6"/>
  <c r="EK8" i="6"/>
  <c r="FG8" i="6"/>
  <c r="GC8" i="6"/>
  <c r="E9" i="6"/>
  <c r="AA9" i="6"/>
  <c r="AW9" i="6"/>
  <c r="BQ9" i="6"/>
  <c r="CM9" i="6"/>
  <c r="DI9" i="6"/>
  <c r="EC9" i="6"/>
  <c r="EY9" i="6"/>
  <c r="FU9" i="6"/>
  <c r="GO9" i="6"/>
  <c r="S10" i="6"/>
  <c r="AO10" i="6"/>
  <c r="BI10" i="6"/>
  <c r="CE10" i="6"/>
  <c r="DA10" i="6"/>
  <c r="DU10" i="6"/>
  <c r="EM10" i="6"/>
  <c r="FC10" i="6"/>
  <c r="FS10" i="6"/>
  <c r="GI10" i="6"/>
  <c r="G11" i="6"/>
  <c r="W11" i="6"/>
  <c r="AM11" i="6"/>
  <c r="BC11" i="6"/>
  <c r="BS11" i="6"/>
  <c r="CI11" i="6"/>
  <c r="CY11" i="6"/>
  <c r="DO11" i="6"/>
  <c r="EE11" i="6"/>
  <c r="EU11" i="6"/>
  <c r="FK11" i="6"/>
  <c r="FW11" i="6"/>
  <c r="GH11" i="6"/>
  <c r="A12" i="6"/>
  <c r="K12" i="6"/>
  <c r="V12" i="6"/>
  <c r="AG12" i="6"/>
  <c r="AQ12" i="6"/>
  <c r="AY12" i="6"/>
  <c r="BG12" i="6"/>
  <c r="BO12" i="6"/>
  <c r="BW12" i="6"/>
  <c r="CE12" i="6"/>
  <c r="CM12" i="6"/>
  <c r="CU12" i="6"/>
  <c r="DC12" i="6"/>
  <c r="DK12" i="6"/>
  <c r="DS12" i="6"/>
  <c r="EA12" i="6"/>
  <c r="EI12" i="6"/>
  <c r="EQ12" i="6"/>
  <c r="EY12" i="6"/>
  <c r="FG12" i="6"/>
  <c r="FO12" i="6"/>
  <c r="FW12" i="6"/>
  <c r="GE12" i="6"/>
  <c r="GM12" i="6"/>
  <c r="C13" i="6"/>
  <c r="K13" i="6"/>
  <c r="S13" i="6"/>
  <c r="AA13" i="6"/>
  <c r="AI13" i="6"/>
  <c r="AQ13" i="6"/>
  <c r="AY13" i="6"/>
  <c r="BG13" i="6"/>
  <c r="BO13" i="6"/>
  <c r="BW13" i="6"/>
  <c r="CE13" i="6"/>
  <c r="CM13" i="6"/>
  <c r="CU13" i="6"/>
  <c r="DC13" i="6"/>
  <c r="DK13" i="6"/>
  <c r="DS13" i="6"/>
  <c r="EA13" i="6"/>
  <c r="EI13" i="6"/>
  <c r="AA2" i="6"/>
  <c r="ED2" i="6"/>
  <c r="N3" i="6"/>
  <c r="CE3" i="6"/>
  <c r="FG3" i="6"/>
  <c r="AN4" i="6"/>
  <c r="DH4" i="6"/>
  <c r="FV4" i="6"/>
  <c r="AJ5" i="6"/>
  <c r="CL5" i="6"/>
  <c r="ER5" i="6"/>
  <c r="H6" i="6"/>
  <c r="BH6" i="6"/>
  <c r="DP6" i="6"/>
  <c r="FV6" i="6"/>
  <c r="AF7" i="6"/>
  <c r="CL7" i="6"/>
  <c r="EH7" i="6"/>
  <c r="FH7" i="6"/>
  <c r="GL7" i="6"/>
  <c r="Q8" i="6"/>
  <c r="AK8" i="6"/>
  <c r="BG8" i="6"/>
  <c r="CC8" i="6"/>
  <c r="CW8" i="6"/>
  <c r="DS8" i="6"/>
  <c r="EO8" i="6"/>
  <c r="FI8" i="6"/>
  <c r="GE8" i="6"/>
  <c r="I9" i="6"/>
  <c r="AC9" i="6"/>
  <c r="AY9" i="6"/>
  <c r="BU9" i="6"/>
  <c r="CO9" i="6"/>
  <c r="DK9" i="6"/>
  <c r="EG9" i="6"/>
  <c r="FA9" i="6"/>
  <c r="FW9" i="6"/>
  <c r="A10" i="6"/>
  <c r="U10" i="6"/>
  <c r="AQ10" i="6"/>
  <c r="BM10" i="6"/>
  <c r="CG10" i="6"/>
  <c r="DC10" i="6"/>
  <c r="DY10" i="6"/>
  <c r="EO10" i="6"/>
  <c r="FE10" i="6"/>
  <c r="FU10" i="6"/>
  <c r="GK10" i="6"/>
  <c r="I11" i="6"/>
  <c r="Y11" i="6"/>
  <c r="AO11" i="6"/>
  <c r="BE11" i="6"/>
  <c r="BU11" i="6"/>
  <c r="CK11" i="6"/>
  <c r="DA11" i="6"/>
  <c r="DQ11" i="6"/>
  <c r="EG11" i="6"/>
  <c r="EW11" i="6"/>
  <c r="FM11" i="6"/>
  <c r="FY11" i="6"/>
  <c r="GI11" i="6"/>
  <c r="B12" i="6"/>
  <c r="M12" i="6"/>
  <c r="W12" i="6"/>
  <c r="AH12" i="6"/>
  <c r="AR12" i="6"/>
  <c r="AZ12" i="6"/>
  <c r="BH12" i="6"/>
  <c r="BP12" i="6"/>
  <c r="BX12" i="6"/>
  <c r="CF12" i="6"/>
  <c r="CN12" i="6"/>
  <c r="CV12" i="6"/>
  <c r="DD12" i="6"/>
  <c r="DL12" i="6"/>
  <c r="DT12" i="6"/>
  <c r="EB12" i="6"/>
  <c r="EJ12" i="6"/>
  <c r="ER12" i="6"/>
  <c r="EZ12" i="6"/>
  <c r="FH12" i="6"/>
  <c r="FP12" i="6"/>
  <c r="FX12" i="6"/>
  <c r="GF12" i="6"/>
  <c r="GN12" i="6"/>
  <c r="D13" i="6"/>
  <c r="L13" i="6"/>
  <c r="T13" i="6"/>
  <c r="AB13" i="6"/>
  <c r="AJ13" i="6"/>
  <c r="AR13" i="6"/>
  <c r="AZ13" i="6"/>
  <c r="BH13" i="6"/>
  <c r="BP13" i="6"/>
  <c r="BX13" i="6"/>
  <c r="CF13" i="6"/>
  <c r="CN13" i="6"/>
  <c r="CV13" i="6"/>
  <c r="DD13" i="6"/>
  <c r="DL13" i="6"/>
  <c r="DT13" i="6"/>
  <c r="EB13" i="6"/>
  <c r="AQ2" i="6"/>
  <c r="EL2" i="6"/>
  <c r="S3" i="6"/>
  <c r="CU3" i="6"/>
  <c r="FL3" i="6"/>
  <c r="AV4" i="6"/>
  <c r="DV4" i="6"/>
  <c r="GB4" i="6"/>
  <c r="AP5" i="6"/>
  <c r="CV5" i="6"/>
  <c r="EX5" i="6"/>
  <c r="L6" i="6"/>
  <c r="BT6" i="6"/>
  <c r="DT6" i="6"/>
  <c r="GB6" i="6"/>
  <c r="AP7" i="6"/>
  <c r="CR7" i="6"/>
  <c r="EJ7" i="6"/>
  <c r="FN7" i="6"/>
  <c r="GN7" i="6"/>
  <c r="S8" i="6"/>
  <c r="AO8" i="6"/>
  <c r="BI8" i="6"/>
  <c r="CE8" i="6"/>
  <c r="DA8" i="6"/>
  <c r="DU8" i="6"/>
  <c r="EQ8" i="6"/>
  <c r="FM8" i="6"/>
  <c r="GG8" i="6"/>
  <c r="K9" i="6"/>
  <c r="AG9" i="6"/>
  <c r="BA9" i="6"/>
  <c r="BW9" i="6"/>
  <c r="CS9" i="6"/>
  <c r="DM9" i="6"/>
  <c r="EI9" i="6"/>
  <c r="FE9" i="6"/>
  <c r="FY9" i="6"/>
  <c r="C10" i="6"/>
  <c r="Y10" i="6"/>
  <c r="AS10" i="6"/>
  <c r="BO10" i="6"/>
  <c r="CK10" i="6"/>
  <c r="DE10" i="6"/>
  <c r="EA10" i="6"/>
  <c r="EQ10" i="6"/>
  <c r="FG10" i="6"/>
  <c r="FW10" i="6"/>
  <c r="GM10" i="6"/>
  <c r="K11" i="6"/>
  <c r="AA11" i="6"/>
  <c r="AQ11" i="6"/>
  <c r="BG11" i="6"/>
  <c r="BW11" i="6"/>
  <c r="CM11" i="6"/>
  <c r="DC11" i="6"/>
  <c r="DS11" i="6"/>
  <c r="EI11" i="6"/>
  <c r="EY11" i="6"/>
  <c r="FO11" i="6"/>
  <c r="FZ11" i="6"/>
  <c r="GK11" i="6"/>
  <c r="C12" i="6"/>
  <c r="N12" i="6"/>
  <c r="Y12" i="6"/>
  <c r="AI12" i="6"/>
  <c r="AS12" i="6"/>
  <c r="BA12" i="6"/>
  <c r="BI12" i="6"/>
  <c r="BQ12" i="6"/>
  <c r="BY12" i="6"/>
  <c r="CG12" i="6"/>
  <c r="CO12" i="6"/>
  <c r="CW12" i="6"/>
  <c r="DE12" i="6"/>
  <c r="DM12" i="6"/>
  <c r="DU12" i="6"/>
  <c r="EC12" i="6"/>
  <c r="EK12" i="6"/>
  <c r="ES12" i="6"/>
  <c r="FA12" i="6"/>
  <c r="FI12" i="6"/>
  <c r="FQ12" i="6"/>
  <c r="FY12" i="6"/>
  <c r="GG12" i="6"/>
  <c r="GO12" i="6"/>
  <c r="E13" i="6"/>
  <c r="M13" i="6"/>
  <c r="U13" i="6"/>
  <c r="AC13" i="6"/>
  <c r="AK13" i="6"/>
  <c r="AS13" i="6"/>
  <c r="BA13" i="6"/>
  <c r="BI13" i="6"/>
  <c r="BQ13" i="6"/>
  <c r="BY13" i="6"/>
  <c r="CG13" i="6"/>
  <c r="CO13" i="6"/>
  <c r="CW13" i="6"/>
  <c r="DE13" i="6"/>
  <c r="DM13" i="6"/>
  <c r="DU13" i="6"/>
  <c r="EC13" i="6"/>
  <c r="GL4" i="6"/>
  <c r="AV7" i="6"/>
  <c r="CG8" i="6"/>
  <c r="BE9" i="6"/>
  <c r="AA10" i="6"/>
  <c r="FY10" i="6"/>
  <c r="DE11" i="6"/>
  <c r="O12" i="6"/>
  <c r="CH12" i="6"/>
  <c r="ET12" i="6"/>
  <c r="GP12" i="6"/>
  <c r="AD13" i="6"/>
  <c r="BJ13" i="6"/>
  <c r="CP13" i="6"/>
  <c r="DV13" i="6"/>
  <c r="EQ13" i="6"/>
  <c r="EZ13" i="6"/>
  <c r="FI13" i="6"/>
  <c r="FR13" i="6"/>
  <c r="GA13" i="6"/>
  <c r="GK13" i="6"/>
  <c r="B14" i="6"/>
  <c r="K14" i="6"/>
  <c r="T14" i="6"/>
  <c r="AC14" i="6"/>
  <c r="AL14" i="6"/>
  <c r="AU14" i="6"/>
  <c r="BE14" i="6"/>
  <c r="BN14" i="6"/>
  <c r="BW14" i="6"/>
  <c r="CF14" i="6"/>
  <c r="CO14" i="6"/>
  <c r="CX14" i="6"/>
  <c r="DG14" i="6"/>
  <c r="DQ14" i="6"/>
  <c r="DY14" i="6"/>
  <c r="EG14" i="6"/>
  <c r="EO14" i="6"/>
  <c r="EW14" i="6"/>
  <c r="FE14" i="6"/>
  <c r="FM14" i="6"/>
  <c r="FU14" i="6"/>
  <c r="GC14" i="6"/>
  <c r="GK14" i="6"/>
  <c r="A15" i="6"/>
  <c r="I15" i="6"/>
  <c r="Q15" i="6"/>
  <c r="Y15" i="6"/>
  <c r="AG15" i="6"/>
  <c r="AO15" i="6"/>
  <c r="AW15" i="6"/>
  <c r="BE15" i="6"/>
  <c r="BM15" i="6"/>
  <c r="BU15" i="6"/>
  <c r="CC15" i="6"/>
  <c r="CK15" i="6"/>
  <c r="CS15" i="6"/>
  <c r="DA15" i="6"/>
  <c r="DI15" i="6"/>
  <c r="DQ15" i="6"/>
  <c r="DY15" i="6"/>
  <c r="EG15" i="6"/>
  <c r="EO15" i="6"/>
  <c r="EW15" i="6"/>
  <c r="FE15" i="6"/>
  <c r="FM15" i="6"/>
  <c r="FU15" i="6"/>
  <c r="GC15" i="6"/>
  <c r="GK15" i="6"/>
  <c r="A16" i="6"/>
  <c r="I16" i="6"/>
  <c r="Q16" i="6"/>
  <c r="Y16" i="6"/>
  <c r="AG16" i="6"/>
  <c r="AO16" i="6"/>
  <c r="AW16" i="6"/>
  <c r="BE16" i="6"/>
  <c r="BM16" i="6"/>
  <c r="BU16" i="6"/>
  <c r="CC16" i="6"/>
  <c r="CK16" i="6"/>
  <c r="CS16" i="6"/>
  <c r="DA16" i="6"/>
  <c r="DI16" i="6"/>
  <c r="DQ16" i="6"/>
  <c r="DY16" i="6"/>
  <c r="EG16" i="6"/>
  <c r="EO16" i="6"/>
  <c r="EW16" i="6"/>
  <c r="FE16" i="6"/>
  <c r="FM16" i="6"/>
  <c r="FU16" i="6"/>
  <c r="GC16" i="6"/>
  <c r="GK16" i="6"/>
  <c r="BD2" i="6"/>
  <c r="AV5" i="6"/>
  <c r="DB7" i="6"/>
  <c r="DC8" i="6"/>
  <c r="BY9" i="6"/>
  <c r="AW10" i="6"/>
  <c r="GO10" i="6"/>
  <c r="DU11" i="6"/>
  <c r="Z12" i="6"/>
  <c r="CP12" i="6"/>
  <c r="FB12" i="6"/>
  <c r="B13" i="6"/>
  <c r="AH13" i="6"/>
  <c r="BN13" i="6"/>
  <c r="CT13" i="6"/>
  <c r="DZ13" i="6"/>
  <c r="ER13" i="6"/>
  <c r="FA13" i="6"/>
  <c r="FJ13" i="6"/>
  <c r="FS13" i="6"/>
  <c r="GC13" i="6"/>
  <c r="GL13" i="6"/>
  <c r="C14" i="6"/>
  <c r="L14" i="6"/>
  <c r="U14" i="6"/>
  <c r="AD14" i="6"/>
  <c r="AM14" i="6"/>
  <c r="AW14" i="6"/>
  <c r="BF14" i="6"/>
  <c r="BO14" i="6"/>
  <c r="BX14" i="6"/>
  <c r="CG14" i="6"/>
  <c r="CP14" i="6"/>
  <c r="CY14" i="6"/>
  <c r="DI14" i="6"/>
  <c r="DR14" i="6"/>
  <c r="DZ14" i="6"/>
  <c r="EH14" i="6"/>
  <c r="EP14" i="6"/>
  <c r="EX14" i="6"/>
  <c r="FF14" i="6"/>
  <c r="FN14" i="6"/>
  <c r="FV14" i="6"/>
  <c r="GD14" i="6"/>
  <c r="GL14" i="6"/>
  <c r="B15" i="6"/>
  <c r="J15" i="6"/>
  <c r="R15" i="6"/>
  <c r="Z15" i="6"/>
  <c r="AH15" i="6"/>
  <c r="AP15" i="6"/>
  <c r="AX15" i="6"/>
  <c r="BF15" i="6"/>
  <c r="BN15" i="6"/>
  <c r="BV15" i="6"/>
  <c r="CD15" i="6"/>
  <c r="CL15" i="6"/>
  <c r="CT15" i="6"/>
  <c r="DB15" i="6"/>
  <c r="DJ15" i="6"/>
  <c r="DR15" i="6"/>
  <c r="DZ15" i="6"/>
  <c r="EH15" i="6"/>
  <c r="EP15" i="6"/>
  <c r="EX15" i="6"/>
  <c r="FF15" i="6"/>
  <c r="FN15" i="6"/>
  <c r="FV15" i="6"/>
  <c r="GD15" i="6"/>
  <c r="GL15" i="6"/>
  <c r="B16" i="6"/>
  <c r="J16" i="6"/>
  <c r="R16" i="6"/>
  <c r="Z16" i="6"/>
  <c r="AH16" i="6"/>
  <c r="AP16" i="6"/>
  <c r="AX16" i="6"/>
  <c r="BF16" i="6"/>
  <c r="BN16" i="6"/>
  <c r="BV16" i="6"/>
  <c r="CD16" i="6"/>
  <c r="CL16" i="6"/>
  <c r="CT16" i="6"/>
  <c r="DB16" i="6"/>
  <c r="DJ16" i="6"/>
  <c r="DR16" i="6"/>
  <c r="DZ16" i="6"/>
  <c r="EH16" i="6"/>
  <c r="EP16" i="6"/>
  <c r="EX16" i="6"/>
  <c r="FF16" i="6"/>
  <c r="FN16" i="6"/>
  <c r="FV16" i="6"/>
  <c r="GD16" i="6"/>
  <c r="GL16" i="6"/>
  <c r="EY2" i="6"/>
  <c r="DB5" i="6"/>
  <c r="EM7" i="6"/>
  <c r="DY8" i="6"/>
  <c r="CU9" i="6"/>
  <c r="BQ10" i="6"/>
  <c r="M11" i="6"/>
  <c r="EK11" i="6"/>
  <c r="AK12" i="6"/>
  <c r="CX12" i="6"/>
  <c r="FJ12" i="6"/>
  <c r="F13" i="6"/>
  <c r="AL13" i="6"/>
  <c r="BR13" i="6"/>
  <c r="CX13" i="6"/>
  <c r="ED13" i="6"/>
  <c r="ES13" i="6"/>
  <c r="FB13" i="6"/>
  <c r="FK13" i="6"/>
  <c r="FU13" i="6"/>
  <c r="GD13" i="6"/>
  <c r="GM13" i="6"/>
  <c r="D14" i="6"/>
  <c r="M14" i="6"/>
  <c r="V14" i="6"/>
  <c r="AE14" i="6"/>
  <c r="AO14" i="6"/>
  <c r="AX14" i="6"/>
  <c r="BG14" i="6"/>
  <c r="BP14" i="6"/>
  <c r="BY14" i="6"/>
  <c r="CH14" i="6"/>
  <c r="CQ14" i="6"/>
  <c r="DA14" i="6"/>
  <c r="DJ14" i="6"/>
  <c r="DS14" i="6"/>
  <c r="EA14" i="6"/>
  <c r="EI14" i="6"/>
  <c r="EQ14" i="6"/>
  <c r="EY14" i="6"/>
  <c r="FG14" i="6"/>
  <c r="FO14" i="6"/>
  <c r="FW14" i="6"/>
  <c r="GE14" i="6"/>
  <c r="GM14" i="6"/>
  <c r="C15" i="6"/>
  <c r="K15" i="6"/>
  <c r="S15" i="6"/>
  <c r="AA15" i="6"/>
  <c r="AI15" i="6"/>
  <c r="AQ15" i="6"/>
  <c r="AY15" i="6"/>
  <c r="BG15" i="6"/>
  <c r="BO15" i="6"/>
  <c r="BW15" i="6"/>
  <c r="CE15" i="6"/>
  <c r="CM15" i="6"/>
  <c r="CU15" i="6"/>
  <c r="DC15" i="6"/>
  <c r="DK15" i="6"/>
  <c r="DS15" i="6"/>
  <c r="EA15" i="6"/>
  <c r="EI15" i="6"/>
  <c r="EQ15" i="6"/>
  <c r="EY15" i="6"/>
  <c r="FG15" i="6"/>
  <c r="FO15" i="6"/>
  <c r="FW15" i="6"/>
  <c r="GE15" i="6"/>
  <c r="GM15" i="6"/>
  <c r="C16" i="6"/>
  <c r="K16" i="6"/>
  <c r="S16" i="6"/>
  <c r="AA16" i="6"/>
  <c r="AI16" i="6"/>
  <c r="AQ16" i="6"/>
  <c r="AY16" i="6"/>
  <c r="BG16" i="6"/>
  <c r="BO16" i="6"/>
  <c r="BW16" i="6"/>
  <c r="CE16" i="6"/>
  <c r="CM16" i="6"/>
  <c r="CU16" i="6"/>
  <c r="DC16" i="6"/>
  <c r="DK16" i="6"/>
  <c r="DS16" i="6"/>
  <c r="EA16" i="6"/>
  <c r="EI16" i="6"/>
  <c r="EQ16" i="6"/>
  <c r="EY16" i="6"/>
  <c r="FG16" i="6"/>
  <c r="FO16" i="6"/>
  <c r="FW16" i="6"/>
  <c r="GE16" i="6"/>
  <c r="GM16" i="6"/>
  <c r="AA3" i="6"/>
  <c r="FH5" i="6"/>
  <c r="FP7" i="6"/>
  <c r="ES8" i="6"/>
  <c r="DQ9" i="6"/>
  <c r="CM10" i="6"/>
  <c r="AC11" i="6"/>
  <c r="FA11" i="6"/>
  <c r="AT12" i="6"/>
  <c r="DF12" i="6"/>
  <c r="FR12" i="6"/>
  <c r="J13" i="6"/>
  <c r="AP13" i="6"/>
  <c r="BV13" i="6"/>
  <c r="DB13" i="6"/>
  <c r="EH13" i="6"/>
  <c r="ET13" i="6"/>
  <c r="FC13" i="6"/>
  <c r="FM13" i="6"/>
  <c r="FV13" i="6"/>
  <c r="GE13" i="6"/>
  <c r="GN13" i="6"/>
  <c r="E14" i="6"/>
  <c r="N14" i="6"/>
  <c r="W14" i="6"/>
  <c r="AG14" i="6"/>
  <c r="AP14" i="6"/>
  <c r="AY14" i="6"/>
  <c r="BH14" i="6"/>
  <c r="BQ14" i="6"/>
  <c r="BZ14" i="6"/>
  <c r="CI14" i="6"/>
  <c r="CS14" i="6"/>
  <c r="DB14" i="6"/>
  <c r="DK14" i="6"/>
  <c r="DT14" i="6"/>
  <c r="EB14" i="6"/>
  <c r="EJ14" i="6"/>
  <c r="ER14" i="6"/>
  <c r="EZ14" i="6"/>
  <c r="FH14" i="6"/>
  <c r="FP14" i="6"/>
  <c r="FX14" i="6"/>
  <c r="GF14" i="6"/>
  <c r="GN14" i="6"/>
  <c r="D15" i="6"/>
  <c r="L15" i="6"/>
  <c r="T15" i="6"/>
  <c r="AB15" i="6"/>
  <c r="AJ15" i="6"/>
  <c r="AR15" i="6"/>
  <c r="AZ15" i="6"/>
  <c r="BH15" i="6"/>
  <c r="BP15" i="6"/>
  <c r="BX15" i="6"/>
  <c r="CF15" i="6"/>
  <c r="CN15" i="6"/>
  <c r="CV15" i="6"/>
  <c r="DD15" i="6"/>
  <c r="DL15" i="6"/>
  <c r="DT15" i="6"/>
  <c r="EB15" i="6"/>
  <c r="EJ15" i="6"/>
  <c r="ER15" i="6"/>
  <c r="EZ15" i="6"/>
  <c r="FH15" i="6"/>
  <c r="FP15" i="6"/>
  <c r="FX15" i="6"/>
  <c r="GF15" i="6"/>
  <c r="GN15" i="6"/>
  <c r="D16" i="6"/>
  <c r="L16" i="6"/>
  <c r="T16" i="6"/>
  <c r="AB16" i="6"/>
  <c r="AJ16" i="6"/>
  <c r="AR16" i="6"/>
  <c r="AZ16" i="6"/>
  <c r="BH16" i="6"/>
  <c r="BP16" i="6"/>
  <c r="BX16" i="6"/>
  <c r="CF16" i="6"/>
  <c r="CN16" i="6"/>
  <c r="CV16" i="6"/>
  <c r="DD16" i="6"/>
  <c r="DL16" i="6"/>
  <c r="DT16" i="6"/>
  <c r="EB16" i="6"/>
  <c r="EJ16" i="6"/>
  <c r="ER16" i="6"/>
  <c r="EZ16" i="6"/>
  <c r="FH16" i="6"/>
  <c r="FP16" i="6"/>
  <c r="FX16" i="6"/>
  <c r="GF16" i="6"/>
  <c r="GN16" i="6"/>
  <c r="CZ3" i="6"/>
  <c r="R6" i="6"/>
  <c r="A8" i="6"/>
  <c r="FO8" i="6"/>
  <c r="EK9" i="6"/>
  <c r="DI10" i="6"/>
  <c r="AS11" i="6"/>
  <c r="FQ11" i="6"/>
  <c r="BB12" i="6"/>
  <c r="DN12" i="6"/>
  <c r="FZ12" i="6"/>
  <c r="N13" i="6"/>
  <c r="AT13" i="6"/>
  <c r="BZ13" i="6"/>
  <c r="DF13" i="6"/>
  <c r="EJ13" i="6"/>
  <c r="EU13" i="6"/>
  <c r="FE13" i="6"/>
  <c r="FN13" i="6"/>
  <c r="FW13" i="6"/>
  <c r="GF13" i="6"/>
  <c r="GO13" i="6"/>
  <c r="F14" i="6"/>
  <c r="O14" i="6"/>
  <c r="Y14" i="6"/>
  <c r="AH14" i="6"/>
  <c r="AQ14" i="6"/>
  <c r="AZ14" i="6"/>
  <c r="BI14" i="6"/>
  <c r="BR14" i="6"/>
  <c r="CA14" i="6"/>
  <c r="CK14" i="6"/>
  <c r="CT14" i="6"/>
  <c r="DC14" i="6"/>
  <c r="DL14" i="6"/>
  <c r="DU14" i="6"/>
  <c r="EC14" i="6"/>
  <c r="EK14" i="6"/>
  <c r="ES14" i="6"/>
  <c r="FA14" i="6"/>
  <c r="FI14" i="6"/>
  <c r="FQ14" i="6"/>
  <c r="FY14" i="6"/>
  <c r="GG14" i="6"/>
  <c r="GO14" i="6"/>
  <c r="E15" i="6"/>
  <c r="M15" i="6"/>
  <c r="U15" i="6"/>
  <c r="AC15" i="6"/>
  <c r="AK15" i="6"/>
  <c r="AS15" i="6"/>
  <c r="BA15" i="6"/>
  <c r="BI15" i="6"/>
  <c r="BQ15" i="6"/>
  <c r="BY15" i="6"/>
  <c r="CG15" i="6"/>
  <c r="CO15" i="6"/>
  <c r="CW15" i="6"/>
  <c r="DE15" i="6"/>
  <c r="DM15" i="6"/>
  <c r="DU15" i="6"/>
  <c r="EC15" i="6"/>
  <c r="EK15" i="6"/>
  <c r="ES15" i="6"/>
  <c r="FA15" i="6"/>
  <c r="FI15" i="6"/>
  <c r="FQ15" i="6"/>
  <c r="FY15" i="6"/>
  <c r="GG15" i="6"/>
  <c r="GO15" i="6"/>
  <c r="E16" i="6"/>
  <c r="M16" i="6"/>
  <c r="U16" i="6"/>
  <c r="AC16" i="6"/>
  <c r="AK16" i="6"/>
  <c r="AS16" i="6"/>
  <c r="BA16" i="6"/>
  <c r="BI16" i="6"/>
  <c r="BQ16" i="6"/>
  <c r="BY16" i="6"/>
  <c r="CG16" i="6"/>
  <c r="CO16" i="6"/>
  <c r="CW16" i="6"/>
  <c r="DE16" i="6"/>
  <c r="DM16" i="6"/>
  <c r="DU16" i="6"/>
  <c r="EC16" i="6"/>
  <c r="EK16" i="6"/>
  <c r="ES16" i="6"/>
  <c r="FA16" i="6"/>
  <c r="FI16" i="6"/>
  <c r="FQ16" i="6"/>
  <c r="FY16" i="6"/>
  <c r="GG16" i="6"/>
  <c r="GO16" i="6"/>
  <c r="GB3" i="6"/>
  <c r="BX6" i="6"/>
  <c r="U8" i="6"/>
  <c r="GK8" i="6"/>
  <c r="FG9" i="6"/>
  <c r="EC10" i="6"/>
  <c r="BI11" i="6"/>
  <c r="GA11" i="6"/>
  <c r="BJ12" i="6"/>
  <c r="DV12" i="6"/>
  <c r="GD12" i="6"/>
  <c r="R13" i="6"/>
  <c r="AX13" i="6"/>
  <c r="CD13" i="6"/>
  <c r="DJ13" i="6"/>
  <c r="EK13" i="6"/>
  <c r="EW13" i="6"/>
  <c r="FF13" i="6"/>
  <c r="FO13" i="6"/>
  <c r="FX13" i="6"/>
  <c r="GG13" i="6"/>
  <c r="GP13" i="6"/>
  <c r="G14" i="6"/>
  <c r="Q14" i="6"/>
  <c r="Z14" i="6"/>
  <c r="AI14" i="6"/>
  <c r="AR14" i="6"/>
  <c r="BA14" i="6"/>
  <c r="BJ14" i="6"/>
  <c r="BS14" i="6"/>
  <c r="CC14" i="6"/>
  <c r="CL14" i="6"/>
  <c r="CU14" i="6"/>
  <c r="DD14" i="6"/>
  <c r="DM14" i="6"/>
  <c r="DV14" i="6"/>
  <c r="ED14" i="6"/>
  <c r="EL14" i="6"/>
  <c r="ET14" i="6"/>
  <c r="FB14" i="6"/>
  <c r="FJ14" i="6"/>
  <c r="FR14" i="6"/>
  <c r="FZ14" i="6"/>
  <c r="GH14" i="6"/>
  <c r="GP14" i="6"/>
  <c r="F15" i="6"/>
  <c r="N15" i="6"/>
  <c r="V15" i="6"/>
  <c r="AD15" i="6"/>
  <c r="AL15" i="6"/>
  <c r="AT15" i="6"/>
  <c r="BB15" i="6"/>
  <c r="BJ15" i="6"/>
  <c r="BR15" i="6"/>
  <c r="BZ15" i="6"/>
  <c r="CH15" i="6"/>
  <c r="CP15" i="6"/>
  <c r="CX15" i="6"/>
  <c r="DF15" i="6"/>
  <c r="DN15" i="6"/>
  <c r="DV15" i="6"/>
  <c r="ED15" i="6"/>
  <c r="EL15" i="6"/>
  <c r="ET15" i="6"/>
  <c r="FB15" i="6"/>
  <c r="FJ15" i="6"/>
  <c r="FR15" i="6"/>
  <c r="FZ15" i="6"/>
  <c r="GH15" i="6"/>
  <c r="GP15" i="6"/>
  <c r="F16" i="6"/>
  <c r="N16" i="6"/>
  <c r="V16" i="6"/>
  <c r="AD16" i="6"/>
  <c r="AL16" i="6"/>
  <c r="AT16" i="6"/>
  <c r="BB16" i="6"/>
  <c r="BJ16" i="6"/>
  <c r="BR16" i="6"/>
  <c r="BZ16" i="6"/>
  <c r="CH16" i="6"/>
  <c r="CP16" i="6"/>
  <c r="CX16" i="6"/>
  <c r="DF16" i="6"/>
  <c r="DN16" i="6"/>
  <c r="DV16" i="6"/>
  <c r="ED16" i="6"/>
  <c r="EL16" i="6"/>
  <c r="ET16" i="6"/>
  <c r="FB16" i="6"/>
  <c r="FJ16" i="6"/>
  <c r="FR16" i="6"/>
  <c r="FZ16" i="6"/>
  <c r="GH16" i="6"/>
  <c r="GP16" i="6"/>
  <c r="BB4" i="6"/>
  <c r="EF6" i="6"/>
  <c r="AQ8" i="6"/>
  <c r="M9" i="6"/>
  <c r="GC9" i="6"/>
  <c r="ES10" i="6"/>
  <c r="BY11" i="6"/>
  <c r="GL11" i="6"/>
  <c r="BR12" i="6"/>
  <c r="ED12" i="6"/>
  <c r="GH12" i="6"/>
  <c r="V13" i="6"/>
  <c r="BB13" i="6"/>
  <c r="CH13" i="6"/>
  <c r="DN13" i="6"/>
  <c r="EL13" i="6"/>
  <c r="EX13" i="6"/>
  <c r="FG13" i="6"/>
  <c r="FP13" i="6"/>
  <c r="FY13" i="6"/>
  <c r="GH13" i="6"/>
  <c r="GQ13" i="6"/>
  <c r="I14" i="6"/>
  <c r="R14" i="6"/>
  <c r="AA14" i="6"/>
  <c r="AJ14" i="6"/>
  <c r="AS14" i="6"/>
  <c r="BB14" i="6"/>
  <c r="BK14" i="6"/>
  <c r="BU14" i="6"/>
  <c r="CD14" i="6"/>
  <c r="CM14" i="6"/>
  <c r="CV14" i="6"/>
  <c r="DE14" i="6"/>
  <c r="DN14" i="6"/>
  <c r="DW14" i="6"/>
  <c r="EE14" i="6"/>
  <c r="EM14" i="6"/>
  <c r="EU14" i="6"/>
  <c r="FC14" i="6"/>
  <c r="FK14" i="6"/>
  <c r="FS14" i="6"/>
  <c r="GA14" i="6"/>
  <c r="GI14" i="6"/>
  <c r="GQ14" i="6"/>
  <c r="G15" i="6"/>
  <c r="O15" i="6"/>
  <c r="W15" i="6"/>
  <c r="AE15" i="6"/>
  <c r="AM15" i="6"/>
  <c r="AU15" i="6"/>
  <c r="BC15" i="6"/>
  <c r="BK15" i="6"/>
  <c r="BS15" i="6"/>
  <c r="CA15" i="6"/>
  <c r="CI15" i="6"/>
  <c r="CQ15" i="6"/>
  <c r="CY15" i="6"/>
  <c r="DG15" i="6"/>
  <c r="DO15" i="6"/>
  <c r="DW15" i="6"/>
  <c r="EE15" i="6"/>
  <c r="EM15" i="6"/>
  <c r="EU15" i="6"/>
  <c r="FC15" i="6"/>
  <c r="FK15" i="6"/>
  <c r="FS15" i="6"/>
  <c r="GA15" i="6"/>
  <c r="GI15" i="6"/>
  <c r="GQ15" i="6"/>
  <c r="G16" i="6"/>
  <c r="O16" i="6"/>
  <c r="W16" i="6"/>
  <c r="AE16" i="6"/>
  <c r="AM16" i="6"/>
  <c r="AU16" i="6"/>
  <c r="BC16" i="6"/>
  <c r="BK16" i="6"/>
  <c r="BS16" i="6"/>
  <c r="CA16" i="6"/>
  <c r="CI16" i="6"/>
  <c r="CQ16" i="6"/>
  <c r="CY16" i="6"/>
  <c r="DG16" i="6"/>
  <c r="DO16" i="6"/>
  <c r="DW16" i="6"/>
  <c r="EE16" i="6"/>
  <c r="EM16" i="6"/>
  <c r="EU16" i="6"/>
  <c r="FC16" i="6"/>
  <c r="FK16" i="6"/>
  <c r="FS16" i="6"/>
  <c r="GA16" i="6"/>
  <c r="GI16" i="6"/>
  <c r="GQ16" i="6"/>
  <c r="ED4" i="6"/>
  <c r="BZ12" i="6"/>
  <c r="EY13" i="6"/>
  <c r="AB14" i="6"/>
  <c r="CW14" i="6"/>
  <c r="FL14" i="6"/>
  <c r="AF15" i="6"/>
  <c r="CR15" i="6"/>
  <c r="FD15" i="6"/>
  <c r="X16" i="6"/>
  <c r="CJ16" i="6"/>
  <c r="EV16" i="6"/>
  <c r="GF6" i="6"/>
  <c r="EL12" i="6"/>
  <c r="FH13" i="6"/>
  <c r="AK14" i="6"/>
  <c r="DF14" i="6"/>
  <c r="FT14" i="6"/>
  <c r="AN15" i="6"/>
  <c r="CZ15" i="6"/>
  <c r="FL15" i="6"/>
  <c r="AF16" i="6"/>
  <c r="CR16" i="6"/>
  <c r="FD16" i="6"/>
  <c r="BM8" i="6"/>
  <c r="GL12" i="6"/>
  <c r="FQ13" i="6"/>
  <c r="AT14" i="6"/>
  <c r="DO14" i="6"/>
  <c r="GB14" i="6"/>
  <c r="AV15" i="6"/>
  <c r="DH15" i="6"/>
  <c r="FT15" i="6"/>
  <c r="AN16" i="6"/>
  <c r="CZ16" i="6"/>
  <c r="FL16" i="6"/>
  <c r="AI9" i="6"/>
  <c r="Z13" i="6"/>
  <c r="FZ13" i="6"/>
  <c r="BC14" i="6"/>
  <c r="DX14" i="6"/>
  <c r="GJ14" i="6"/>
  <c r="BD15" i="6"/>
  <c r="DP15" i="6"/>
  <c r="GB15" i="6"/>
  <c r="AV16" i="6"/>
  <c r="DH16" i="6"/>
  <c r="FT16" i="6"/>
  <c r="E10" i="6"/>
  <c r="BF13" i="6"/>
  <c r="GI13" i="6"/>
  <c r="BM14" i="6"/>
  <c r="EF14" i="6"/>
  <c r="GR14" i="6"/>
  <c r="BL15" i="6"/>
  <c r="DX15" i="6"/>
  <c r="GJ15" i="6"/>
  <c r="BD16" i="6"/>
  <c r="DP16" i="6"/>
  <c r="GB16" i="6"/>
  <c r="FI10" i="6"/>
  <c r="CL13" i="6"/>
  <c r="A14" i="6"/>
  <c r="BV14" i="6"/>
  <c r="EN14" i="6"/>
  <c r="H15" i="6"/>
  <c r="BT15" i="6"/>
  <c r="EF15" i="6"/>
  <c r="GR15" i="6"/>
  <c r="BL16" i="6"/>
  <c r="DX16" i="6"/>
  <c r="GJ16" i="6"/>
  <c r="CO11" i="6"/>
  <c r="DR13" i="6"/>
  <c r="J14" i="6"/>
  <c r="CE14" i="6"/>
  <c r="EV14" i="6"/>
  <c r="P15" i="6"/>
  <c r="CB15" i="6"/>
  <c r="EN15" i="6"/>
  <c r="H16" i="6"/>
  <c r="BT16" i="6"/>
  <c r="EF16" i="6"/>
  <c r="GR16" i="6"/>
  <c r="E12" i="6"/>
  <c r="EP13" i="6"/>
  <c r="S14" i="6"/>
  <c r="CN14" i="6"/>
  <c r="FD14" i="6"/>
  <c r="X15" i="6"/>
  <c r="CJ15" i="6"/>
  <c r="EV15" i="6"/>
  <c r="P16" i="6"/>
  <c r="CB16" i="6"/>
  <c r="EN16" i="6"/>
  <c r="A2" i="7" l="1" a="1"/>
  <c r="B2" i="7" l="1"/>
  <c r="J2" i="7"/>
  <c r="C3" i="7"/>
  <c r="K3" i="7"/>
  <c r="D4" i="7"/>
  <c r="L4" i="7"/>
  <c r="E5" i="7"/>
  <c r="M5" i="7"/>
  <c r="F6" i="7"/>
  <c r="N6" i="7"/>
  <c r="G7" i="7"/>
  <c r="O7" i="7"/>
  <c r="H8" i="7"/>
  <c r="A9" i="7"/>
  <c r="I9" i="7"/>
  <c r="B10" i="7"/>
  <c r="J10" i="7"/>
  <c r="C11" i="7"/>
  <c r="K11" i="7"/>
  <c r="D12" i="7"/>
  <c r="L12" i="7"/>
  <c r="E13" i="7"/>
  <c r="M13" i="7"/>
  <c r="F14" i="7"/>
  <c r="N14" i="7"/>
  <c r="G15" i="7"/>
  <c r="O15" i="7"/>
  <c r="H16" i="7"/>
  <c r="D2" i="7"/>
  <c r="L2" i="7"/>
  <c r="E3" i="7"/>
  <c r="M3" i="7"/>
  <c r="F4" i="7"/>
  <c r="N4" i="7"/>
  <c r="G5" i="7"/>
  <c r="O5" i="7"/>
  <c r="H6" i="7"/>
  <c r="A7" i="7"/>
  <c r="I7" i="7"/>
  <c r="B8" i="7"/>
  <c r="J8" i="7"/>
  <c r="C9" i="7"/>
  <c r="K9" i="7"/>
  <c r="D10" i="7"/>
  <c r="L10" i="7"/>
  <c r="E11" i="7"/>
  <c r="M11" i="7"/>
  <c r="F12" i="7"/>
  <c r="N12" i="7"/>
  <c r="G13" i="7"/>
  <c r="O13" i="7"/>
  <c r="H14" i="7"/>
  <c r="A15" i="7"/>
  <c r="I15" i="7"/>
  <c r="B16" i="7"/>
  <c r="J16" i="7"/>
  <c r="G2" i="7"/>
  <c r="O2" i="7"/>
  <c r="H3" i="7"/>
  <c r="A4" i="7"/>
  <c r="I4" i="7"/>
  <c r="B5" i="7"/>
  <c r="J5" i="7"/>
  <c r="C6" i="7"/>
  <c r="K6" i="7"/>
  <c r="D7" i="7"/>
  <c r="L7" i="7"/>
  <c r="E8" i="7"/>
  <c r="M8" i="7"/>
  <c r="F9" i="7"/>
  <c r="N9" i="7"/>
  <c r="G10" i="7"/>
  <c r="O10" i="7"/>
  <c r="H11" i="7"/>
  <c r="A12" i="7"/>
  <c r="I12" i="7"/>
  <c r="B13" i="7"/>
  <c r="J13" i="7"/>
  <c r="C14" i="7"/>
  <c r="K14" i="7"/>
  <c r="D15" i="7"/>
  <c r="L15" i="7"/>
  <c r="E16" i="7"/>
  <c r="M16" i="7"/>
  <c r="I2" i="7"/>
  <c r="G3" i="7"/>
  <c r="E4" i="7"/>
  <c r="C5" i="7"/>
  <c r="A6" i="7"/>
  <c r="M6" i="7"/>
  <c r="K7" i="7"/>
  <c r="I8" i="7"/>
  <c r="G9" i="7"/>
  <c r="E10" i="7"/>
  <c r="B11" i="7"/>
  <c r="O11" i="7"/>
  <c r="M12" i="7"/>
  <c r="K13" i="7"/>
  <c r="I14" i="7"/>
  <c r="F15" i="7"/>
  <c r="D16" i="7"/>
  <c r="M2" i="7"/>
  <c r="J3" i="7"/>
  <c r="H4" i="7"/>
  <c r="F5" i="7"/>
  <c r="D6" i="7"/>
  <c r="B7" i="7"/>
  <c r="N7" i="7"/>
  <c r="L8" i="7"/>
  <c r="J9" i="7"/>
  <c r="H10" i="7"/>
  <c r="F11" i="7"/>
  <c r="C12" i="7"/>
  <c r="A13" i="7"/>
  <c r="N13" i="7"/>
  <c r="L14" i="7"/>
  <c r="J15" i="7"/>
  <c r="G16" i="7"/>
  <c r="C2" i="7"/>
  <c r="A3" i="7"/>
  <c r="N3" i="7"/>
  <c r="K4" i="7"/>
  <c r="I5" i="7"/>
  <c r="G6" i="7"/>
  <c r="E7" i="7"/>
  <c r="C8" i="7"/>
  <c r="O8" i="7"/>
  <c r="M9" i="7"/>
  <c r="K10" i="7"/>
  <c r="I11" i="7"/>
  <c r="G12" i="7"/>
  <c r="D13" i="7"/>
  <c r="B14" i="7"/>
  <c r="O14" i="7"/>
  <c r="M15" i="7"/>
  <c r="K16" i="7"/>
  <c r="E2" i="7"/>
  <c r="B3" i="7"/>
  <c r="O3" i="7"/>
  <c r="M4" i="7"/>
  <c r="K5" i="7"/>
  <c r="I6" i="7"/>
  <c r="F7" i="7"/>
  <c r="D8" i="7"/>
  <c r="B9" i="7"/>
  <c r="O9" i="7"/>
  <c r="M10" i="7"/>
  <c r="J11" i="7"/>
  <c r="H12" i="7"/>
  <c r="F13" i="7"/>
  <c r="D14" i="7"/>
  <c r="B15" i="7"/>
  <c r="N15" i="7"/>
  <c r="L16" i="7"/>
  <c r="F2" i="7"/>
  <c r="D3" i="7"/>
  <c r="B4" i="7"/>
  <c r="O4" i="7"/>
  <c r="L5" i="7"/>
  <c r="J6" i="7"/>
  <c r="H7" i="7"/>
  <c r="F8" i="7"/>
  <c r="D9" i="7"/>
  <c r="A10" i="7"/>
  <c r="N10" i="7"/>
  <c r="L11" i="7"/>
  <c r="J12" i="7"/>
  <c r="H13" i="7"/>
  <c r="E14" i="7"/>
  <c r="C15" i="7"/>
  <c r="A16" i="7"/>
  <c r="N16" i="7"/>
  <c r="H2" i="7"/>
  <c r="J4" i="7"/>
  <c r="O6" i="7"/>
  <c r="E9" i="7"/>
  <c r="G11" i="7"/>
  <c r="L13" i="7"/>
  <c r="C16" i="7"/>
  <c r="K2" i="7"/>
  <c r="A5" i="7"/>
  <c r="C7" i="7"/>
  <c r="H9" i="7"/>
  <c r="N11" i="7"/>
  <c r="A14" i="7"/>
  <c r="F16" i="7"/>
  <c r="N2" i="7"/>
  <c r="D5" i="7"/>
  <c r="J7" i="7"/>
  <c r="L9" i="7"/>
  <c r="B12" i="7"/>
  <c r="G14" i="7"/>
  <c r="I16" i="7"/>
  <c r="F3" i="7"/>
  <c r="H5" i="7"/>
  <c r="M7" i="7"/>
  <c r="C10" i="7"/>
  <c r="E12" i="7"/>
  <c r="J14" i="7"/>
  <c r="I3" i="7"/>
  <c r="N5" i="7"/>
  <c r="A8" i="7"/>
  <c r="F10" i="7"/>
  <c r="K12" i="7"/>
  <c r="M14" i="7"/>
  <c r="L3" i="7"/>
  <c r="B6" i="7"/>
  <c r="G8" i="7"/>
  <c r="I10" i="7"/>
  <c r="O12" i="7"/>
  <c r="E15" i="7"/>
  <c r="C4" i="7"/>
  <c r="E6" i="7"/>
  <c r="K8" i="7"/>
  <c r="A11" i="7"/>
  <c r="C13" i="7"/>
  <c r="H15" i="7"/>
  <c r="D11" i="7"/>
  <c r="I13" i="7"/>
  <c r="K15" i="7"/>
  <c r="O16" i="7"/>
  <c r="A2" i="7"/>
  <c r="A2" i="8" s="1" a="1"/>
  <c r="G4" i="7"/>
  <c r="L6" i="7"/>
  <c r="N8" i="7"/>
  <c r="D2" i="8" l="1"/>
  <c r="L2" i="8"/>
  <c r="E3" i="8"/>
  <c r="M3" i="8"/>
  <c r="F4" i="8"/>
  <c r="N4" i="8"/>
  <c r="G5" i="8"/>
  <c r="O5" i="8"/>
  <c r="H6" i="8"/>
  <c r="A7" i="8"/>
  <c r="I7" i="8"/>
  <c r="B8" i="8"/>
  <c r="J8" i="8"/>
  <c r="C9" i="8"/>
  <c r="K9" i="8"/>
  <c r="D10" i="8"/>
  <c r="L10" i="8"/>
  <c r="E11" i="8"/>
  <c r="M11" i="8"/>
  <c r="F12" i="8"/>
  <c r="N12" i="8"/>
  <c r="G13" i="8"/>
  <c r="O13" i="8"/>
  <c r="H14" i="8"/>
  <c r="A15" i="8"/>
  <c r="I15" i="8"/>
  <c r="B16" i="8"/>
  <c r="J16" i="8"/>
  <c r="E2" i="8"/>
  <c r="F2" i="8"/>
  <c r="N2" i="8"/>
  <c r="G3" i="8"/>
  <c r="O3" i="8"/>
  <c r="H4" i="8"/>
  <c r="A5" i="8"/>
  <c r="I5" i="8"/>
  <c r="B6" i="8"/>
  <c r="J6" i="8"/>
  <c r="C7" i="8"/>
  <c r="K7" i="8"/>
  <c r="D8" i="8"/>
  <c r="L8" i="8"/>
  <c r="E9" i="8"/>
  <c r="M9" i="8"/>
  <c r="F10" i="8"/>
  <c r="N10" i="8"/>
  <c r="G11" i="8"/>
  <c r="O11" i="8"/>
  <c r="H12" i="8"/>
  <c r="A13" i="8"/>
  <c r="I13" i="8"/>
  <c r="B14" i="8"/>
  <c r="J14" i="8"/>
  <c r="C15" i="8"/>
  <c r="K15" i="8"/>
  <c r="D16" i="8"/>
  <c r="L16" i="8"/>
  <c r="G2" i="8"/>
  <c r="A2" i="8"/>
  <c r="A2" i="9" s="1" a="1"/>
  <c r="I2" i="8"/>
  <c r="B3" i="8"/>
  <c r="J3" i="8"/>
  <c r="C4" i="8"/>
  <c r="K4" i="8"/>
  <c r="D5" i="8"/>
  <c r="L5" i="8"/>
  <c r="E6" i="8"/>
  <c r="M6" i="8"/>
  <c r="F7" i="8"/>
  <c r="N7" i="8"/>
  <c r="G8" i="8"/>
  <c r="O8" i="8"/>
  <c r="H9" i="8"/>
  <c r="A10" i="8"/>
  <c r="I10" i="8"/>
  <c r="B11" i="8"/>
  <c r="J11" i="8"/>
  <c r="C12" i="8"/>
  <c r="K12" i="8"/>
  <c r="D13" i="8"/>
  <c r="L13" i="8"/>
  <c r="E14" i="8"/>
  <c r="M14" i="8"/>
  <c r="F15" i="8"/>
  <c r="N15" i="8"/>
  <c r="G16" i="8"/>
  <c r="O16" i="8"/>
  <c r="B2" i="8"/>
  <c r="J2" i="8"/>
  <c r="C3" i="8"/>
  <c r="K3" i="8"/>
  <c r="D4" i="8"/>
  <c r="L4" i="8"/>
  <c r="E5" i="8"/>
  <c r="M5" i="8"/>
  <c r="F6" i="8"/>
  <c r="N6" i="8"/>
  <c r="G7" i="8"/>
  <c r="O7" i="8"/>
  <c r="H8" i="8"/>
  <c r="A9" i="8"/>
  <c r="I9" i="8"/>
  <c r="B10" i="8"/>
  <c r="J10" i="8"/>
  <c r="C11" i="8"/>
  <c r="K11" i="8"/>
  <c r="D12" i="8"/>
  <c r="L12" i="8"/>
  <c r="E13" i="8"/>
  <c r="M13" i="8"/>
  <c r="F14" i="8"/>
  <c r="N14" i="8"/>
  <c r="G15" i="8"/>
  <c r="O15" i="8"/>
  <c r="H16" i="8"/>
  <c r="M2" i="8"/>
  <c r="N3" i="8"/>
  <c r="O4" i="8"/>
  <c r="A6" i="8"/>
  <c r="B7" i="8"/>
  <c r="C8" i="8"/>
  <c r="D9" i="8"/>
  <c r="E10" i="8"/>
  <c r="F11" i="8"/>
  <c r="G12" i="8"/>
  <c r="H13" i="8"/>
  <c r="I14" i="8"/>
  <c r="J15" i="8"/>
  <c r="K16" i="8"/>
  <c r="A3" i="8"/>
  <c r="B4" i="8"/>
  <c r="C5" i="8"/>
  <c r="D6" i="8"/>
  <c r="E7" i="8"/>
  <c r="F8" i="8"/>
  <c r="G9" i="8"/>
  <c r="H10" i="8"/>
  <c r="I11" i="8"/>
  <c r="J12" i="8"/>
  <c r="K13" i="8"/>
  <c r="L14" i="8"/>
  <c r="M15" i="8"/>
  <c r="N16" i="8"/>
  <c r="D3" i="8"/>
  <c r="E4" i="8"/>
  <c r="F5" i="8"/>
  <c r="G6" i="8"/>
  <c r="H7" i="8"/>
  <c r="I8" i="8"/>
  <c r="J9" i="8"/>
  <c r="K10" i="8"/>
  <c r="F3" i="8"/>
  <c r="G4" i="8"/>
  <c r="H5" i="8"/>
  <c r="I6" i="8"/>
  <c r="J7" i="8"/>
  <c r="K8" i="8"/>
  <c r="L9" i="8"/>
  <c r="M10" i="8"/>
  <c r="N11" i="8"/>
  <c r="O12" i="8"/>
  <c r="A14" i="8"/>
  <c r="B15" i="8"/>
  <c r="C16" i="8"/>
  <c r="C2" i="8"/>
  <c r="H3" i="8"/>
  <c r="I4" i="8"/>
  <c r="J5" i="8"/>
  <c r="K6" i="8"/>
  <c r="L7" i="8"/>
  <c r="M8" i="8"/>
  <c r="N9" i="8"/>
  <c r="O10" i="8"/>
  <c r="A12" i="8"/>
  <c r="B13" i="8"/>
  <c r="C14" i="8"/>
  <c r="D15" i="8"/>
  <c r="E16" i="8"/>
  <c r="H2" i="8"/>
  <c r="I3" i="8"/>
  <c r="J4" i="8"/>
  <c r="K5" i="8"/>
  <c r="L6" i="8"/>
  <c r="M7" i="8"/>
  <c r="N8" i="8"/>
  <c r="O9" i="8"/>
  <c r="A11" i="8"/>
  <c r="B12" i="8"/>
  <c r="C13" i="8"/>
  <c r="D14" i="8"/>
  <c r="E15" i="8"/>
  <c r="F16" i="8"/>
  <c r="L3" i="8"/>
  <c r="A8" i="8"/>
  <c r="L11" i="8"/>
  <c r="K14" i="8"/>
  <c r="A4" i="8"/>
  <c r="E8" i="8"/>
  <c r="E12" i="8"/>
  <c r="O14" i="8"/>
  <c r="M4" i="8"/>
  <c r="B9" i="8"/>
  <c r="I12" i="8"/>
  <c r="H15" i="8"/>
  <c r="B5" i="8"/>
  <c r="F9" i="8"/>
  <c r="M12" i="8"/>
  <c r="L15" i="8"/>
  <c r="N5" i="8"/>
  <c r="C10" i="8"/>
  <c r="F13" i="8"/>
  <c r="A16" i="8"/>
  <c r="C6" i="8"/>
  <c r="G10" i="8"/>
  <c r="J13" i="8"/>
  <c r="I16" i="8"/>
  <c r="K2" i="8"/>
  <c r="O6" i="8"/>
  <c r="D11" i="8"/>
  <c r="N13" i="8"/>
  <c r="M16" i="8"/>
  <c r="O2" i="8"/>
  <c r="D7" i="8"/>
  <c r="H11" i="8"/>
  <c r="G14" i="8"/>
  <c r="E2" i="9" l="1"/>
  <c r="M2" i="9"/>
  <c r="U2" i="9"/>
  <c r="AC2" i="9"/>
  <c r="AK2" i="9"/>
  <c r="AS2" i="9"/>
  <c r="BA2" i="9"/>
  <c r="BI2" i="9"/>
  <c r="BQ2" i="9"/>
  <c r="BY2" i="9"/>
  <c r="CG2" i="9"/>
  <c r="CO2" i="9"/>
  <c r="CW2" i="9"/>
  <c r="DE2" i="9"/>
  <c r="DM2" i="9"/>
  <c r="DU2" i="9"/>
  <c r="EC2" i="9"/>
  <c r="EK2" i="9"/>
  <c r="ES2" i="9"/>
  <c r="FA2" i="9"/>
  <c r="FI2" i="9"/>
  <c r="FQ2" i="9"/>
  <c r="FY2" i="9"/>
  <c r="GG2" i="9"/>
  <c r="GO2" i="9"/>
  <c r="E3" i="9"/>
  <c r="M3" i="9"/>
  <c r="U3" i="9"/>
  <c r="AC3" i="9"/>
  <c r="AK3" i="9"/>
  <c r="AS3" i="9"/>
  <c r="BA3" i="9"/>
  <c r="BI3" i="9"/>
  <c r="BQ3" i="9"/>
  <c r="BY3" i="9"/>
  <c r="CG3" i="9"/>
  <c r="CO3" i="9"/>
  <c r="CW3" i="9"/>
  <c r="DE3" i="9"/>
  <c r="DM3" i="9"/>
  <c r="DU3" i="9"/>
  <c r="EC3" i="9"/>
  <c r="EK3" i="9"/>
  <c r="ES3" i="9"/>
  <c r="FA3" i="9"/>
  <c r="FI3" i="9"/>
  <c r="FQ3" i="9"/>
  <c r="FY3" i="9"/>
  <c r="GG3" i="9"/>
  <c r="GO3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FI4" i="9"/>
  <c r="FQ4" i="9"/>
  <c r="FY4" i="9"/>
  <c r="GG4" i="9"/>
  <c r="GO4" i="9"/>
  <c r="E5" i="9"/>
  <c r="M5" i="9"/>
  <c r="U5" i="9"/>
  <c r="AC5" i="9"/>
  <c r="AK5" i="9"/>
  <c r="AS5" i="9"/>
  <c r="G2" i="9"/>
  <c r="P2" i="9"/>
  <c r="Y2" i="9"/>
  <c r="AH2" i="9"/>
  <c r="AQ2" i="9"/>
  <c r="AZ2" i="9"/>
  <c r="BJ2" i="9"/>
  <c r="BS2" i="9"/>
  <c r="CB2" i="9"/>
  <c r="CK2" i="9"/>
  <c r="CT2" i="9"/>
  <c r="DC2" i="9"/>
  <c r="DL2" i="9"/>
  <c r="DV2" i="9"/>
  <c r="EE2" i="9"/>
  <c r="EN2" i="9"/>
  <c r="EW2" i="9"/>
  <c r="FF2" i="9"/>
  <c r="FO2" i="9"/>
  <c r="FX2" i="9"/>
  <c r="GH2" i="9"/>
  <c r="GQ2" i="9"/>
  <c r="H3" i="9"/>
  <c r="Q3" i="9"/>
  <c r="Z3" i="9"/>
  <c r="AI3" i="9"/>
  <c r="AR3" i="9"/>
  <c r="BB3" i="9"/>
  <c r="BK3" i="9"/>
  <c r="BT3" i="9"/>
  <c r="CC3" i="9"/>
  <c r="CL3" i="9"/>
  <c r="CU3" i="9"/>
  <c r="DD3" i="9"/>
  <c r="DN3" i="9"/>
  <c r="DW3" i="9"/>
  <c r="EF3" i="9"/>
  <c r="EO3" i="9"/>
  <c r="EX3" i="9"/>
  <c r="FG3" i="9"/>
  <c r="FP3" i="9"/>
  <c r="FZ3" i="9"/>
  <c r="GI3" i="9"/>
  <c r="GR3" i="9"/>
  <c r="I4" i="9"/>
  <c r="R4" i="9"/>
  <c r="AA4" i="9"/>
  <c r="AJ4" i="9"/>
  <c r="AT4" i="9"/>
  <c r="BC4" i="9"/>
  <c r="BL4" i="9"/>
  <c r="BU4" i="9"/>
  <c r="CD4" i="9"/>
  <c r="CM4" i="9"/>
  <c r="CV4" i="9"/>
  <c r="DF4" i="9"/>
  <c r="DO4" i="9"/>
  <c r="DX4" i="9"/>
  <c r="EG4" i="9"/>
  <c r="EP4" i="9"/>
  <c r="EY4" i="9"/>
  <c r="FH4" i="9"/>
  <c r="FR4" i="9"/>
  <c r="GA4" i="9"/>
  <c r="GJ4" i="9"/>
  <c r="A5" i="9"/>
  <c r="J5" i="9"/>
  <c r="S5" i="9"/>
  <c r="AB5" i="9"/>
  <c r="AL5" i="9"/>
  <c r="AU5" i="9"/>
  <c r="BC5" i="9"/>
  <c r="BK5" i="9"/>
  <c r="BS5" i="9"/>
  <c r="CA5" i="9"/>
  <c r="CI5" i="9"/>
  <c r="CQ5" i="9"/>
  <c r="CY5" i="9"/>
  <c r="DG5" i="9"/>
  <c r="DO5" i="9"/>
  <c r="DW5" i="9"/>
  <c r="H2" i="9"/>
  <c r="Q2" i="9"/>
  <c r="Z2" i="9"/>
  <c r="AI2" i="9"/>
  <c r="AR2" i="9"/>
  <c r="BB2" i="9"/>
  <c r="BK2" i="9"/>
  <c r="BT2" i="9"/>
  <c r="CC2" i="9"/>
  <c r="CL2" i="9"/>
  <c r="CU2" i="9"/>
  <c r="DD2" i="9"/>
  <c r="DN2" i="9"/>
  <c r="DW2" i="9"/>
  <c r="EF2" i="9"/>
  <c r="EO2" i="9"/>
  <c r="EX2" i="9"/>
  <c r="FG2" i="9"/>
  <c r="FP2" i="9"/>
  <c r="FZ2" i="9"/>
  <c r="GI2" i="9"/>
  <c r="GR2" i="9"/>
  <c r="I3" i="9"/>
  <c r="R3" i="9"/>
  <c r="AA3" i="9"/>
  <c r="AJ3" i="9"/>
  <c r="AT3" i="9"/>
  <c r="BC3" i="9"/>
  <c r="BL3" i="9"/>
  <c r="BU3" i="9"/>
  <c r="CD3" i="9"/>
  <c r="CM3" i="9"/>
  <c r="CV3" i="9"/>
  <c r="DF3" i="9"/>
  <c r="DO3" i="9"/>
  <c r="DX3" i="9"/>
  <c r="EG3" i="9"/>
  <c r="EP3" i="9"/>
  <c r="EY3" i="9"/>
  <c r="FH3" i="9"/>
  <c r="FR3" i="9"/>
  <c r="GA3" i="9"/>
  <c r="GJ3" i="9"/>
  <c r="A4" i="9"/>
  <c r="J4" i="9"/>
  <c r="S4" i="9"/>
  <c r="AB4" i="9"/>
  <c r="AL4" i="9"/>
  <c r="AU4" i="9"/>
  <c r="BD4" i="9"/>
  <c r="BM4" i="9"/>
  <c r="BV4" i="9"/>
  <c r="CE4" i="9"/>
  <c r="CN4" i="9"/>
  <c r="CX4" i="9"/>
  <c r="DG4" i="9"/>
  <c r="DP4" i="9"/>
  <c r="DY4" i="9"/>
  <c r="EH4" i="9"/>
  <c r="EQ4" i="9"/>
  <c r="EZ4" i="9"/>
  <c r="FJ4" i="9"/>
  <c r="FS4" i="9"/>
  <c r="GB4" i="9"/>
  <c r="GK4" i="9"/>
  <c r="B5" i="9"/>
  <c r="K5" i="9"/>
  <c r="T5" i="9"/>
  <c r="AD5" i="9"/>
  <c r="AM5" i="9"/>
  <c r="AV5" i="9"/>
  <c r="BD5" i="9"/>
  <c r="BL5" i="9"/>
  <c r="BT5" i="9"/>
  <c r="CB5" i="9"/>
  <c r="CJ5" i="9"/>
  <c r="CR5" i="9"/>
  <c r="CZ5" i="9"/>
  <c r="DH5" i="9"/>
  <c r="DP5" i="9"/>
  <c r="DX5" i="9"/>
  <c r="C2" i="9"/>
  <c r="L2" i="9"/>
  <c r="V2" i="9"/>
  <c r="AE2" i="9"/>
  <c r="AN2" i="9"/>
  <c r="AW2" i="9"/>
  <c r="BF2" i="9"/>
  <c r="BO2" i="9"/>
  <c r="BX2" i="9"/>
  <c r="CH2" i="9"/>
  <c r="CQ2" i="9"/>
  <c r="CZ2" i="9"/>
  <c r="DI2" i="9"/>
  <c r="DR2" i="9"/>
  <c r="EA2" i="9"/>
  <c r="EJ2" i="9"/>
  <c r="ET2" i="9"/>
  <c r="FC2" i="9"/>
  <c r="FL2" i="9"/>
  <c r="FU2" i="9"/>
  <c r="GD2" i="9"/>
  <c r="GM2" i="9"/>
  <c r="D3" i="9"/>
  <c r="N3" i="9"/>
  <c r="W3" i="9"/>
  <c r="AF3" i="9"/>
  <c r="AO3" i="9"/>
  <c r="AX3" i="9"/>
  <c r="BG3" i="9"/>
  <c r="BP3" i="9"/>
  <c r="BZ3" i="9"/>
  <c r="CI3" i="9"/>
  <c r="CR3" i="9"/>
  <c r="DA3" i="9"/>
  <c r="DJ3" i="9"/>
  <c r="DS3" i="9"/>
  <c r="EB3" i="9"/>
  <c r="EL3" i="9"/>
  <c r="EU3" i="9"/>
  <c r="FD3" i="9"/>
  <c r="FM3" i="9"/>
  <c r="FV3" i="9"/>
  <c r="GE3" i="9"/>
  <c r="GN3" i="9"/>
  <c r="F4" i="9"/>
  <c r="O4" i="9"/>
  <c r="X4" i="9"/>
  <c r="AG4" i="9"/>
  <c r="AP4" i="9"/>
  <c r="AY4" i="9"/>
  <c r="BH4" i="9"/>
  <c r="BR4" i="9"/>
  <c r="CA4" i="9"/>
  <c r="CJ4" i="9"/>
  <c r="CS4" i="9"/>
  <c r="DB4" i="9"/>
  <c r="DK4" i="9"/>
  <c r="DT4" i="9"/>
  <c r="ED4" i="9"/>
  <c r="EM4" i="9"/>
  <c r="EV4" i="9"/>
  <c r="FE4" i="9"/>
  <c r="FN4" i="9"/>
  <c r="FW4" i="9"/>
  <c r="GF4" i="9"/>
  <c r="GP4" i="9"/>
  <c r="G5" i="9"/>
  <c r="P5" i="9"/>
  <c r="Y5" i="9"/>
  <c r="AH5" i="9"/>
  <c r="AQ5" i="9"/>
  <c r="AZ5" i="9"/>
  <c r="BH5" i="9"/>
  <c r="BP5" i="9"/>
  <c r="BX5" i="9"/>
  <c r="CF5" i="9"/>
  <c r="CN5" i="9"/>
  <c r="CV5" i="9"/>
  <c r="DD5" i="9"/>
  <c r="DL5" i="9"/>
  <c r="DT5" i="9"/>
  <c r="EB5" i="9"/>
  <c r="K2" i="9"/>
  <c r="AA2" i="9"/>
  <c r="AO2" i="9"/>
  <c r="BD2" i="9"/>
  <c r="BR2" i="9"/>
  <c r="CF2" i="9"/>
  <c r="CV2" i="9"/>
  <c r="DJ2" i="9"/>
  <c r="DY2" i="9"/>
  <c r="EM2" i="9"/>
  <c r="FB2" i="9"/>
  <c r="FR2" i="9"/>
  <c r="GE2" i="9"/>
  <c r="B3" i="9"/>
  <c r="P3" i="9"/>
  <c r="AE3" i="9"/>
  <c r="AU3" i="9"/>
  <c r="BH3" i="9"/>
  <c r="BW3" i="9"/>
  <c r="CK3" i="9"/>
  <c r="CZ3" i="9"/>
  <c r="DP3" i="9"/>
  <c r="ED3" i="9"/>
  <c r="ER3" i="9"/>
  <c r="FF3" i="9"/>
  <c r="FU3" i="9"/>
  <c r="GK3" i="9"/>
  <c r="G4" i="9"/>
  <c r="V4" i="9"/>
  <c r="AI4" i="9"/>
  <c r="AX4" i="9"/>
  <c r="BN4" i="9"/>
  <c r="CB4" i="9"/>
  <c r="CQ4" i="9"/>
  <c r="DD4" i="9"/>
  <c r="DS4" i="9"/>
  <c r="EI4" i="9"/>
  <c r="EW4" i="9"/>
  <c r="FL4" i="9"/>
  <c r="FZ4" i="9"/>
  <c r="GN4" i="9"/>
  <c r="L5" i="9"/>
  <c r="Z5" i="9"/>
  <c r="AO5" i="9"/>
  <c r="BB5" i="9"/>
  <c r="BO5" i="9"/>
  <c r="CC5" i="9"/>
  <c r="CO5" i="9"/>
  <c r="DB5" i="9"/>
  <c r="DN5" i="9"/>
  <c r="EA5" i="9"/>
  <c r="EJ5" i="9"/>
  <c r="ER5" i="9"/>
  <c r="EZ5" i="9"/>
  <c r="FH5" i="9"/>
  <c r="FP5" i="9"/>
  <c r="FX5" i="9"/>
  <c r="GF5" i="9"/>
  <c r="GN5" i="9"/>
  <c r="D6" i="9"/>
  <c r="L6" i="9"/>
  <c r="T6" i="9"/>
  <c r="AB6" i="9"/>
  <c r="AJ6" i="9"/>
  <c r="AR6" i="9"/>
  <c r="AZ6" i="9"/>
  <c r="BH6" i="9"/>
  <c r="BP6" i="9"/>
  <c r="BX6" i="9"/>
  <c r="CF6" i="9"/>
  <c r="CN6" i="9"/>
  <c r="CV6" i="9"/>
  <c r="DD6" i="9"/>
  <c r="DL6" i="9"/>
  <c r="DT6" i="9"/>
  <c r="N2" i="9"/>
  <c r="AB2" i="9"/>
  <c r="AP2" i="9"/>
  <c r="BE2" i="9"/>
  <c r="BU2" i="9"/>
  <c r="CI2" i="9"/>
  <c r="CX2" i="9"/>
  <c r="DK2" i="9"/>
  <c r="DZ2" i="9"/>
  <c r="EP2" i="9"/>
  <c r="FD2" i="9"/>
  <c r="FS2" i="9"/>
  <c r="GF2" i="9"/>
  <c r="C3" i="9"/>
  <c r="S3" i="9"/>
  <c r="AG3" i="9"/>
  <c r="AV3" i="9"/>
  <c r="BJ3" i="9"/>
  <c r="BX3" i="9"/>
  <c r="CN3" i="9"/>
  <c r="DB3" i="9"/>
  <c r="DQ3" i="9"/>
  <c r="EE3" i="9"/>
  <c r="ET3" i="9"/>
  <c r="FJ3" i="9"/>
  <c r="FW3" i="9"/>
  <c r="GL3" i="9"/>
  <c r="H4" i="9"/>
  <c r="W4" i="9"/>
  <c r="AM4" i="9"/>
  <c r="AZ4" i="9"/>
  <c r="BO4" i="9"/>
  <c r="CC4" i="9"/>
  <c r="CR4" i="9"/>
  <c r="DH4" i="9"/>
  <c r="DV4" i="9"/>
  <c r="EJ4" i="9"/>
  <c r="EX4" i="9"/>
  <c r="FM4" i="9"/>
  <c r="GC4" i="9"/>
  <c r="GQ4" i="9"/>
  <c r="N5" i="9"/>
  <c r="AA5" i="9"/>
  <c r="AP5" i="9"/>
  <c r="BE5" i="9"/>
  <c r="BQ5" i="9"/>
  <c r="CD5" i="9"/>
  <c r="CP5" i="9"/>
  <c r="DC5" i="9"/>
  <c r="DQ5" i="9"/>
  <c r="EC5" i="9"/>
  <c r="EK5" i="9"/>
  <c r="ES5" i="9"/>
  <c r="FA5" i="9"/>
  <c r="FI5" i="9"/>
  <c r="FQ5" i="9"/>
  <c r="FY5" i="9"/>
  <c r="GG5" i="9"/>
  <c r="GO5" i="9"/>
  <c r="E6" i="9"/>
  <c r="M6" i="9"/>
  <c r="U6" i="9"/>
  <c r="AC6" i="9"/>
  <c r="AK6" i="9"/>
  <c r="AS6" i="9"/>
  <c r="BA6" i="9"/>
  <c r="BI6" i="9"/>
  <c r="BQ6" i="9"/>
  <c r="BY6" i="9"/>
  <c r="CG6" i="9"/>
  <c r="CO6" i="9"/>
  <c r="CW6" i="9"/>
  <c r="DE6" i="9"/>
  <c r="DM6" i="9"/>
  <c r="DU6" i="9"/>
  <c r="EC6" i="9"/>
  <c r="EK6" i="9"/>
  <c r="ES6" i="9"/>
  <c r="FA6" i="9"/>
  <c r="FI6" i="9"/>
  <c r="FQ6" i="9"/>
  <c r="FY6" i="9"/>
  <c r="GG6" i="9"/>
  <c r="A2" i="9"/>
  <c r="O2" i="9"/>
  <c r="AD2" i="9"/>
  <c r="AT2" i="9"/>
  <c r="BG2" i="9"/>
  <c r="BV2" i="9"/>
  <c r="CJ2" i="9"/>
  <c r="CY2" i="9"/>
  <c r="DO2" i="9"/>
  <c r="EB2" i="9"/>
  <c r="EQ2" i="9"/>
  <c r="FE2" i="9"/>
  <c r="FT2" i="9"/>
  <c r="GJ2" i="9"/>
  <c r="F3" i="9"/>
  <c r="T3" i="9"/>
  <c r="AH3" i="9"/>
  <c r="AW3" i="9"/>
  <c r="BM3" i="9"/>
  <c r="CA3" i="9"/>
  <c r="CP3" i="9"/>
  <c r="DC3" i="9"/>
  <c r="DR3" i="9"/>
  <c r="EH3" i="9"/>
  <c r="EV3" i="9"/>
  <c r="FK3" i="9"/>
  <c r="FX3" i="9"/>
  <c r="GM3" i="9"/>
  <c r="K4" i="9"/>
  <c r="Y4" i="9"/>
  <c r="AN4" i="9"/>
  <c r="BB4" i="9"/>
  <c r="BP4" i="9"/>
  <c r="CF4" i="9"/>
  <c r="CT4" i="9"/>
  <c r="DI4" i="9"/>
  <c r="DW4" i="9"/>
  <c r="EL4" i="9"/>
  <c r="FB4" i="9"/>
  <c r="FO4" i="9"/>
  <c r="GD4" i="9"/>
  <c r="GR4" i="9"/>
  <c r="O5" i="9"/>
  <c r="AE5" i="9"/>
  <c r="AR5" i="9"/>
  <c r="BF5" i="9"/>
  <c r="BR5" i="9"/>
  <c r="CE5" i="9"/>
  <c r="CS5" i="9"/>
  <c r="DE5" i="9"/>
  <c r="DR5" i="9"/>
  <c r="ED5" i="9"/>
  <c r="EL5" i="9"/>
  <c r="ET5" i="9"/>
  <c r="FB5" i="9"/>
  <c r="FJ5" i="9"/>
  <c r="FR5" i="9"/>
  <c r="FZ5" i="9"/>
  <c r="GH5" i="9"/>
  <c r="GP5" i="9"/>
  <c r="F6" i="9"/>
  <c r="N6" i="9"/>
  <c r="V6" i="9"/>
  <c r="AD6" i="9"/>
  <c r="B2" i="9"/>
  <c r="R2" i="9"/>
  <c r="AF2" i="9"/>
  <c r="AU2" i="9"/>
  <c r="BH2" i="9"/>
  <c r="BW2" i="9"/>
  <c r="CM2" i="9"/>
  <c r="DA2" i="9"/>
  <c r="DP2" i="9"/>
  <c r="ED2" i="9"/>
  <c r="ER2" i="9"/>
  <c r="FH2" i="9"/>
  <c r="FV2" i="9"/>
  <c r="GK2" i="9"/>
  <c r="G3" i="9"/>
  <c r="V3" i="9"/>
  <c r="AL3" i="9"/>
  <c r="AY3" i="9"/>
  <c r="BN3" i="9"/>
  <c r="CB3" i="9"/>
  <c r="CQ3" i="9"/>
  <c r="DG3" i="9"/>
  <c r="DT3" i="9"/>
  <c r="EI3" i="9"/>
  <c r="EW3" i="9"/>
  <c r="FL3" i="9"/>
  <c r="GB3" i="9"/>
  <c r="GP3" i="9"/>
  <c r="L4" i="9"/>
  <c r="Z4" i="9"/>
  <c r="AO4" i="9"/>
  <c r="BE4" i="9"/>
  <c r="BS4" i="9"/>
  <c r="CH4" i="9"/>
  <c r="CU4" i="9"/>
  <c r="DJ4" i="9"/>
  <c r="DZ4" i="9"/>
  <c r="EN4" i="9"/>
  <c r="FC4" i="9"/>
  <c r="FP4" i="9"/>
  <c r="GE4" i="9"/>
  <c r="C5" i="9"/>
  <c r="Q5" i="9"/>
  <c r="AF5" i="9"/>
  <c r="AT5" i="9"/>
  <c r="BG5" i="9"/>
  <c r="BU5" i="9"/>
  <c r="CG5" i="9"/>
  <c r="CT5" i="9"/>
  <c r="DF5" i="9"/>
  <c r="DS5" i="9"/>
  <c r="EE5" i="9"/>
  <c r="EM5" i="9"/>
  <c r="EU5" i="9"/>
  <c r="FC5" i="9"/>
  <c r="FK5" i="9"/>
  <c r="D2" i="9"/>
  <c r="S2" i="9"/>
  <c r="AG2" i="9"/>
  <c r="AV2" i="9"/>
  <c r="BL2" i="9"/>
  <c r="BZ2" i="9"/>
  <c r="CN2" i="9"/>
  <c r="DB2" i="9"/>
  <c r="DQ2" i="9"/>
  <c r="EG2" i="9"/>
  <c r="EU2" i="9"/>
  <c r="FJ2" i="9"/>
  <c r="FW2" i="9"/>
  <c r="GL2" i="9"/>
  <c r="J3" i="9"/>
  <c r="X3" i="9"/>
  <c r="AM3" i="9"/>
  <c r="AZ3" i="9"/>
  <c r="BO3" i="9"/>
  <c r="CE3" i="9"/>
  <c r="CS3" i="9"/>
  <c r="DH3" i="9"/>
  <c r="DV3" i="9"/>
  <c r="EJ3" i="9"/>
  <c r="EZ3" i="9"/>
  <c r="FN3" i="9"/>
  <c r="GC3" i="9"/>
  <c r="GQ3" i="9"/>
  <c r="N4" i="9"/>
  <c r="AD4" i="9"/>
  <c r="AQ4" i="9"/>
  <c r="BF4" i="9"/>
  <c r="BT4" i="9"/>
  <c r="CI4" i="9"/>
  <c r="CY4" i="9"/>
  <c r="DL4" i="9"/>
  <c r="EA4" i="9"/>
  <c r="EO4" i="9"/>
  <c r="FD4" i="9"/>
  <c r="FT4" i="9"/>
  <c r="GH4" i="9"/>
  <c r="D5" i="9"/>
  <c r="R5" i="9"/>
  <c r="AG5" i="9"/>
  <c r="AW5" i="9"/>
  <c r="BI5" i="9"/>
  <c r="BV5" i="9"/>
  <c r="CH5" i="9"/>
  <c r="CU5" i="9"/>
  <c r="DI5" i="9"/>
  <c r="DU5" i="9"/>
  <c r="EF5" i="9"/>
  <c r="EN5" i="9"/>
  <c r="EV5" i="9"/>
  <c r="FD5" i="9"/>
  <c r="FL5" i="9"/>
  <c r="FT5" i="9"/>
  <c r="GB5" i="9"/>
  <c r="GJ5" i="9"/>
  <c r="GR5" i="9"/>
  <c r="H6" i="9"/>
  <c r="P6" i="9"/>
  <c r="X6" i="9"/>
  <c r="AF6" i="9"/>
  <c r="AN6" i="9"/>
  <c r="AV6" i="9"/>
  <c r="BD6" i="9"/>
  <c r="BL6" i="9"/>
  <c r="BT6" i="9"/>
  <c r="CB6" i="9"/>
  <c r="CJ6" i="9"/>
  <c r="CR6" i="9"/>
  <c r="CZ6" i="9"/>
  <c r="DH6" i="9"/>
  <c r="DP6" i="9"/>
  <c r="DX6" i="9"/>
  <c r="EF6" i="9"/>
  <c r="EN6" i="9"/>
  <c r="EV6" i="9"/>
  <c r="FD6" i="9"/>
  <c r="FL6" i="9"/>
  <c r="FT6" i="9"/>
  <c r="GB6" i="9"/>
  <c r="GJ6" i="9"/>
  <c r="F2" i="9"/>
  <c r="T2" i="9"/>
  <c r="AJ2" i="9"/>
  <c r="AX2" i="9"/>
  <c r="BM2" i="9"/>
  <c r="CA2" i="9"/>
  <c r="CP2" i="9"/>
  <c r="DF2" i="9"/>
  <c r="DS2" i="9"/>
  <c r="EH2" i="9"/>
  <c r="EV2" i="9"/>
  <c r="FK2" i="9"/>
  <c r="GA2" i="9"/>
  <c r="GN2" i="9"/>
  <c r="K3" i="9"/>
  <c r="Y3" i="9"/>
  <c r="AN3" i="9"/>
  <c r="BD3" i="9"/>
  <c r="BR3" i="9"/>
  <c r="CF3" i="9"/>
  <c r="CT3" i="9"/>
  <c r="DI3" i="9"/>
  <c r="DY3" i="9"/>
  <c r="EM3" i="9"/>
  <c r="FB3" i="9"/>
  <c r="FO3" i="9"/>
  <c r="GD3" i="9"/>
  <c r="B4" i="9"/>
  <c r="P4" i="9"/>
  <c r="AE4" i="9"/>
  <c r="AR4" i="9"/>
  <c r="BG4" i="9"/>
  <c r="BW4" i="9"/>
  <c r="CK4" i="9"/>
  <c r="CZ4" i="9"/>
  <c r="DN4" i="9"/>
  <c r="EB4" i="9"/>
  <c r="ER4" i="9"/>
  <c r="FF4" i="9"/>
  <c r="FU4" i="9"/>
  <c r="GI4" i="9"/>
  <c r="F5" i="9"/>
  <c r="V5" i="9"/>
  <c r="AI5" i="9"/>
  <c r="AX5" i="9"/>
  <c r="BJ5" i="9"/>
  <c r="BW5" i="9"/>
  <c r="CK5" i="9"/>
  <c r="CW5" i="9"/>
  <c r="DJ5" i="9"/>
  <c r="DV5" i="9"/>
  <c r="EG5" i="9"/>
  <c r="EO5" i="9"/>
  <c r="EW5" i="9"/>
  <c r="FE5" i="9"/>
  <c r="FM5" i="9"/>
  <c r="FU5" i="9"/>
  <c r="I2" i="9"/>
  <c r="W2" i="9"/>
  <c r="AL2" i="9"/>
  <c r="AY2" i="9"/>
  <c r="BN2" i="9"/>
  <c r="CD2" i="9"/>
  <c r="CR2" i="9"/>
  <c r="DG2" i="9"/>
  <c r="DT2" i="9"/>
  <c r="EI2" i="9"/>
  <c r="EY2" i="9"/>
  <c r="FM2" i="9"/>
  <c r="GB2" i="9"/>
  <c r="GP2" i="9"/>
  <c r="L3" i="9"/>
  <c r="AB3" i="9"/>
  <c r="AP3" i="9"/>
  <c r="BE3" i="9"/>
  <c r="BS3" i="9"/>
  <c r="CH3" i="9"/>
  <c r="CX3" i="9"/>
  <c r="DK3" i="9"/>
  <c r="DZ3" i="9"/>
  <c r="EN3" i="9"/>
  <c r="FC3" i="9"/>
  <c r="FS3" i="9"/>
  <c r="GF3" i="9"/>
  <c r="C4" i="9"/>
  <c r="Q4" i="9"/>
  <c r="AF4" i="9"/>
  <c r="AV4" i="9"/>
  <c r="BJ4" i="9"/>
  <c r="BX4" i="9"/>
  <c r="CL4" i="9"/>
  <c r="DA4" i="9"/>
  <c r="DQ4" i="9"/>
  <c r="EE4" i="9"/>
  <c r="ET4" i="9"/>
  <c r="FG4" i="9"/>
  <c r="FV4" i="9"/>
  <c r="GL4" i="9"/>
  <c r="H5" i="9"/>
  <c r="W5" i="9"/>
  <c r="AJ5" i="9"/>
  <c r="AY5" i="9"/>
  <c r="BM5" i="9"/>
  <c r="BY5" i="9"/>
  <c r="CL5" i="9"/>
  <c r="CX5" i="9"/>
  <c r="DK5" i="9"/>
  <c r="DY5" i="9"/>
  <c r="EH5" i="9"/>
  <c r="EP5" i="9"/>
  <c r="EX5" i="9"/>
  <c r="FF5" i="9"/>
  <c r="FN5" i="9"/>
  <c r="FV5" i="9"/>
  <c r="J2" i="9"/>
  <c r="X2" i="9"/>
  <c r="AM2" i="9"/>
  <c r="BC2" i="9"/>
  <c r="BP2" i="9"/>
  <c r="CE2" i="9"/>
  <c r="CS2" i="9"/>
  <c r="DH2" i="9"/>
  <c r="DX2" i="9"/>
  <c r="EL2" i="9"/>
  <c r="EZ2" i="9"/>
  <c r="FN2" i="9"/>
  <c r="GC2" i="9"/>
  <c r="A3" i="9"/>
  <c r="O3" i="9"/>
  <c r="AD3" i="9"/>
  <c r="AQ3" i="9"/>
  <c r="BF3" i="9"/>
  <c r="BV3" i="9"/>
  <c r="CJ3" i="9"/>
  <c r="CY3" i="9"/>
  <c r="DL3" i="9"/>
  <c r="EA3" i="9"/>
  <c r="EQ3" i="9"/>
  <c r="FE3" i="9"/>
  <c r="FT3" i="9"/>
  <c r="GH3" i="9"/>
  <c r="D4" i="9"/>
  <c r="T4" i="9"/>
  <c r="AH4" i="9"/>
  <c r="AW4" i="9"/>
  <c r="BK4" i="9"/>
  <c r="BZ4" i="9"/>
  <c r="CP4" i="9"/>
  <c r="DC4" i="9"/>
  <c r="DR4" i="9"/>
  <c r="EF4" i="9"/>
  <c r="EU4" i="9"/>
  <c r="FK4" i="9"/>
  <c r="FX4" i="9"/>
  <c r="GM4" i="9"/>
  <c r="I5" i="9"/>
  <c r="X5" i="9"/>
  <c r="AN5" i="9"/>
  <c r="BA5" i="9"/>
  <c r="BN5" i="9"/>
  <c r="BZ5" i="9"/>
  <c r="CM5" i="9"/>
  <c r="DA5" i="9"/>
  <c r="DM5" i="9"/>
  <c r="DZ5" i="9"/>
  <c r="EI5" i="9"/>
  <c r="EQ5" i="9"/>
  <c r="EY5" i="9"/>
  <c r="FG5" i="9"/>
  <c r="FO5" i="9"/>
  <c r="FW5" i="9"/>
  <c r="GE5" i="9"/>
  <c r="GM5" i="9"/>
  <c r="C6" i="9"/>
  <c r="K6" i="9"/>
  <c r="S6" i="9"/>
  <c r="AA6" i="9"/>
  <c r="FS5" i="9"/>
  <c r="A6" i="9"/>
  <c r="W6" i="9"/>
  <c r="AM6" i="9"/>
  <c r="AY6" i="9"/>
  <c r="BM6" i="9"/>
  <c r="BZ6" i="9"/>
  <c r="CL6" i="9"/>
  <c r="CY6" i="9"/>
  <c r="DK6" i="9"/>
  <c r="DY6" i="9"/>
  <c r="EI6" i="9"/>
  <c r="ET6" i="9"/>
  <c r="FE6" i="9"/>
  <c r="FO6" i="9"/>
  <c r="FZ6" i="9"/>
  <c r="GK6" i="9"/>
  <c r="A7" i="9"/>
  <c r="I7" i="9"/>
  <c r="Q7" i="9"/>
  <c r="Y7" i="9"/>
  <c r="AG7" i="9"/>
  <c r="AO7" i="9"/>
  <c r="AW7" i="9"/>
  <c r="BE7" i="9"/>
  <c r="BM7" i="9"/>
  <c r="BU7" i="9"/>
  <c r="CC7" i="9"/>
  <c r="CK7" i="9"/>
  <c r="CS7" i="9"/>
  <c r="DA7" i="9"/>
  <c r="DI7" i="9"/>
  <c r="DQ7" i="9"/>
  <c r="DY7" i="9"/>
  <c r="EG7" i="9"/>
  <c r="EO7" i="9"/>
  <c r="EW7" i="9"/>
  <c r="FE7" i="9"/>
  <c r="FM7" i="9"/>
  <c r="FU7" i="9"/>
  <c r="GC7" i="9"/>
  <c r="GK7" i="9"/>
  <c r="A8" i="9"/>
  <c r="I8" i="9"/>
  <c r="Q8" i="9"/>
  <c r="Y8" i="9"/>
  <c r="AG8" i="9"/>
  <c r="AO8" i="9"/>
  <c r="AW8" i="9"/>
  <c r="BE8" i="9"/>
  <c r="BM8" i="9"/>
  <c r="BU8" i="9"/>
  <c r="CC8" i="9"/>
  <c r="CK8" i="9"/>
  <c r="CS8" i="9"/>
  <c r="DA8" i="9"/>
  <c r="DI8" i="9"/>
  <c r="DQ8" i="9"/>
  <c r="DY8" i="9"/>
  <c r="EG8" i="9"/>
  <c r="EO8" i="9"/>
  <c r="EW8" i="9"/>
  <c r="FE8" i="9"/>
  <c r="FM8" i="9"/>
  <c r="FU8" i="9"/>
  <c r="GC8" i="9"/>
  <c r="GK8" i="9"/>
  <c r="A9" i="9"/>
  <c r="I9" i="9"/>
  <c r="Q9" i="9"/>
  <c r="Y9" i="9"/>
  <c r="AG9" i="9"/>
  <c r="AO9" i="9"/>
  <c r="AW9" i="9"/>
  <c r="BE9" i="9"/>
  <c r="BM9" i="9"/>
  <c r="BU9" i="9"/>
  <c r="CC9" i="9"/>
  <c r="CK9" i="9"/>
  <c r="CS9" i="9"/>
  <c r="DA9" i="9"/>
  <c r="DI9" i="9"/>
  <c r="DQ9" i="9"/>
  <c r="DY9" i="9"/>
  <c r="EG9" i="9"/>
  <c r="GA5" i="9"/>
  <c r="B6" i="9"/>
  <c r="Y6" i="9"/>
  <c r="AO6" i="9"/>
  <c r="BB6" i="9"/>
  <c r="BN6" i="9"/>
  <c r="CA6" i="9"/>
  <c r="CM6" i="9"/>
  <c r="DA6" i="9"/>
  <c r="DN6" i="9"/>
  <c r="DZ6" i="9"/>
  <c r="EJ6" i="9"/>
  <c r="EU6" i="9"/>
  <c r="FF6" i="9"/>
  <c r="FP6" i="9"/>
  <c r="GA6" i="9"/>
  <c r="GL6" i="9"/>
  <c r="B7" i="9"/>
  <c r="J7" i="9"/>
  <c r="R7" i="9"/>
  <c r="Z7" i="9"/>
  <c r="AH7" i="9"/>
  <c r="AP7" i="9"/>
  <c r="AX7" i="9"/>
  <c r="BF7" i="9"/>
  <c r="BN7" i="9"/>
  <c r="BV7" i="9"/>
  <c r="CD7" i="9"/>
  <c r="CL7" i="9"/>
  <c r="CT7" i="9"/>
  <c r="DB7" i="9"/>
  <c r="DJ7" i="9"/>
  <c r="DR7" i="9"/>
  <c r="DZ7" i="9"/>
  <c r="EH7" i="9"/>
  <c r="EP7" i="9"/>
  <c r="EX7" i="9"/>
  <c r="FF7" i="9"/>
  <c r="FN7" i="9"/>
  <c r="FV7" i="9"/>
  <c r="GD7" i="9"/>
  <c r="GL7" i="9"/>
  <c r="B8" i="9"/>
  <c r="J8" i="9"/>
  <c r="R8" i="9"/>
  <c r="Z8" i="9"/>
  <c r="AH8" i="9"/>
  <c r="AP8" i="9"/>
  <c r="AX8" i="9"/>
  <c r="BF8" i="9"/>
  <c r="BN8" i="9"/>
  <c r="BV8" i="9"/>
  <c r="CD8" i="9"/>
  <c r="CL8" i="9"/>
  <c r="CT8" i="9"/>
  <c r="DB8" i="9"/>
  <c r="DJ8" i="9"/>
  <c r="DR8" i="9"/>
  <c r="DZ8" i="9"/>
  <c r="EH8" i="9"/>
  <c r="EP8" i="9"/>
  <c r="EX8" i="9"/>
  <c r="FF8" i="9"/>
  <c r="FN8" i="9"/>
  <c r="FV8" i="9"/>
  <c r="GD8" i="9"/>
  <c r="GL8" i="9"/>
  <c r="B9" i="9"/>
  <c r="J9" i="9"/>
  <c r="R9" i="9"/>
  <c r="Z9" i="9"/>
  <c r="AH9" i="9"/>
  <c r="AP9" i="9"/>
  <c r="AX9" i="9"/>
  <c r="BF9" i="9"/>
  <c r="BN9" i="9"/>
  <c r="BV9" i="9"/>
  <c r="CD9" i="9"/>
  <c r="CL9" i="9"/>
  <c r="CT9" i="9"/>
  <c r="DB9" i="9"/>
  <c r="DJ9" i="9"/>
  <c r="DR9" i="9"/>
  <c r="DZ9" i="9"/>
  <c r="EH9" i="9"/>
  <c r="GC5" i="9"/>
  <c r="G6" i="9"/>
  <c r="Z6" i="9"/>
  <c r="AP6" i="9"/>
  <c r="BC6" i="9"/>
  <c r="BO6" i="9"/>
  <c r="CC6" i="9"/>
  <c r="CP6" i="9"/>
  <c r="DB6" i="9"/>
  <c r="DO6" i="9"/>
  <c r="EA6" i="9"/>
  <c r="EL6" i="9"/>
  <c r="EW6" i="9"/>
  <c r="FG6" i="9"/>
  <c r="FR6" i="9"/>
  <c r="GC6" i="9"/>
  <c r="GM6" i="9"/>
  <c r="C7" i="9"/>
  <c r="K7" i="9"/>
  <c r="S7" i="9"/>
  <c r="AA7" i="9"/>
  <c r="AI7" i="9"/>
  <c r="AQ7" i="9"/>
  <c r="AY7" i="9"/>
  <c r="BG7" i="9"/>
  <c r="BO7" i="9"/>
  <c r="BW7" i="9"/>
  <c r="CE7" i="9"/>
  <c r="CM7" i="9"/>
  <c r="CU7" i="9"/>
  <c r="DC7" i="9"/>
  <c r="DK7" i="9"/>
  <c r="DS7" i="9"/>
  <c r="EA7" i="9"/>
  <c r="EI7" i="9"/>
  <c r="EQ7" i="9"/>
  <c r="EY7" i="9"/>
  <c r="FG7" i="9"/>
  <c r="FO7" i="9"/>
  <c r="FW7" i="9"/>
  <c r="GE7" i="9"/>
  <c r="GM7" i="9"/>
  <c r="C8" i="9"/>
  <c r="K8" i="9"/>
  <c r="S8" i="9"/>
  <c r="AA8" i="9"/>
  <c r="AI8" i="9"/>
  <c r="AQ8" i="9"/>
  <c r="AY8" i="9"/>
  <c r="BG8" i="9"/>
  <c r="BO8" i="9"/>
  <c r="BW8" i="9"/>
  <c r="CE8" i="9"/>
  <c r="CM8" i="9"/>
  <c r="CU8" i="9"/>
  <c r="DC8" i="9"/>
  <c r="DK8" i="9"/>
  <c r="DS8" i="9"/>
  <c r="EA8" i="9"/>
  <c r="EI8" i="9"/>
  <c r="EQ8" i="9"/>
  <c r="EY8" i="9"/>
  <c r="FG8" i="9"/>
  <c r="FO8" i="9"/>
  <c r="FW8" i="9"/>
  <c r="GE8" i="9"/>
  <c r="GM8" i="9"/>
  <c r="C9" i="9"/>
  <c r="K9" i="9"/>
  <c r="S9" i="9"/>
  <c r="AA9" i="9"/>
  <c r="AI9" i="9"/>
  <c r="GD5" i="9"/>
  <c r="I6" i="9"/>
  <c r="AE6" i="9"/>
  <c r="AQ6" i="9"/>
  <c r="BE6" i="9"/>
  <c r="BR6" i="9"/>
  <c r="CD6" i="9"/>
  <c r="CQ6" i="9"/>
  <c r="DC6" i="9"/>
  <c r="DQ6" i="9"/>
  <c r="EB6" i="9"/>
  <c r="EM6" i="9"/>
  <c r="EX6" i="9"/>
  <c r="FH6" i="9"/>
  <c r="FS6" i="9"/>
  <c r="GD6" i="9"/>
  <c r="GN6" i="9"/>
  <c r="D7" i="9"/>
  <c r="L7" i="9"/>
  <c r="T7" i="9"/>
  <c r="AB7" i="9"/>
  <c r="AJ7" i="9"/>
  <c r="AR7" i="9"/>
  <c r="AZ7" i="9"/>
  <c r="BH7" i="9"/>
  <c r="BP7" i="9"/>
  <c r="BX7" i="9"/>
  <c r="CF7" i="9"/>
  <c r="CN7" i="9"/>
  <c r="CV7" i="9"/>
  <c r="DD7" i="9"/>
  <c r="DL7" i="9"/>
  <c r="DT7" i="9"/>
  <c r="EB7" i="9"/>
  <c r="EJ7" i="9"/>
  <c r="ER7" i="9"/>
  <c r="EZ7" i="9"/>
  <c r="FH7" i="9"/>
  <c r="FP7" i="9"/>
  <c r="FX7" i="9"/>
  <c r="GF7" i="9"/>
  <c r="GN7" i="9"/>
  <c r="D8" i="9"/>
  <c r="L8" i="9"/>
  <c r="T8" i="9"/>
  <c r="AB8" i="9"/>
  <c r="AJ8" i="9"/>
  <c r="AR8" i="9"/>
  <c r="AZ8" i="9"/>
  <c r="BH8" i="9"/>
  <c r="BP8" i="9"/>
  <c r="BX8" i="9"/>
  <c r="CF8" i="9"/>
  <c r="CN8" i="9"/>
  <c r="CV8" i="9"/>
  <c r="DD8" i="9"/>
  <c r="DL8" i="9"/>
  <c r="DT8" i="9"/>
  <c r="EB8" i="9"/>
  <c r="EJ8" i="9"/>
  <c r="ER8" i="9"/>
  <c r="EZ8" i="9"/>
  <c r="FH8" i="9"/>
  <c r="FP8" i="9"/>
  <c r="FX8" i="9"/>
  <c r="GF8" i="9"/>
  <c r="GN8" i="9"/>
  <c r="D9" i="9"/>
  <c r="L9" i="9"/>
  <c r="T9" i="9"/>
  <c r="AB9" i="9"/>
  <c r="AJ9" i="9"/>
  <c r="AR9" i="9"/>
  <c r="AZ9" i="9"/>
  <c r="BH9" i="9"/>
  <c r="BP9" i="9"/>
  <c r="BX9" i="9"/>
  <c r="CF9" i="9"/>
  <c r="CN9" i="9"/>
  <c r="CV9" i="9"/>
  <c r="DD9" i="9"/>
  <c r="DL9" i="9"/>
  <c r="DT9" i="9"/>
  <c r="EB9" i="9"/>
  <c r="EJ9" i="9"/>
  <c r="GI5" i="9"/>
  <c r="J6" i="9"/>
  <c r="AG6" i="9"/>
  <c r="AT6" i="9"/>
  <c r="BF6" i="9"/>
  <c r="BS6" i="9"/>
  <c r="CE6" i="9"/>
  <c r="CS6" i="9"/>
  <c r="DF6" i="9"/>
  <c r="DR6" i="9"/>
  <c r="ED6" i="9"/>
  <c r="EO6" i="9"/>
  <c r="EY6" i="9"/>
  <c r="FJ6" i="9"/>
  <c r="FU6" i="9"/>
  <c r="GE6" i="9"/>
  <c r="GO6" i="9"/>
  <c r="E7" i="9"/>
  <c r="M7" i="9"/>
  <c r="U7" i="9"/>
  <c r="AC7" i="9"/>
  <c r="AK7" i="9"/>
  <c r="AS7" i="9"/>
  <c r="BA7" i="9"/>
  <c r="BI7" i="9"/>
  <c r="BQ7" i="9"/>
  <c r="BY7" i="9"/>
  <c r="CG7" i="9"/>
  <c r="CO7" i="9"/>
  <c r="CW7" i="9"/>
  <c r="DE7" i="9"/>
  <c r="DM7" i="9"/>
  <c r="DU7" i="9"/>
  <c r="EC7" i="9"/>
  <c r="EK7" i="9"/>
  <c r="ES7" i="9"/>
  <c r="FA7" i="9"/>
  <c r="FI7" i="9"/>
  <c r="FQ7" i="9"/>
  <c r="FY7" i="9"/>
  <c r="GG7" i="9"/>
  <c r="GO7" i="9"/>
  <c r="E8" i="9"/>
  <c r="M8" i="9"/>
  <c r="U8" i="9"/>
  <c r="AC8" i="9"/>
  <c r="AK8" i="9"/>
  <c r="AS8" i="9"/>
  <c r="BA8" i="9"/>
  <c r="BI8" i="9"/>
  <c r="BQ8" i="9"/>
  <c r="BY8" i="9"/>
  <c r="CG8" i="9"/>
  <c r="CO8" i="9"/>
  <c r="CW8" i="9"/>
  <c r="DE8" i="9"/>
  <c r="DM8" i="9"/>
  <c r="DU8" i="9"/>
  <c r="EC8" i="9"/>
  <c r="EK8" i="9"/>
  <c r="ES8" i="9"/>
  <c r="FA8" i="9"/>
  <c r="FI8" i="9"/>
  <c r="GK5" i="9"/>
  <c r="O6" i="9"/>
  <c r="AH6" i="9"/>
  <c r="AU6" i="9"/>
  <c r="BG6" i="9"/>
  <c r="BU6" i="9"/>
  <c r="CH6" i="9"/>
  <c r="CT6" i="9"/>
  <c r="DG6" i="9"/>
  <c r="DS6" i="9"/>
  <c r="EE6" i="9"/>
  <c r="EP6" i="9"/>
  <c r="EZ6" i="9"/>
  <c r="FK6" i="9"/>
  <c r="FV6" i="9"/>
  <c r="GF6" i="9"/>
  <c r="GP6" i="9"/>
  <c r="F7" i="9"/>
  <c r="N7" i="9"/>
  <c r="V7" i="9"/>
  <c r="AD7" i="9"/>
  <c r="AL7" i="9"/>
  <c r="AT7" i="9"/>
  <c r="BB7" i="9"/>
  <c r="BJ7" i="9"/>
  <c r="BR7" i="9"/>
  <c r="BZ7" i="9"/>
  <c r="CH7" i="9"/>
  <c r="CP7" i="9"/>
  <c r="CX7" i="9"/>
  <c r="DF7" i="9"/>
  <c r="DN7" i="9"/>
  <c r="DV7" i="9"/>
  <c r="ED7" i="9"/>
  <c r="EL7" i="9"/>
  <c r="ET7" i="9"/>
  <c r="FB7" i="9"/>
  <c r="FJ7" i="9"/>
  <c r="FR7" i="9"/>
  <c r="FZ7" i="9"/>
  <c r="GH7" i="9"/>
  <c r="GP7" i="9"/>
  <c r="F8" i="9"/>
  <c r="N8" i="9"/>
  <c r="V8" i="9"/>
  <c r="AD8" i="9"/>
  <c r="AL8" i="9"/>
  <c r="AT8" i="9"/>
  <c r="BB8" i="9"/>
  <c r="BJ8" i="9"/>
  <c r="BR8" i="9"/>
  <c r="BZ8" i="9"/>
  <c r="CH8" i="9"/>
  <c r="CP8" i="9"/>
  <c r="CX8" i="9"/>
  <c r="DF8" i="9"/>
  <c r="DN8" i="9"/>
  <c r="DV8" i="9"/>
  <c r="ED8" i="9"/>
  <c r="EL8" i="9"/>
  <c r="ET8" i="9"/>
  <c r="FB8" i="9"/>
  <c r="FJ8" i="9"/>
  <c r="FR8" i="9"/>
  <c r="FZ8" i="9"/>
  <c r="GL5" i="9"/>
  <c r="Q6" i="9"/>
  <c r="AI6" i="9"/>
  <c r="AW6" i="9"/>
  <c r="BJ6" i="9"/>
  <c r="BV6" i="9"/>
  <c r="CI6" i="9"/>
  <c r="CU6" i="9"/>
  <c r="DI6" i="9"/>
  <c r="DV6" i="9"/>
  <c r="EG6" i="9"/>
  <c r="EQ6" i="9"/>
  <c r="FB6" i="9"/>
  <c r="FM6" i="9"/>
  <c r="FW6" i="9"/>
  <c r="GH6" i="9"/>
  <c r="GQ6" i="9"/>
  <c r="G7" i="9"/>
  <c r="O7" i="9"/>
  <c r="W7" i="9"/>
  <c r="AE7" i="9"/>
  <c r="AM7" i="9"/>
  <c r="AU7" i="9"/>
  <c r="BC7" i="9"/>
  <c r="BK7" i="9"/>
  <c r="BS7" i="9"/>
  <c r="CA7" i="9"/>
  <c r="CI7" i="9"/>
  <c r="CQ7" i="9"/>
  <c r="CY7" i="9"/>
  <c r="DG7" i="9"/>
  <c r="DO7" i="9"/>
  <c r="DW7" i="9"/>
  <c r="EE7" i="9"/>
  <c r="EM7" i="9"/>
  <c r="EU7" i="9"/>
  <c r="FC7" i="9"/>
  <c r="FK7" i="9"/>
  <c r="FS7" i="9"/>
  <c r="GA7" i="9"/>
  <c r="GI7" i="9"/>
  <c r="GQ7" i="9"/>
  <c r="G8" i="9"/>
  <c r="O8" i="9"/>
  <c r="W8" i="9"/>
  <c r="AE8" i="9"/>
  <c r="AM8" i="9"/>
  <c r="AU8" i="9"/>
  <c r="BC8" i="9"/>
  <c r="BK8" i="9"/>
  <c r="BS8" i="9"/>
  <c r="CA8" i="9"/>
  <c r="CI8" i="9"/>
  <c r="CQ8" i="9"/>
  <c r="CY8" i="9"/>
  <c r="DG8" i="9"/>
  <c r="DO8" i="9"/>
  <c r="DW8" i="9"/>
  <c r="EE8" i="9"/>
  <c r="EM8" i="9"/>
  <c r="EU8" i="9"/>
  <c r="FC8" i="9"/>
  <c r="FK8" i="9"/>
  <c r="GQ5" i="9"/>
  <c r="R6" i="9"/>
  <c r="AL6" i="9"/>
  <c r="AX6" i="9"/>
  <c r="BK6" i="9"/>
  <c r="BW6" i="9"/>
  <c r="CK6" i="9"/>
  <c r="CX6" i="9"/>
  <c r="DJ6" i="9"/>
  <c r="DW6" i="9"/>
  <c r="EH6" i="9"/>
  <c r="ER6" i="9"/>
  <c r="FC6" i="9"/>
  <c r="FN6" i="9"/>
  <c r="FX6" i="9"/>
  <c r="GI6" i="9"/>
  <c r="GR6" i="9"/>
  <c r="H7" i="9"/>
  <c r="P7" i="9"/>
  <c r="X7" i="9"/>
  <c r="AF7" i="9"/>
  <c r="AN7" i="9"/>
  <c r="AV7" i="9"/>
  <c r="BD7" i="9"/>
  <c r="BL7" i="9"/>
  <c r="BT7" i="9"/>
  <c r="CB7" i="9"/>
  <c r="CJ7" i="9"/>
  <c r="CR7" i="9"/>
  <c r="CZ7" i="9"/>
  <c r="DH7" i="9"/>
  <c r="DP7" i="9"/>
  <c r="DX7" i="9"/>
  <c r="EF7" i="9"/>
  <c r="EN7" i="9"/>
  <c r="EV7" i="9"/>
  <c r="FD7" i="9"/>
  <c r="FL7" i="9"/>
  <c r="FT7" i="9"/>
  <c r="GB7" i="9"/>
  <c r="GJ7" i="9"/>
  <c r="GR7" i="9"/>
  <c r="H8" i="9"/>
  <c r="P8" i="9"/>
  <c r="X8" i="9"/>
  <c r="AF8" i="9"/>
  <c r="AN8" i="9"/>
  <c r="AV8" i="9"/>
  <c r="BD8" i="9"/>
  <c r="BL8" i="9"/>
  <c r="BT8" i="9"/>
  <c r="CB8" i="9"/>
  <c r="CJ8" i="9"/>
  <c r="CR8" i="9"/>
  <c r="CZ8" i="9"/>
  <c r="DH8" i="9"/>
  <c r="DP8" i="9"/>
  <c r="DX8" i="9"/>
  <c r="EF8" i="9"/>
  <c r="EN8" i="9"/>
  <c r="EV8" i="9"/>
  <c r="FD8" i="9"/>
  <c r="FL8" i="9"/>
  <c r="FQ8" i="9"/>
  <c r="GI8" i="9"/>
  <c r="G9" i="9"/>
  <c r="W9" i="9"/>
  <c r="AM9" i="9"/>
  <c r="BA9" i="9"/>
  <c r="BL9" i="9"/>
  <c r="BZ9" i="9"/>
  <c r="CM9" i="9"/>
  <c r="CY9" i="9"/>
  <c r="DM9" i="9"/>
  <c r="DX9" i="9"/>
  <c r="EL9" i="9"/>
  <c r="ET9" i="9"/>
  <c r="FB9" i="9"/>
  <c r="FJ9" i="9"/>
  <c r="FR9" i="9"/>
  <c r="FZ9" i="9"/>
  <c r="GH9" i="9"/>
  <c r="GP9" i="9"/>
  <c r="F10" i="9"/>
  <c r="N10" i="9"/>
  <c r="V10" i="9"/>
  <c r="AD10" i="9"/>
  <c r="AL10" i="9"/>
  <c r="AT10" i="9"/>
  <c r="BB10" i="9"/>
  <c r="BJ10" i="9"/>
  <c r="BR10" i="9"/>
  <c r="BZ10" i="9"/>
  <c r="CH10" i="9"/>
  <c r="CP10" i="9"/>
  <c r="CX10" i="9"/>
  <c r="DF10" i="9"/>
  <c r="DN10" i="9"/>
  <c r="DV10" i="9"/>
  <c r="ED10" i="9"/>
  <c r="EL10" i="9"/>
  <c r="ET10" i="9"/>
  <c r="FB10" i="9"/>
  <c r="FJ10" i="9"/>
  <c r="FR10" i="9"/>
  <c r="FZ10" i="9"/>
  <c r="GH10" i="9"/>
  <c r="GP10" i="9"/>
  <c r="F11" i="9"/>
  <c r="N11" i="9"/>
  <c r="V11" i="9"/>
  <c r="AD11" i="9"/>
  <c r="AL11" i="9"/>
  <c r="AT11" i="9"/>
  <c r="BB11" i="9"/>
  <c r="BJ11" i="9"/>
  <c r="BR11" i="9"/>
  <c r="BZ11" i="9"/>
  <c r="CH11" i="9"/>
  <c r="CP11" i="9"/>
  <c r="CX11" i="9"/>
  <c r="DF11" i="9"/>
  <c r="DN11" i="9"/>
  <c r="DV11" i="9"/>
  <c r="ED11" i="9"/>
  <c r="EL11" i="9"/>
  <c r="ET11" i="9"/>
  <c r="FB11" i="9"/>
  <c r="FJ11" i="9"/>
  <c r="FR11" i="9"/>
  <c r="FZ11" i="9"/>
  <c r="GH11" i="9"/>
  <c r="GP11" i="9"/>
  <c r="F12" i="9"/>
  <c r="N12" i="9"/>
  <c r="V12" i="9"/>
  <c r="AD12" i="9"/>
  <c r="AL12" i="9"/>
  <c r="AT12" i="9"/>
  <c r="BB12" i="9"/>
  <c r="BJ12" i="9"/>
  <c r="BR12" i="9"/>
  <c r="BZ12" i="9"/>
  <c r="CH12" i="9"/>
  <c r="CP12" i="9"/>
  <c r="CX12" i="9"/>
  <c r="DF12" i="9"/>
  <c r="DN12" i="9"/>
  <c r="DV12" i="9"/>
  <c r="ED12" i="9"/>
  <c r="EL12" i="9"/>
  <c r="ET12" i="9"/>
  <c r="FB12" i="9"/>
  <c r="FJ12" i="9"/>
  <c r="FR12" i="9"/>
  <c r="FZ12" i="9"/>
  <c r="GH12" i="9"/>
  <c r="GP12" i="9"/>
  <c r="F13" i="9"/>
  <c r="N13" i="9"/>
  <c r="V13" i="9"/>
  <c r="AD13" i="9"/>
  <c r="AL13" i="9"/>
  <c r="AT13" i="9"/>
  <c r="BB13" i="9"/>
  <c r="BJ13" i="9"/>
  <c r="BR13" i="9"/>
  <c r="BZ13" i="9"/>
  <c r="CH13" i="9"/>
  <c r="CP13" i="9"/>
  <c r="CX13" i="9"/>
  <c r="DF13" i="9"/>
  <c r="DN13" i="9"/>
  <c r="DV13" i="9"/>
  <c r="ED13" i="9"/>
  <c r="EL13" i="9"/>
  <c r="ET13" i="9"/>
  <c r="FB13" i="9"/>
  <c r="FJ13" i="9"/>
  <c r="FR13" i="9"/>
  <c r="FS8" i="9"/>
  <c r="GJ8" i="9"/>
  <c r="H9" i="9"/>
  <c r="X9" i="9"/>
  <c r="AN9" i="9"/>
  <c r="BB9" i="9"/>
  <c r="BO9" i="9"/>
  <c r="CA9" i="9"/>
  <c r="CO9" i="9"/>
  <c r="CZ9" i="9"/>
  <c r="DN9" i="9"/>
  <c r="EA9" i="9"/>
  <c r="EM9" i="9"/>
  <c r="EU9" i="9"/>
  <c r="FC9" i="9"/>
  <c r="FK9" i="9"/>
  <c r="FS9" i="9"/>
  <c r="GA9" i="9"/>
  <c r="GI9" i="9"/>
  <c r="GQ9" i="9"/>
  <c r="G10" i="9"/>
  <c r="O10" i="9"/>
  <c r="W10" i="9"/>
  <c r="AE10" i="9"/>
  <c r="AM10" i="9"/>
  <c r="AU10" i="9"/>
  <c r="BC10" i="9"/>
  <c r="BK10" i="9"/>
  <c r="BS10" i="9"/>
  <c r="CA10" i="9"/>
  <c r="CI10" i="9"/>
  <c r="CQ10" i="9"/>
  <c r="CY10" i="9"/>
  <c r="DG10" i="9"/>
  <c r="DO10" i="9"/>
  <c r="DW10" i="9"/>
  <c r="EE10" i="9"/>
  <c r="EM10" i="9"/>
  <c r="EU10" i="9"/>
  <c r="FC10" i="9"/>
  <c r="FK10" i="9"/>
  <c r="FS10" i="9"/>
  <c r="GA10" i="9"/>
  <c r="GI10" i="9"/>
  <c r="GQ10" i="9"/>
  <c r="G11" i="9"/>
  <c r="O11" i="9"/>
  <c r="W11" i="9"/>
  <c r="AE11" i="9"/>
  <c r="AM11" i="9"/>
  <c r="AU11" i="9"/>
  <c r="BC11" i="9"/>
  <c r="BK11" i="9"/>
  <c r="BS11" i="9"/>
  <c r="CA11" i="9"/>
  <c r="CI11" i="9"/>
  <c r="CQ11" i="9"/>
  <c r="CY11" i="9"/>
  <c r="DG11" i="9"/>
  <c r="DO11" i="9"/>
  <c r="DW11" i="9"/>
  <c r="EE11" i="9"/>
  <c r="EM11" i="9"/>
  <c r="EU11" i="9"/>
  <c r="FC11" i="9"/>
  <c r="FK11" i="9"/>
  <c r="FS11" i="9"/>
  <c r="GA11" i="9"/>
  <c r="GI11" i="9"/>
  <c r="GQ11" i="9"/>
  <c r="G12" i="9"/>
  <c r="O12" i="9"/>
  <c r="W12" i="9"/>
  <c r="AE12" i="9"/>
  <c r="AM12" i="9"/>
  <c r="AU12" i="9"/>
  <c r="BC12" i="9"/>
  <c r="BK12" i="9"/>
  <c r="BS12" i="9"/>
  <c r="CA12" i="9"/>
  <c r="CI12" i="9"/>
  <c r="CQ12" i="9"/>
  <c r="CY12" i="9"/>
  <c r="DG12" i="9"/>
  <c r="DO12" i="9"/>
  <c r="DW12" i="9"/>
  <c r="EE12" i="9"/>
  <c r="EM12" i="9"/>
  <c r="EU12" i="9"/>
  <c r="FC12" i="9"/>
  <c r="FK12" i="9"/>
  <c r="FS12" i="9"/>
  <c r="GA12" i="9"/>
  <c r="GI12" i="9"/>
  <c r="GQ12" i="9"/>
  <c r="G13" i="9"/>
  <c r="O13" i="9"/>
  <c r="W13" i="9"/>
  <c r="AE13" i="9"/>
  <c r="AM13" i="9"/>
  <c r="FT8" i="9"/>
  <c r="GO8" i="9"/>
  <c r="M9" i="9"/>
  <c r="AC9" i="9"/>
  <c r="AQ9" i="9"/>
  <c r="BC9" i="9"/>
  <c r="BQ9" i="9"/>
  <c r="CB9" i="9"/>
  <c r="CP9" i="9"/>
  <c r="DC9" i="9"/>
  <c r="DO9" i="9"/>
  <c r="EC9" i="9"/>
  <c r="EN9" i="9"/>
  <c r="EV9" i="9"/>
  <c r="FD9" i="9"/>
  <c r="FL9" i="9"/>
  <c r="FT9" i="9"/>
  <c r="GB9" i="9"/>
  <c r="GJ9" i="9"/>
  <c r="GR9" i="9"/>
  <c r="H10" i="9"/>
  <c r="P10" i="9"/>
  <c r="X10" i="9"/>
  <c r="AF10" i="9"/>
  <c r="AN10" i="9"/>
  <c r="AV10" i="9"/>
  <c r="BD10" i="9"/>
  <c r="BL10" i="9"/>
  <c r="BT10" i="9"/>
  <c r="CB10" i="9"/>
  <c r="CJ10" i="9"/>
  <c r="CR10" i="9"/>
  <c r="CZ10" i="9"/>
  <c r="DH10" i="9"/>
  <c r="DP10" i="9"/>
  <c r="DX10" i="9"/>
  <c r="EF10" i="9"/>
  <c r="EN10" i="9"/>
  <c r="EV10" i="9"/>
  <c r="FD10" i="9"/>
  <c r="FL10" i="9"/>
  <c r="FT10" i="9"/>
  <c r="GB10" i="9"/>
  <c r="GJ10" i="9"/>
  <c r="GR10" i="9"/>
  <c r="H11" i="9"/>
  <c r="P11" i="9"/>
  <c r="X11" i="9"/>
  <c r="AF11" i="9"/>
  <c r="AN11" i="9"/>
  <c r="AV11" i="9"/>
  <c r="BD11" i="9"/>
  <c r="BL11" i="9"/>
  <c r="BT11" i="9"/>
  <c r="CB11" i="9"/>
  <c r="CJ11" i="9"/>
  <c r="CR11" i="9"/>
  <c r="CZ11" i="9"/>
  <c r="DH11" i="9"/>
  <c r="DP11" i="9"/>
  <c r="DX11" i="9"/>
  <c r="EF11" i="9"/>
  <c r="EN11" i="9"/>
  <c r="EV11" i="9"/>
  <c r="FD11" i="9"/>
  <c r="FL11" i="9"/>
  <c r="FT11" i="9"/>
  <c r="GB11" i="9"/>
  <c r="GJ11" i="9"/>
  <c r="GR11" i="9"/>
  <c r="H12" i="9"/>
  <c r="P12" i="9"/>
  <c r="X12" i="9"/>
  <c r="AF12" i="9"/>
  <c r="AN12" i="9"/>
  <c r="AV12" i="9"/>
  <c r="BD12" i="9"/>
  <c r="BL12" i="9"/>
  <c r="BT12" i="9"/>
  <c r="CB12" i="9"/>
  <c r="CJ12" i="9"/>
  <c r="CR12" i="9"/>
  <c r="CZ12" i="9"/>
  <c r="DH12" i="9"/>
  <c r="DP12" i="9"/>
  <c r="DX12" i="9"/>
  <c r="EF12" i="9"/>
  <c r="EN12" i="9"/>
  <c r="EV12" i="9"/>
  <c r="FD12" i="9"/>
  <c r="FL12" i="9"/>
  <c r="FT12" i="9"/>
  <c r="GB12" i="9"/>
  <c r="GJ12" i="9"/>
  <c r="GR12" i="9"/>
  <c r="H13" i="9"/>
  <c r="P13" i="9"/>
  <c r="FY8" i="9"/>
  <c r="GP8" i="9"/>
  <c r="N9" i="9"/>
  <c r="AD9" i="9"/>
  <c r="AS9" i="9"/>
  <c r="BD9" i="9"/>
  <c r="BR9" i="9"/>
  <c r="CE9" i="9"/>
  <c r="CQ9" i="9"/>
  <c r="DE9" i="9"/>
  <c r="DP9" i="9"/>
  <c r="ED9" i="9"/>
  <c r="EO9" i="9"/>
  <c r="EW9" i="9"/>
  <c r="FE9" i="9"/>
  <c r="FM9" i="9"/>
  <c r="FU9" i="9"/>
  <c r="GC9" i="9"/>
  <c r="GK9" i="9"/>
  <c r="A10" i="9"/>
  <c r="I10" i="9"/>
  <c r="Q10" i="9"/>
  <c r="Y10" i="9"/>
  <c r="AG10" i="9"/>
  <c r="AO10" i="9"/>
  <c r="AW10" i="9"/>
  <c r="BE10" i="9"/>
  <c r="BM10" i="9"/>
  <c r="BU10" i="9"/>
  <c r="CC10" i="9"/>
  <c r="CK10" i="9"/>
  <c r="CS10" i="9"/>
  <c r="DA10" i="9"/>
  <c r="DI10" i="9"/>
  <c r="DQ10" i="9"/>
  <c r="DY10" i="9"/>
  <c r="EG10" i="9"/>
  <c r="EO10" i="9"/>
  <c r="EW10" i="9"/>
  <c r="FE10" i="9"/>
  <c r="FM10" i="9"/>
  <c r="FU10" i="9"/>
  <c r="GC10" i="9"/>
  <c r="GK10" i="9"/>
  <c r="A11" i="9"/>
  <c r="I11" i="9"/>
  <c r="Q11" i="9"/>
  <c r="Y11" i="9"/>
  <c r="AG11" i="9"/>
  <c r="AO11" i="9"/>
  <c r="AW11" i="9"/>
  <c r="BE11" i="9"/>
  <c r="BM11" i="9"/>
  <c r="BU11" i="9"/>
  <c r="CC11" i="9"/>
  <c r="CK11" i="9"/>
  <c r="CS11" i="9"/>
  <c r="DA11" i="9"/>
  <c r="DI11" i="9"/>
  <c r="DQ11" i="9"/>
  <c r="DY11" i="9"/>
  <c r="EG11" i="9"/>
  <c r="EO11" i="9"/>
  <c r="EW11" i="9"/>
  <c r="FE11" i="9"/>
  <c r="FM11" i="9"/>
  <c r="FU11" i="9"/>
  <c r="GC11" i="9"/>
  <c r="GK11" i="9"/>
  <c r="A12" i="9"/>
  <c r="I12" i="9"/>
  <c r="Q12" i="9"/>
  <c r="Y12" i="9"/>
  <c r="AG12" i="9"/>
  <c r="AO12" i="9"/>
  <c r="AW12" i="9"/>
  <c r="BE12" i="9"/>
  <c r="BM12" i="9"/>
  <c r="BU12" i="9"/>
  <c r="CC12" i="9"/>
  <c r="CK12" i="9"/>
  <c r="CS12" i="9"/>
  <c r="DA12" i="9"/>
  <c r="GA8" i="9"/>
  <c r="GQ8" i="9"/>
  <c r="O9" i="9"/>
  <c r="AE9" i="9"/>
  <c r="AT9" i="9"/>
  <c r="BG9" i="9"/>
  <c r="BS9" i="9"/>
  <c r="CG9" i="9"/>
  <c r="CR9" i="9"/>
  <c r="DF9" i="9"/>
  <c r="DS9" i="9"/>
  <c r="EE9" i="9"/>
  <c r="EP9" i="9"/>
  <c r="EX9" i="9"/>
  <c r="FF9" i="9"/>
  <c r="FN9" i="9"/>
  <c r="FV9" i="9"/>
  <c r="GD9" i="9"/>
  <c r="GL9" i="9"/>
  <c r="B10" i="9"/>
  <c r="J10" i="9"/>
  <c r="R10" i="9"/>
  <c r="Z10" i="9"/>
  <c r="AH10" i="9"/>
  <c r="AP10" i="9"/>
  <c r="AX10" i="9"/>
  <c r="BF10" i="9"/>
  <c r="BN10" i="9"/>
  <c r="BV10" i="9"/>
  <c r="CD10" i="9"/>
  <c r="CL10" i="9"/>
  <c r="CT10" i="9"/>
  <c r="DB10" i="9"/>
  <c r="DJ10" i="9"/>
  <c r="DR10" i="9"/>
  <c r="DZ10" i="9"/>
  <c r="EH10" i="9"/>
  <c r="EP10" i="9"/>
  <c r="EX10" i="9"/>
  <c r="FF10" i="9"/>
  <c r="FN10" i="9"/>
  <c r="FV10" i="9"/>
  <c r="GD10" i="9"/>
  <c r="GL10" i="9"/>
  <c r="B11" i="9"/>
  <c r="J11" i="9"/>
  <c r="R11" i="9"/>
  <c r="Z11" i="9"/>
  <c r="AH11" i="9"/>
  <c r="AP11" i="9"/>
  <c r="AX11" i="9"/>
  <c r="BF11" i="9"/>
  <c r="BN11" i="9"/>
  <c r="BV11" i="9"/>
  <c r="CD11" i="9"/>
  <c r="CL11" i="9"/>
  <c r="CT11" i="9"/>
  <c r="DB11" i="9"/>
  <c r="DJ11" i="9"/>
  <c r="DR11" i="9"/>
  <c r="DZ11" i="9"/>
  <c r="EH11" i="9"/>
  <c r="EP11" i="9"/>
  <c r="EX11" i="9"/>
  <c r="FF11" i="9"/>
  <c r="FN11" i="9"/>
  <c r="FV11" i="9"/>
  <c r="GD11" i="9"/>
  <c r="GL11" i="9"/>
  <c r="B12" i="9"/>
  <c r="J12" i="9"/>
  <c r="R12" i="9"/>
  <c r="Z12" i="9"/>
  <c r="AH12" i="9"/>
  <c r="AP12" i="9"/>
  <c r="AX12" i="9"/>
  <c r="BF12" i="9"/>
  <c r="BN12" i="9"/>
  <c r="BV12" i="9"/>
  <c r="CD12" i="9"/>
  <c r="CL12" i="9"/>
  <c r="CT12" i="9"/>
  <c r="DB12" i="9"/>
  <c r="DJ12" i="9"/>
  <c r="DR12" i="9"/>
  <c r="DZ12" i="9"/>
  <c r="EH12" i="9"/>
  <c r="EP12" i="9"/>
  <c r="EX12" i="9"/>
  <c r="FF12" i="9"/>
  <c r="GB8" i="9"/>
  <c r="GR8" i="9"/>
  <c r="P9" i="9"/>
  <c r="AF9" i="9"/>
  <c r="AU9" i="9"/>
  <c r="BI9" i="9"/>
  <c r="BT9" i="9"/>
  <c r="CH9" i="9"/>
  <c r="CU9" i="9"/>
  <c r="DG9" i="9"/>
  <c r="DU9" i="9"/>
  <c r="EF9" i="9"/>
  <c r="EQ9" i="9"/>
  <c r="EY9" i="9"/>
  <c r="FG9" i="9"/>
  <c r="FO9" i="9"/>
  <c r="FW9" i="9"/>
  <c r="GE9" i="9"/>
  <c r="GM9" i="9"/>
  <c r="C10" i="9"/>
  <c r="K10" i="9"/>
  <c r="S10" i="9"/>
  <c r="AA10" i="9"/>
  <c r="AI10" i="9"/>
  <c r="AQ10" i="9"/>
  <c r="AY10" i="9"/>
  <c r="BG10" i="9"/>
  <c r="BO10" i="9"/>
  <c r="BW10" i="9"/>
  <c r="CE10" i="9"/>
  <c r="CM10" i="9"/>
  <c r="CU10" i="9"/>
  <c r="DC10" i="9"/>
  <c r="DK10" i="9"/>
  <c r="DS10" i="9"/>
  <c r="EA10" i="9"/>
  <c r="EI10" i="9"/>
  <c r="EQ10" i="9"/>
  <c r="EY10" i="9"/>
  <c r="FG10" i="9"/>
  <c r="FO10" i="9"/>
  <c r="FW10" i="9"/>
  <c r="GE10" i="9"/>
  <c r="GM10" i="9"/>
  <c r="C11" i="9"/>
  <c r="K11" i="9"/>
  <c r="S11" i="9"/>
  <c r="AA11" i="9"/>
  <c r="AI11" i="9"/>
  <c r="AQ11" i="9"/>
  <c r="AY11" i="9"/>
  <c r="BG11" i="9"/>
  <c r="BO11" i="9"/>
  <c r="BW11" i="9"/>
  <c r="CE11" i="9"/>
  <c r="CM11" i="9"/>
  <c r="CU11" i="9"/>
  <c r="DC11" i="9"/>
  <c r="DK11" i="9"/>
  <c r="DS11" i="9"/>
  <c r="EA11" i="9"/>
  <c r="EI11" i="9"/>
  <c r="EQ11" i="9"/>
  <c r="EY11" i="9"/>
  <c r="FG11" i="9"/>
  <c r="FO11" i="9"/>
  <c r="FW11" i="9"/>
  <c r="GE11" i="9"/>
  <c r="GM11" i="9"/>
  <c r="C12" i="9"/>
  <c r="K12" i="9"/>
  <c r="S12" i="9"/>
  <c r="AA12" i="9"/>
  <c r="AI12" i="9"/>
  <c r="AQ12" i="9"/>
  <c r="AY12" i="9"/>
  <c r="BG12" i="9"/>
  <c r="BO12" i="9"/>
  <c r="BW12" i="9"/>
  <c r="CE12" i="9"/>
  <c r="CM12" i="9"/>
  <c r="CU12" i="9"/>
  <c r="DC12" i="9"/>
  <c r="DK12" i="9"/>
  <c r="DS12" i="9"/>
  <c r="GH8" i="9"/>
  <c r="F9" i="9"/>
  <c r="V9" i="9"/>
  <c r="AL9" i="9"/>
  <c r="AY9" i="9"/>
  <c r="BK9" i="9"/>
  <c r="BY9" i="9"/>
  <c r="CJ9" i="9"/>
  <c r="CX9" i="9"/>
  <c r="DK9" i="9"/>
  <c r="DW9" i="9"/>
  <c r="EK9" i="9"/>
  <c r="ES9" i="9"/>
  <c r="FA9" i="9"/>
  <c r="FI9" i="9"/>
  <c r="FQ9" i="9"/>
  <c r="FY9" i="9"/>
  <c r="GG9" i="9"/>
  <c r="GO9" i="9"/>
  <c r="E10" i="9"/>
  <c r="M10" i="9"/>
  <c r="U10" i="9"/>
  <c r="AC10" i="9"/>
  <c r="AK10" i="9"/>
  <c r="AS10" i="9"/>
  <c r="BA10" i="9"/>
  <c r="BI10" i="9"/>
  <c r="BQ10" i="9"/>
  <c r="BY10" i="9"/>
  <c r="CG10" i="9"/>
  <c r="CO10" i="9"/>
  <c r="CW10" i="9"/>
  <c r="DE10" i="9"/>
  <c r="DM10" i="9"/>
  <c r="DU10" i="9"/>
  <c r="EC10" i="9"/>
  <c r="EK10" i="9"/>
  <c r="ES10" i="9"/>
  <c r="FA10" i="9"/>
  <c r="FI10" i="9"/>
  <c r="FQ10" i="9"/>
  <c r="FY10" i="9"/>
  <c r="GG10" i="9"/>
  <c r="GO10" i="9"/>
  <c r="E11" i="9"/>
  <c r="M11" i="9"/>
  <c r="U11" i="9"/>
  <c r="AC11" i="9"/>
  <c r="AK11" i="9"/>
  <c r="AS11" i="9"/>
  <c r="BA11" i="9"/>
  <c r="BI11" i="9"/>
  <c r="BQ11" i="9"/>
  <c r="BY11" i="9"/>
  <c r="CG11" i="9"/>
  <c r="CO11" i="9"/>
  <c r="CW11" i="9"/>
  <c r="DE11" i="9"/>
  <c r="DM11" i="9"/>
  <c r="DU11" i="9"/>
  <c r="EC11" i="9"/>
  <c r="EK11" i="9"/>
  <c r="ES11" i="9"/>
  <c r="FA11" i="9"/>
  <c r="FI11" i="9"/>
  <c r="FQ11" i="9"/>
  <c r="FY11" i="9"/>
  <c r="GG11" i="9"/>
  <c r="GO11" i="9"/>
  <c r="E12" i="9"/>
  <c r="M12" i="9"/>
  <c r="U12" i="9"/>
  <c r="AC12" i="9"/>
  <c r="AK12" i="9"/>
  <c r="AS12" i="9"/>
  <c r="BA12" i="9"/>
  <c r="BI12" i="9"/>
  <c r="BQ12" i="9"/>
  <c r="BY12" i="9"/>
  <c r="CG12" i="9"/>
  <c r="GG8" i="9"/>
  <c r="CW9" i="9"/>
  <c r="FX9" i="9"/>
  <c r="AR10" i="9"/>
  <c r="DD10" i="9"/>
  <c r="FP10" i="9"/>
  <c r="AJ11" i="9"/>
  <c r="CV11" i="9"/>
  <c r="FH11" i="9"/>
  <c r="AB12" i="9"/>
  <c r="CN12" i="9"/>
  <c r="DM12" i="9"/>
  <c r="EG12" i="9"/>
  <c r="EW12" i="9"/>
  <c r="FM12" i="9"/>
  <c r="FX12" i="9"/>
  <c r="GL12" i="9"/>
  <c r="E13" i="9"/>
  <c r="S13" i="9"/>
  <c r="AC13" i="9"/>
  <c r="AO13" i="9"/>
  <c r="AX13" i="9"/>
  <c r="BG13" i="9"/>
  <c r="BP13" i="9"/>
  <c r="BY13" i="9"/>
  <c r="CI13" i="9"/>
  <c r="CR13" i="9"/>
  <c r="DA13" i="9"/>
  <c r="DJ13" i="9"/>
  <c r="DS13" i="9"/>
  <c r="EB13" i="9"/>
  <c r="EK13" i="9"/>
  <c r="EU13" i="9"/>
  <c r="FD13" i="9"/>
  <c r="FM13" i="9"/>
  <c r="FV13" i="9"/>
  <c r="GD13" i="9"/>
  <c r="GL13" i="9"/>
  <c r="B14" i="9"/>
  <c r="J14" i="9"/>
  <c r="R14" i="9"/>
  <c r="Z14" i="9"/>
  <c r="AH14" i="9"/>
  <c r="AP14" i="9"/>
  <c r="AX14" i="9"/>
  <c r="BF14" i="9"/>
  <c r="BN14" i="9"/>
  <c r="BV14" i="9"/>
  <c r="CD14" i="9"/>
  <c r="CL14" i="9"/>
  <c r="CT14" i="9"/>
  <c r="DB14" i="9"/>
  <c r="DJ14" i="9"/>
  <c r="DR14" i="9"/>
  <c r="DZ14" i="9"/>
  <c r="EH14" i="9"/>
  <c r="EP14" i="9"/>
  <c r="EX14" i="9"/>
  <c r="FF14" i="9"/>
  <c r="FN14" i="9"/>
  <c r="FV14" i="9"/>
  <c r="GD14" i="9"/>
  <c r="GL14" i="9"/>
  <c r="B15" i="9"/>
  <c r="J15" i="9"/>
  <c r="R15" i="9"/>
  <c r="Z15" i="9"/>
  <c r="AH15" i="9"/>
  <c r="AP15" i="9"/>
  <c r="AX15" i="9"/>
  <c r="BF15" i="9"/>
  <c r="BN15" i="9"/>
  <c r="BV15" i="9"/>
  <c r="CD15" i="9"/>
  <c r="CL15" i="9"/>
  <c r="CT15" i="9"/>
  <c r="DB15" i="9"/>
  <c r="DJ15" i="9"/>
  <c r="DR15" i="9"/>
  <c r="DZ15" i="9"/>
  <c r="EH15" i="9"/>
  <c r="EP15" i="9"/>
  <c r="EX15" i="9"/>
  <c r="FF15" i="9"/>
  <c r="FN15" i="9"/>
  <c r="FV15" i="9"/>
  <c r="GD15" i="9"/>
  <c r="GL15" i="9"/>
  <c r="B16" i="9"/>
  <c r="J16" i="9"/>
  <c r="R16" i="9"/>
  <c r="Z16" i="9"/>
  <c r="AH16" i="9"/>
  <c r="AP16" i="9"/>
  <c r="AX16" i="9"/>
  <c r="U9" i="9"/>
  <c r="DV9" i="9"/>
  <c r="GN9" i="9"/>
  <c r="BH10" i="9"/>
  <c r="DT10" i="9"/>
  <c r="GF10" i="9"/>
  <c r="AZ11" i="9"/>
  <c r="DL11" i="9"/>
  <c r="FX11" i="9"/>
  <c r="AR12" i="9"/>
  <c r="CV12" i="9"/>
  <c r="DT12" i="9"/>
  <c r="EJ12" i="9"/>
  <c r="EZ12" i="9"/>
  <c r="FO12" i="9"/>
  <c r="GC12" i="9"/>
  <c r="GN12" i="9"/>
  <c r="J13" i="9"/>
  <c r="U13" i="9"/>
  <c r="AG13" i="9"/>
  <c r="AQ13" i="9"/>
  <c r="AZ13" i="9"/>
  <c r="BI13" i="9"/>
  <c r="BS13" i="9"/>
  <c r="CB13" i="9"/>
  <c r="CK13" i="9"/>
  <c r="CT13" i="9"/>
  <c r="DC13" i="9"/>
  <c r="DL13" i="9"/>
  <c r="DU13" i="9"/>
  <c r="EE13" i="9"/>
  <c r="EN13" i="9"/>
  <c r="EW13" i="9"/>
  <c r="FF13" i="9"/>
  <c r="FO13" i="9"/>
  <c r="FX13" i="9"/>
  <c r="GF13" i="9"/>
  <c r="GN13" i="9"/>
  <c r="D14" i="9"/>
  <c r="L14" i="9"/>
  <c r="T14" i="9"/>
  <c r="AB14" i="9"/>
  <c r="AJ14" i="9"/>
  <c r="AR14" i="9"/>
  <c r="AZ14" i="9"/>
  <c r="BH14" i="9"/>
  <c r="BP14" i="9"/>
  <c r="BX14" i="9"/>
  <c r="CF14" i="9"/>
  <c r="CN14" i="9"/>
  <c r="CV14" i="9"/>
  <c r="DD14" i="9"/>
  <c r="DL14" i="9"/>
  <c r="DT14" i="9"/>
  <c r="EB14" i="9"/>
  <c r="EJ14" i="9"/>
  <c r="ER14" i="9"/>
  <c r="EZ14" i="9"/>
  <c r="FH14" i="9"/>
  <c r="FP14" i="9"/>
  <c r="FX14" i="9"/>
  <c r="GF14" i="9"/>
  <c r="GN14" i="9"/>
  <c r="D15" i="9"/>
  <c r="L15" i="9"/>
  <c r="T15" i="9"/>
  <c r="AB15" i="9"/>
  <c r="AJ15" i="9"/>
  <c r="AR15" i="9"/>
  <c r="AZ15" i="9"/>
  <c r="BH15" i="9"/>
  <c r="BP15" i="9"/>
  <c r="BX15" i="9"/>
  <c r="CF15" i="9"/>
  <c r="CN15" i="9"/>
  <c r="CV15" i="9"/>
  <c r="DD15" i="9"/>
  <c r="DL15" i="9"/>
  <c r="DT15" i="9"/>
  <c r="EB15" i="9"/>
  <c r="EJ15" i="9"/>
  <c r="ER15" i="9"/>
  <c r="EZ15" i="9"/>
  <c r="FH15" i="9"/>
  <c r="FP15" i="9"/>
  <c r="FX15" i="9"/>
  <c r="GF15" i="9"/>
  <c r="GN15" i="9"/>
  <c r="D16" i="9"/>
  <c r="L16" i="9"/>
  <c r="T16" i="9"/>
  <c r="AB16" i="9"/>
  <c r="AJ16" i="9"/>
  <c r="AR16" i="9"/>
  <c r="AZ16" i="9"/>
  <c r="BH16" i="9"/>
  <c r="AV9" i="9"/>
  <c r="ER9" i="9"/>
  <c r="L10" i="9"/>
  <c r="BX10" i="9"/>
  <c r="EJ10" i="9"/>
  <c r="D11" i="9"/>
  <c r="BP11" i="9"/>
  <c r="EB11" i="9"/>
  <c r="GN11" i="9"/>
  <c r="BH12" i="9"/>
  <c r="DD12" i="9"/>
  <c r="DY12" i="9"/>
  <c r="EO12" i="9"/>
  <c r="FE12" i="9"/>
  <c r="FQ12" i="9"/>
  <c r="GE12" i="9"/>
  <c r="A13" i="9"/>
  <c r="L13" i="9"/>
  <c r="Y13" i="9"/>
  <c r="AI13" i="9"/>
  <c r="AS13" i="9"/>
  <c r="BC13" i="9"/>
  <c r="BL13" i="9"/>
  <c r="BU13" i="9"/>
  <c r="CD13" i="9"/>
  <c r="CM13" i="9"/>
  <c r="CV13" i="9"/>
  <c r="DE13" i="9"/>
  <c r="DO13" i="9"/>
  <c r="DX13" i="9"/>
  <c r="EG13" i="9"/>
  <c r="EP13" i="9"/>
  <c r="EY13" i="9"/>
  <c r="FH13" i="9"/>
  <c r="FQ13" i="9"/>
  <c r="FZ13" i="9"/>
  <c r="GH13" i="9"/>
  <c r="GP13" i="9"/>
  <c r="F14" i="9"/>
  <c r="N14" i="9"/>
  <c r="V14" i="9"/>
  <c r="AD14" i="9"/>
  <c r="AL14" i="9"/>
  <c r="AT14" i="9"/>
  <c r="BB14" i="9"/>
  <c r="BJ14" i="9"/>
  <c r="BR14" i="9"/>
  <c r="BZ14" i="9"/>
  <c r="CH14" i="9"/>
  <c r="CP14" i="9"/>
  <c r="CX14" i="9"/>
  <c r="DF14" i="9"/>
  <c r="DN14" i="9"/>
  <c r="DV14" i="9"/>
  <c r="ED14" i="9"/>
  <c r="EL14" i="9"/>
  <c r="ET14" i="9"/>
  <c r="FB14" i="9"/>
  <c r="FJ14" i="9"/>
  <c r="FR14" i="9"/>
  <c r="FZ14" i="9"/>
  <c r="GH14" i="9"/>
  <c r="GP14" i="9"/>
  <c r="F15" i="9"/>
  <c r="N15" i="9"/>
  <c r="V15" i="9"/>
  <c r="AD15" i="9"/>
  <c r="AL15" i="9"/>
  <c r="AT15" i="9"/>
  <c r="BB15" i="9"/>
  <c r="BJ15" i="9"/>
  <c r="BR15" i="9"/>
  <c r="BZ15" i="9"/>
  <c r="CH15" i="9"/>
  <c r="CP15" i="9"/>
  <c r="CX15" i="9"/>
  <c r="DF15" i="9"/>
  <c r="DN15" i="9"/>
  <c r="DV15" i="9"/>
  <c r="ED15" i="9"/>
  <c r="EL15" i="9"/>
  <c r="ET15" i="9"/>
  <c r="FB15" i="9"/>
  <c r="FJ15" i="9"/>
  <c r="FR15" i="9"/>
  <c r="BJ9" i="9"/>
  <c r="EZ9" i="9"/>
  <c r="T10" i="9"/>
  <c r="CF10" i="9"/>
  <c r="ER10" i="9"/>
  <c r="L11" i="9"/>
  <c r="BX11" i="9"/>
  <c r="EJ11" i="9"/>
  <c r="D12" i="9"/>
  <c r="BP12" i="9"/>
  <c r="DE12" i="9"/>
  <c r="EA12" i="9"/>
  <c r="EQ12" i="9"/>
  <c r="FG12" i="9"/>
  <c r="FU12" i="9"/>
  <c r="GF12" i="9"/>
  <c r="B13" i="9"/>
  <c r="M13" i="9"/>
  <c r="Z13" i="9"/>
  <c r="AJ13" i="9"/>
  <c r="AU13" i="9"/>
  <c r="BD13" i="9"/>
  <c r="BM13" i="9"/>
  <c r="BV13" i="9"/>
  <c r="CE13" i="9"/>
  <c r="CN13" i="9"/>
  <c r="CW13" i="9"/>
  <c r="DG13" i="9"/>
  <c r="DP13" i="9"/>
  <c r="DY13" i="9"/>
  <c r="EH13" i="9"/>
  <c r="EQ13" i="9"/>
  <c r="EZ13" i="9"/>
  <c r="FI13" i="9"/>
  <c r="FS13" i="9"/>
  <c r="GA13" i="9"/>
  <c r="GI13" i="9"/>
  <c r="GQ13" i="9"/>
  <c r="G14" i="9"/>
  <c r="O14" i="9"/>
  <c r="W14" i="9"/>
  <c r="AE14" i="9"/>
  <c r="AM14" i="9"/>
  <c r="AU14" i="9"/>
  <c r="BC14" i="9"/>
  <c r="BK14" i="9"/>
  <c r="BS14" i="9"/>
  <c r="CA14" i="9"/>
  <c r="CI14" i="9"/>
  <c r="CQ14" i="9"/>
  <c r="CY14" i="9"/>
  <c r="DG14" i="9"/>
  <c r="DO14" i="9"/>
  <c r="DW14" i="9"/>
  <c r="EE14" i="9"/>
  <c r="EM14" i="9"/>
  <c r="EU14" i="9"/>
  <c r="FC14" i="9"/>
  <c r="FK14" i="9"/>
  <c r="FS14" i="9"/>
  <c r="GA14" i="9"/>
  <c r="GI14" i="9"/>
  <c r="GQ14" i="9"/>
  <c r="G15" i="9"/>
  <c r="O15" i="9"/>
  <c r="W15" i="9"/>
  <c r="AE15" i="9"/>
  <c r="AM15" i="9"/>
  <c r="AU15" i="9"/>
  <c r="BC15" i="9"/>
  <c r="BK15" i="9"/>
  <c r="BS15" i="9"/>
  <c r="CA15" i="9"/>
  <c r="CI15" i="9"/>
  <c r="CQ15" i="9"/>
  <c r="CY15" i="9"/>
  <c r="DG15" i="9"/>
  <c r="DO15" i="9"/>
  <c r="DW15" i="9"/>
  <c r="EE15" i="9"/>
  <c r="EM15" i="9"/>
  <c r="EU15" i="9"/>
  <c r="FC15" i="9"/>
  <c r="FK15" i="9"/>
  <c r="FS15" i="9"/>
  <c r="GA15" i="9"/>
  <c r="GI15" i="9"/>
  <c r="GQ15" i="9"/>
  <c r="G16" i="9"/>
  <c r="O16" i="9"/>
  <c r="W16" i="9"/>
  <c r="AE16" i="9"/>
  <c r="AM16" i="9"/>
  <c r="AU16" i="9"/>
  <c r="BW9" i="9"/>
  <c r="FH9" i="9"/>
  <c r="AB10" i="9"/>
  <c r="CN10" i="9"/>
  <c r="EZ10" i="9"/>
  <c r="T11" i="9"/>
  <c r="CF11" i="9"/>
  <c r="ER11" i="9"/>
  <c r="L12" i="9"/>
  <c r="BX12" i="9"/>
  <c r="DI12" i="9"/>
  <c r="EB12" i="9"/>
  <c r="ER12" i="9"/>
  <c r="FH12" i="9"/>
  <c r="FV12" i="9"/>
  <c r="GG12" i="9"/>
  <c r="C13" i="9"/>
  <c r="Q13" i="9"/>
  <c r="AA13" i="9"/>
  <c r="AK13" i="9"/>
  <c r="AV13" i="9"/>
  <c r="BE13" i="9"/>
  <c r="BN13" i="9"/>
  <c r="BW13" i="9"/>
  <c r="CF13" i="9"/>
  <c r="CO13" i="9"/>
  <c r="CY13" i="9"/>
  <c r="DH13" i="9"/>
  <c r="DQ13" i="9"/>
  <c r="DZ13" i="9"/>
  <c r="EI13" i="9"/>
  <c r="ER13" i="9"/>
  <c r="FA13" i="9"/>
  <c r="FK13" i="9"/>
  <c r="FT13" i="9"/>
  <c r="GB13" i="9"/>
  <c r="GJ13" i="9"/>
  <c r="GR13" i="9"/>
  <c r="H14" i="9"/>
  <c r="P14" i="9"/>
  <c r="X14" i="9"/>
  <c r="AF14" i="9"/>
  <c r="AN14" i="9"/>
  <c r="AV14" i="9"/>
  <c r="BD14" i="9"/>
  <c r="BL14" i="9"/>
  <c r="BT14" i="9"/>
  <c r="CB14" i="9"/>
  <c r="CJ14" i="9"/>
  <c r="CR14" i="9"/>
  <c r="CZ14" i="9"/>
  <c r="DH14" i="9"/>
  <c r="DP14" i="9"/>
  <c r="DX14" i="9"/>
  <c r="EF14" i="9"/>
  <c r="EN14" i="9"/>
  <c r="EV14" i="9"/>
  <c r="FD14" i="9"/>
  <c r="FL14" i="9"/>
  <c r="FT14" i="9"/>
  <c r="GB14" i="9"/>
  <c r="GJ14" i="9"/>
  <c r="GR14" i="9"/>
  <c r="H15" i="9"/>
  <c r="P15" i="9"/>
  <c r="X15" i="9"/>
  <c r="AF15" i="9"/>
  <c r="AN15" i="9"/>
  <c r="AV15" i="9"/>
  <c r="BD15" i="9"/>
  <c r="BL15" i="9"/>
  <c r="BT15" i="9"/>
  <c r="CB15" i="9"/>
  <c r="CJ15" i="9"/>
  <c r="CR15" i="9"/>
  <c r="CZ15" i="9"/>
  <c r="DH15" i="9"/>
  <c r="DP15" i="9"/>
  <c r="DX15" i="9"/>
  <c r="EF15" i="9"/>
  <c r="EN15" i="9"/>
  <c r="EV15" i="9"/>
  <c r="FD15" i="9"/>
  <c r="FL15" i="9"/>
  <c r="FT15" i="9"/>
  <c r="CI9" i="9"/>
  <c r="FP9" i="9"/>
  <c r="AJ10" i="9"/>
  <c r="CV10" i="9"/>
  <c r="FH10" i="9"/>
  <c r="AB11" i="9"/>
  <c r="CN11" i="9"/>
  <c r="EZ11" i="9"/>
  <c r="T12" i="9"/>
  <c r="CF12" i="9"/>
  <c r="DL12" i="9"/>
  <c r="EC12" i="9"/>
  <c r="ES12" i="9"/>
  <c r="FI12" i="9"/>
  <c r="FW12" i="9"/>
  <c r="GK12" i="9"/>
  <c r="D13" i="9"/>
  <c r="R13" i="9"/>
  <c r="AB13" i="9"/>
  <c r="AN13" i="9"/>
  <c r="AW13" i="9"/>
  <c r="BF13" i="9"/>
  <c r="BO13" i="9"/>
  <c r="BX13" i="9"/>
  <c r="CG13" i="9"/>
  <c r="CQ13" i="9"/>
  <c r="CZ13" i="9"/>
  <c r="DI13" i="9"/>
  <c r="DR13" i="9"/>
  <c r="EA13" i="9"/>
  <c r="EJ13" i="9"/>
  <c r="ES13" i="9"/>
  <c r="FC13" i="9"/>
  <c r="FL13" i="9"/>
  <c r="FU13" i="9"/>
  <c r="GC13" i="9"/>
  <c r="GK13" i="9"/>
  <c r="A14" i="9"/>
  <c r="I14" i="9"/>
  <c r="Q14" i="9"/>
  <c r="Y14" i="9"/>
  <c r="AG14" i="9"/>
  <c r="AO14" i="9"/>
  <c r="AW14" i="9"/>
  <c r="BE14" i="9"/>
  <c r="BM14" i="9"/>
  <c r="BU14" i="9"/>
  <c r="CC14" i="9"/>
  <c r="CK14" i="9"/>
  <c r="CS14" i="9"/>
  <c r="DA14" i="9"/>
  <c r="DI14" i="9"/>
  <c r="DQ14" i="9"/>
  <c r="DY14" i="9"/>
  <c r="EG14" i="9"/>
  <c r="EO14" i="9"/>
  <c r="EW14" i="9"/>
  <c r="FE14" i="9"/>
  <c r="FM14" i="9"/>
  <c r="FU14" i="9"/>
  <c r="GC14" i="9"/>
  <c r="GK14" i="9"/>
  <c r="A15" i="9"/>
  <c r="I15" i="9"/>
  <c r="Q15" i="9"/>
  <c r="Y15" i="9"/>
  <c r="AG15" i="9"/>
  <c r="AO15" i="9"/>
  <c r="AW15" i="9"/>
  <c r="BE15" i="9"/>
  <c r="BM15" i="9"/>
  <c r="BU15" i="9"/>
  <c r="CC15" i="9"/>
  <c r="CK15" i="9"/>
  <c r="CS15" i="9"/>
  <c r="DA15" i="9"/>
  <c r="DI15" i="9"/>
  <c r="DQ15" i="9"/>
  <c r="DY15" i="9"/>
  <c r="EG15" i="9"/>
  <c r="EO15" i="9"/>
  <c r="EW15" i="9"/>
  <c r="FE15" i="9"/>
  <c r="FM15" i="9"/>
  <c r="E9" i="9"/>
  <c r="DL10" i="9"/>
  <c r="FP11" i="9"/>
  <c r="EI12" i="9"/>
  <c r="GM12" i="9"/>
  <c r="AP13" i="9"/>
  <c r="CA13" i="9"/>
  <c r="DK13" i="9"/>
  <c r="EV13" i="9"/>
  <c r="GE13" i="9"/>
  <c r="S14" i="9"/>
  <c r="AY14" i="9"/>
  <c r="CE14" i="9"/>
  <c r="DK14" i="9"/>
  <c r="EQ14" i="9"/>
  <c r="FW14" i="9"/>
  <c r="K15" i="9"/>
  <c r="AQ15" i="9"/>
  <c r="BW15" i="9"/>
  <c r="DC15" i="9"/>
  <c r="EI15" i="9"/>
  <c r="FO15" i="9"/>
  <c r="GE15" i="9"/>
  <c r="GR15" i="9"/>
  <c r="M16" i="9"/>
  <c r="Y16" i="9"/>
  <c r="AL16" i="9"/>
  <c r="AY16" i="9"/>
  <c r="BI16" i="9"/>
  <c r="BQ16" i="9"/>
  <c r="BY16" i="9"/>
  <c r="CG16" i="9"/>
  <c r="CO16" i="9"/>
  <c r="CW16" i="9"/>
  <c r="DE16" i="9"/>
  <c r="DM16" i="9"/>
  <c r="DU16" i="9"/>
  <c r="EC16" i="9"/>
  <c r="EK16" i="9"/>
  <c r="ES16" i="9"/>
  <c r="FA16" i="9"/>
  <c r="FI16" i="9"/>
  <c r="FQ16" i="9"/>
  <c r="FY16" i="9"/>
  <c r="GG16" i="9"/>
  <c r="GO16" i="9"/>
  <c r="AK9" i="9"/>
  <c r="EB10" i="9"/>
  <c r="GF11" i="9"/>
  <c r="EK12" i="9"/>
  <c r="GO12" i="9"/>
  <c r="AR13" i="9"/>
  <c r="CC13" i="9"/>
  <c r="DM13" i="9"/>
  <c r="EX13" i="9"/>
  <c r="GG13" i="9"/>
  <c r="U14" i="9"/>
  <c r="BA14" i="9"/>
  <c r="CG14" i="9"/>
  <c r="DM14" i="9"/>
  <c r="ES14" i="9"/>
  <c r="FY14" i="9"/>
  <c r="M15" i="9"/>
  <c r="AS15" i="9"/>
  <c r="BY15" i="9"/>
  <c r="DE15" i="9"/>
  <c r="EK15" i="9"/>
  <c r="FQ15" i="9"/>
  <c r="GG15" i="9"/>
  <c r="A16" i="9"/>
  <c r="N16" i="9"/>
  <c r="AA16" i="9"/>
  <c r="AN16" i="9"/>
  <c r="BA16" i="9"/>
  <c r="BJ16" i="9"/>
  <c r="BR16" i="9"/>
  <c r="BZ16" i="9"/>
  <c r="CH16" i="9"/>
  <c r="CP16" i="9"/>
  <c r="CX16" i="9"/>
  <c r="DF16" i="9"/>
  <c r="DN16" i="9"/>
  <c r="DV16" i="9"/>
  <c r="ED16" i="9"/>
  <c r="EL16" i="9"/>
  <c r="ET16" i="9"/>
  <c r="FB16" i="9"/>
  <c r="FJ16" i="9"/>
  <c r="FR16" i="9"/>
  <c r="FZ16" i="9"/>
  <c r="GH16" i="9"/>
  <c r="GP16" i="9"/>
  <c r="DH9" i="9"/>
  <c r="FX10" i="9"/>
  <c r="AJ12" i="9"/>
  <c r="EY12" i="9"/>
  <c r="I13" i="9"/>
  <c r="AY13" i="9"/>
  <c r="CJ13" i="9"/>
  <c r="DT13" i="9"/>
  <c r="FE13" i="9"/>
  <c r="GM13" i="9"/>
  <c r="AA14" i="9"/>
  <c r="BG14" i="9"/>
  <c r="CM14" i="9"/>
  <c r="DS14" i="9"/>
  <c r="EY14" i="9"/>
  <c r="GE14" i="9"/>
  <c r="S15" i="9"/>
  <c r="AY15" i="9"/>
  <c r="CE15" i="9"/>
  <c r="DK15" i="9"/>
  <c r="EQ15" i="9"/>
  <c r="FU15" i="9"/>
  <c r="GH15" i="9"/>
  <c r="C16" i="9"/>
  <c r="P16" i="9"/>
  <c r="AC16" i="9"/>
  <c r="AO16" i="9"/>
  <c r="BB16" i="9"/>
  <c r="BK16" i="9"/>
  <c r="BS16" i="9"/>
  <c r="CA16" i="9"/>
  <c r="CI16" i="9"/>
  <c r="CQ16" i="9"/>
  <c r="CY16" i="9"/>
  <c r="DG16" i="9"/>
  <c r="DO16" i="9"/>
  <c r="DW16" i="9"/>
  <c r="EE16" i="9"/>
  <c r="EM16" i="9"/>
  <c r="EU16" i="9"/>
  <c r="FC16" i="9"/>
  <c r="FK16" i="9"/>
  <c r="FS16" i="9"/>
  <c r="GA16" i="9"/>
  <c r="GI16" i="9"/>
  <c r="GQ16" i="9"/>
  <c r="EI9" i="9"/>
  <c r="GN10" i="9"/>
  <c r="AZ12" i="9"/>
  <c r="FA12" i="9"/>
  <c r="K13" i="9"/>
  <c r="BA13" i="9"/>
  <c r="CL13" i="9"/>
  <c r="DW13" i="9"/>
  <c r="FG13" i="9"/>
  <c r="GO13" i="9"/>
  <c r="AC14" i="9"/>
  <c r="BI14" i="9"/>
  <c r="CO14" i="9"/>
  <c r="DU14" i="9"/>
  <c r="FA14" i="9"/>
  <c r="GG14" i="9"/>
  <c r="U15" i="9"/>
  <c r="BA15" i="9"/>
  <c r="CG15" i="9"/>
  <c r="DM15" i="9"/>
  <c r="ES15" i="9"/>
  <c r="FW15" i="9"/>
  <c r="GJ15" i="9"/>
  <c r="E16" i="9"/>
  <c r="Q16" i="9"/>
  <c r="AD16" i="9"/>
  <c r="AQ16" i="9"/>
  <c r="BC16" i="9"/>
  <c r="BL16" i="9"/>
  <c r="BT16" i="9"/>
  <c r="CB16" i="9"/>
  <c r="CJ16" i="9"/>
  <c r="CR16" i="9"/>
  <c r="CZ16" i="9"/>
  <c r="DH16" i="9"/>
  <c r="DP16" i="9"/>
  <c r="DX16" i="9"/>
  <c r="EF16" i="9"/>
  <c r="EN16" i="9"/>
  <c r="EV16" i="9"/>
  <c r="FD16" i="9"/>
  <c r="FL16" i="9"/>
  <c r="FT16" i="9"/>
  <c r="GB16" i="9"/>
  <c r="GJ16" i="9"/>
  <c r="GR16" i="9"/>
  <c r="GF9" i="9"/>
  <c r="AR11" i="9"/>
  <c r="CO12" i="9"/>
  <c r="FN12" i="9"/>
  <c r="T13" i="9"/>
  <c r="BH13" i="9"/>
  <c r="CS13" i="9"/>
  <c r="EC13" i="9"/>
  <c r="FN13" i="9"/>
  <c r="C14" i="9"/>
  <c r="AI14" i="9"/>
  <c r="BO14" i="9"/>
  <c r="CU14" i="9"/>
  <c r="EA14" i="9"/>
  <c r="FG14" i="9"/>
  <c r="GM14" i="9"/>
  <c r="AA15" i="9"/>
  <c r="BG15" i="9"/>
  <c r="CM15" i="9"/>
  <c r="DS15" i="9"/>
  <c r="EY15" i="9"/>
  <c r="FY15" i="9"/>
  <c r="GK15" i="9"/>
  <c r="F16" i="9"/>
  <c r="S16" i="9"/>
  <c r="AF16" i="9"/>
  <c r="AS16" i="9"/>
  <c r="BD16" i="9"/>
  <c r="BM16" i="9"/>
  <c r="BU16" i="9"/>
  <c r="CC16" i="9"/>
  <c r="CK16" i="9"/>
  <c r="CS16" i="9"/>
  <c r="DA16" i="9"/>
  <c r="DI16" i="9"/>
  <c r="DQ16" i="9"/>
  <c r="DY16" i="9"/>
  <c r="EG16" i="9"/>
  <c r="EO16" i="9"/>
  <c r="EW16" i="9"/>
  <c r="FE16" i="9"/>
  <c r="FM16" i="9"/>
  <c r="FU16" i="9"/>
  <c r="GC16" i="9"/>
  <c r="GK16" i="9"/>
  <c r="D10" i="9"/>
  <c r="BH11" i="9"/>
  <c r="CW12" i="9"/>
  <c r="FP12" i="9"/>
  <c r="X13" i="9"/>
  <c r="BK13" i="9"/>
  <c r="CU13" i="9"/>
  <c r="EF13" i="9"/>
  <c r="FP13" i="9"/>
  <c r="E14" i="9"/>
  <c r="AK14" i="9"/>
  <c r="BQ14" i="9"/>
  <c r="CW14" i="9"/>
  <c r="EC14" i="9"/>
  <c r="FI14" i="9"/>
  <c r="GO14" i="9"/>
  <c r="AC15" i="9"/>
  <c r="BI15" i="9"/>
  <c r="CO15" i="9"/>
  <c r="DU15" i="9"/>
  <c r="FA15" i="9"/>
  <c r="FZ15" i="9"/>
  <c r="GM15" i="9"/>
  <c r="H16" i="9"/>
  <c r="U16" i="9"/>
  <c r="AG16" i="9"/>
  <c r="AT16" i="9"/>
  <c r="BE16" i="9"/>
  <c r="BN16" i="9"/>
  <c r="BV16" i="9"/>
  <c r="CD16" i="9"/>
  <c r="CL16" i="9"/>
  <c r="CT16" i="9"/>
  <c r="DB16" i="9"/>
  <c r="DJ16" i="9"/>
  <c r="DR16" i="9"/>
  <c r="DZ16" i="9"/>
  <c r="EH16" i="9"/>
  <c r="EP16" i="9"/>
  <c r="EX16" i="9"/>
  <c r="FF16" i="9"/>
  <c r="FN16" i="9"/>
  <c r="FV16" i="9"/>
  <c r="GD16" i="9"/>
  <c r="GL16" i="9"/>
  <c r="AZ10" i="9"/>
  <c r="DD11" i="9"/>
  <c r="DQ12" i="9"/>
  <c r="FY12" i="9"/>
  <c r="AF13" i="9"/>
  <c r="BQ13" i="9"/>
  <c r="DB13" i="9"/>
  <c r="EM13" i="9"/>
  <c r="FW13" i="9"/>
  <c r="K14" i="9"/>
  <c r="AQ14" i="9"/>
  <c r="BW14" i="9"/>
  <c r="DC14" i="9"/>
  <c r="EI14" i="9"/>
  <c r="FO14" i="9"/>
  <c r="C15" i="9"/>
  <c r="AI15" i="9"/>
  <c r="BO15" i="9"/>
  <c r="CU15" i="9"/>
  <c r="EA15" i="9"/>
  <c r="FG15" i="9"/>
  <c r="GB15" i="9"/>
  <c r="GO15" i="9"/>
  <c r="I16" i="9"/>
  <c r="V16" i="9"/>
  <c r="AI16" i="9"/>
  <c r="AV16" i="9"/>
  <c r="BF16" i="9"/>
  <c r="BO16" i="9"/>
  <c r="BW16" i="9"/>
  <c r="CE16" i="9"/>
  <c r="CM16" i="9"/>
  <c r="CU16" i="9"/>
  <c r="DC16" i="9"/>
  <c r="DK16" i="9"/>
  <c r="DS16" i="9"/>
  <c r="EA16" i="9"/>
  <c r="EI16" i="9"/>
  <c r="EQ16" i="9"/>
  <c r="EY16" i="9"/>
  <c r="FG16" i="9"/>
  <c r="FO16" i="9"/>
  <c r="FW16" i="9"/>
  <c r="GE16" i="9"/>
  <c r="GM16" i="9"/>
  <c r="BP10" i="9"/>
  <c r="FY13" i="9"/>
  <c r="AK15" i="9"/>
  <c r="X16" i="9"/>
  <c r="CV16" i="9"/>
  <c r="FH16" i="9"/>
  <c r="DT11" i="9"/>
  <c r="M14" i="9"/>
  <c r="BQ15" i="9"/>
  <c r="AK16" i="9"/>
  <c r="DD16" i="9"/>
  <c r="DU12" i="9"/>
  <c r="AS14" i="9"/>
  <c r="CW15" i="9"/>
  <c r="AW16" i="9"/>
  <c r="DL16" i="9"/>
  <c r="FX16" i="9"/>
  <c r="GD12" i="9"/>
  <c r="BY14" i="9"/>
  <c r="EC15" i="9"/>
  <c r="BG16" i="9"/>
  <c r="DT16" i="9"/>
  <c r="GF16" i="9"/>
  <c r="AH13" i="9"/>
  <c r="DE14" i="9"/>
  <c r="FI15" i="9"/>
  <c r="BP16" i="9"/>
  <c r="EB16" i="9"/>
  <c r="GN16" i="9"/>
  <c r="BT13" i="9"/>
  <c r="EK14" i="9"/>
  <c r="GC15" i="9"/>
  <c r="BX16" i="9"/>
  <c r="EJ16" i="9"/>
  <c r="DD13" i="9"/>
  <c r="FQ14" i="9"/>
  <c r="GP15" i="9"/>
  <c r="CF16" i="9"/>
  <c r="ER16" i="9"/>
  <c r="EO13" i="9"/>
  <c r="E15" i="9"/>
  <c r="K16" i="9"/>
  <c r="CN16" i="9"/>
  <c r="EZ16" i="9"/>
  <c r="FP16" i="9"/>
  <c r="B3" i="10" l="1" a="1"/>
  <c r="B7" i="10" l="1"/>
  <c r="B15" i="10"/>
  <c r="B6" i="10"/>
  <c r="B16" i="10"/>
  <c r="B8" i="10"/>
  <c r="B17" i="10"/>
  <c r="B9" i="10"/>
  <c r="B3" i="10"/>
  <c r="B15" i="11" s="1"/>
  <c r="B12" i="10"/>
  <c r="B13" i="10"/>
  <c r="B14" i="10"/>
  <c r="B4" i="10"/>
  <c r="B5" i="10"/>
  <c r="B10" i="10"/>
  <c r="B11" i="10"/>
</calcChain>
</file>

<file path=xl/sharedStrings.xml><?xml version="1.0" encoding="utf-8"?>
<sst xmlns="http://schemas.openxmlformats.org/spreadsheetml/2006/main" count="348" uniqueCount="69">
  <si>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</si>
  <si>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</si>
  <si>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</si>
  <si>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</si>
  <si>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</si>
  <si>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</si>
  <si>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</si>
  <si>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</si>
  <si>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</si>
  <si>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</si>
  <si>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</si>
  <si>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</si>
  <si>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</si>
  <si>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</si>
  <si>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</si>
  <si>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</si>
  <si>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</si>
  <si>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</si>
  <si>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</si>
  <si>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</si>
  <si>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</si>
  <si>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</si>
  <si>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C(4)</t>
  </si>
  <si>
    <t>VS(3)</t>
  </si>
  <si>
    <t>VS(4)</t>
  </si>
  <si>
    <t>C(5)</t>
  </si>
  <si>
    <t>C(6)</t>
  </si>
  <si>
    <t>C(7)</t>
  </si>
  <si>
    <t>C(8)</t>
  </si>
  <si>
    <t>C(9)</t>
  </si>
  <si>
    <t>C(10)</t>
  </si>
  <si>
    <t>C(11)</t>
  </si>
  <si>
    <t>C(12)</t>
  </si>
  <si>
    <t>C(13)</t>
  </si>
  <si>
    <t>C(14)</t>
  </si>
  <si>
    <t>VS(5)</t>
  </si>
  <si>
    <t>VS(6)</t>
  </si>
  <si>
    <t>VS(7)</t>
  </si>
  <si>
    <t>VS(8)</t>
  </si>
  <si>
    <t>VS(9)</t>
  </si>
  <si>
    <t>VS(10)</t>
  </si>
  <si>
    <t>VS(11)</t>
  </si>
  <si>
    <t>VS(12)</t>
  </si>
  <si>
    <t>VS(13)</t>
  </si>
  <si>
    <t>VS(14)</t>
  </si>
  <si>
    <t>Média</t>
  </si>
  <si>
    <t>R^2</t>
  </si>
  <si>
    <t>Outlayer</t>
  </si>
  <si>
    <t>Outlayers</t>
  </si>
  <si>
    <t>Turbina (Lições)</t>
  </si>
  <si>
    <t>Rho_e (kg/(m^3))</t>
  </si>
  <si>
    <t>T_s (K)</t>
  </si>
  <si>
    <t>V_s (m/s)</t>
  </si>
  <si>
    <t>A_e (m^2)</t>
  </si>
  <si>
    <t>P_e (N/(m^2))</t>
  </si>
  <si>
    <t>mPonto (kg/s)</t>
  </si>
  <si>
    <t>Rho_s (kg/(m^3))</t>
  </si>
  <si>
    <t>A_s (m^2)</t>
  </si>
  <si>
    <t>P_s (N/(m^2))</t>
  </si>
  <si>
    <t>Rbarra (m)</t>
  </si>
  <si>
    <t>L (m)</t>
  </si>
  <si>
    <t>t (s)</t>
  </si>
  <si>
    <t>F (N)</t>
  </si>
  <si>
    <t>F (N) Experimental</t>
  </si>
  <si>
    <t>F (N) Teórica</t>
  </si>
  <si>
    <t>Gaussiana (G)</t>
  </si>
  <si>
    <t>Números decimais</t>
  </si>
  <si>
    <t>f(X) = -4985902,72015 * EXP(-6,61710E-11 * ||X - (0,00000;0,00000;0,00000;0,00000;0,00000;0,00000;0,00000;0,00000;0,00000;0,00000;0,00000;0,00000;0,00000;0,00000)|| ^ 2)
+10864270741,64130 * EXP(-6,61710E-11 * ||X - (69545,28615;29849,15460;95995,65684;43881,82788;198746,26403;26084,09624;5777,16412;69078,33146;109533,70695;184590,91248;107649,27041;81284,26550;169449,10410;165245,10523)|| ^ 2)
+37326385078,55770 * EXP(-6,61710E-11 * ||X - (134485,52155;144379,02196;199354,27907;67961,22125;99042,26469;82593,56492;139056,36316;35817,86812;84583,65664;108635,40538;162932,79081;108182,72004;85506,67029;101813,63022)|| ^ 2)
+34903591600,02760 * EXP(-6,61710E-11 * ||X - (45556,32494;123837,52174;97966,09095;136163,88099;177320,01634;74103,07434;60499,51873;58573,37087;30062,26504;105964,23525;44652,36093;116905,85946;72691,74370;175194,93202)|| ^ 2)
+509143269081,39100 * EXP(-6,61710E-11 * ||X - (95602,83840;38126,68971;136812,46295;149483,15822;122786,98992;156427,74279;32348,74681;161555,95933;40523,66656;191352,48696;13170,21402;12304,45659;158639,51610;75920,94441)|| ^ 2)
+15467829025,03990 * EXP(-6,61710E-11 * ||X - (92716,80546;23908,81289;23094,02935;34754,68820;9623,78548;142963,26865;106604,47256;112201,86108;43346,70932;93601,13570;149270,95378;150462,17640;79786,46044;180619,76510)|| ^ 2)
+431908693756,52200 * EXP(-6,61710E-11 * ||X - (149201,38324;17711,90896;126914,22993;142605,59312;3136,48773;86228,87590;80396,52588;55059,10500;197074,78297;160517,47957;139220,15672;83519,84490;146897,63997;55433,68441)|| ^ 2)
+2531012554,23353 * EXP(-6,61710E-11 * ||X - (71317,26064;86691,43176;188994,20544;24309,99982;129190,26896;69566,54117;20886,46413;37080,50903;15536,94748;86551,90922;191854,17923;108405,85598;98875,34784;194593,33441)|| ^ 2)
-21243801533,49420 * EXP(-6,61710E-11 * ||X - (43559,97473;75798,25421;79168,86098;56300,69354;100674,23979;27746,46971;103451,17240;193072,89151;111500,20715;181840,82581;131451,28763;88222,93729;138598,90945;12898,23804)|| ^ 2)
-1041711370831,90000 * EXP(-6,61710E-11 * ||X - (151218,52355;140102,86571;99414,19765;31087,14303;44747,51378;65228,80140;156897,72540;10052,56936;103603,18808;151405,90862;160133,97138;65041,09446;194545,80567;160853,43517)|| ^ 2)
-1598430045762,74000 * EXP(-6,61710E-11 * ||X - (134965,21971;181025,86345;175155,93867;83329,68225;24616,57034;190831,59007;159459,46140;139257,00431;80320,92335;3259,54747;33552,56985;32846,83896;101944,00941;81212,54919)|| ^ 2)
-311458088036,17500 * EXP(-6,61710E-11 * ||X - (21226,75896;55224,66285;128609,36212;169819,99995;99593,84605;37555,03351;179323,32837;74562,86455;64710,96818;154166,55724;43600,07673;89398,65078;47205,56155;175676,91900)|| ^ 2)
+24288653999,66630 * EXP(-6,61710E-11 * ||X - (122086,56384;74886,44624;77900,37882;172117,85428;117187,58676;186311,88924;103438,48853;66060,16695;173690,73735;51812,20171;51908,27247;35738,71316;69391,43465;501,13999)|| ^ 2)
-220835425021,28200 * EXP(-6,61710E-11 * ||X - (148468,41303;168177,41521;55717,89127;140594,03180;80972,92661;162314,27343;148356,14173;87532,78705;15596,12297;82126,33604;67875,04486;142110,85074;62457,62660;159754,70704)|| ^ 2)
-33259,33309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</si>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</sst>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5" fillId="2" borderId="3" applyNumberFormat="0" applyAlignment="0" applyProtection="0"/>
  </cellStyleXfs>
  <cellXfs count="9">
    <xf numFmtId="0" fontId="0" fillId="0" borderId="0" xfId="0"/>
    <xf numFmtId="0" fontId="3" fillId="3" borderId="2" xfId="2" applyFont="1" applyProtection="1">
      <protection hidden="1"/>
    </xf>
    <xf numFmtId="0" fontId="5" fillId="2" borderId="3" xfId="3" applyProtection="1">
      <protection locked="0" hidden="1"/>
    </xf>
    <xf numFmtId="164" fontId="1" fillId="2" borderId="1" xfId="1" applyNumberFormat="1" applyProtection="1">
      <protection hidden="1"/>
    </xf>
    <xf numFmtId="0" fontId="1" fillId="2" borderId="1" xfId="1" applyAlignment="1" applyProtection="1">
      <alignment wrapText="1"/>
      <protection hidden="1"/>
    </xf>
    <xf numFmtId="0" fontId="1" fillId="2" borderId="1" xfId="1" applyProtection="1">
      <protection hidden="1"/>
    </xf>
    <xf numFmtId="165" fontId="1" fillId="2" borderId="1" xfId="1" applyNumberFormat="1" applyProtection="1">
      <protection hidden="1"/>
    </xf>
    <xf numFmtId="0" fontId="0" fillId="0" borderId="0" xfId="0"/>
    <xf numFmtId="0" fontId="0" fillId="0" borderId="0" xfId="0"/>
  </cellXfs>
  <cellStyles count="4">
    <cellStyle name="Cálculo" xfId="1" builtinId="22"/>
    <cellStyle name="Célula de Verificação" xfId="2" builtinId="23"/>
    <cellStyle name="Normal" xfId="0" builtinId="0"/>
    <cellStyle name="Saí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95250</xdr:rowOff>
        </xdr:from>
        <xdr:to>
          <xdr:col>4</xdr:col>
          <xdr:colOff>228600</xdr:colOff>
          <xdr:row>8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"/>
  <sheetViews>
    <sheetView zoomScale="130" zoomScaleNormal="13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95250</xdr:rowOff>
                  </from>
                  <to>
                    <xdr:col>4</xdr:col>
                    <xdr:colOff>228600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P201"/>
  <sheetViews>
    <sheetView workbookViewId="0">
      <selection sqref="A1:P201"/>
    </sheetView>
  </sheetViews>
  <sheetFormatPr defaultRowHeight="15" x14ac:dyDescent="0.25"/>
  <cols>
    <col min="1" max="1" width="15.140625" bestFit="1" customWidth="1"/>
    <col min="2" max="2" width="16.5703125" bestFit="1" customWidth="1"/>
    <col min="3" max="3" width="6.85546875" bestFit="1" customWidth="1"/>
    <col min="4" max="4" width="9.42578125" bestFit="1" customWidth="1"/>
    <col min="5" max="5" width="10" bestFit="1" customWidth="1"/>
    <col min="6" max="7" width="13.7109375" bestFit="1" customWidth="1"/>
    <col min="8" max="8" width="16.28515625" bestFit="1" customWidth="1"/>
    <col min="9" max="9" width="6.85546875" bestFit="1" customWidth="1"/>
    <col min="10" max="10" width="9.42578125" bestFit="1" customWidth="1"/>
    <col min="11" max="11" width="9.7109375" bestFit="1" customWidth="1"/>
    <col min="12" max="12" width="13.42578125" bestFit="1" customWidth="1"/>
    <col min="13" max="13" width="10.28515625" bestFit="1" customWidth="1"/>
    <col min="14" max="14" width="5.42578125" bestFit="1" customWidth="1"/>
    <col min="15" max="15" width="4.42578125" bestFit="1" customWidth="1"/>
    <col min="16" max="16" width="5.28515625" bestFit="1" customWidth="1"/>
  </cols>
  <sheetData>
    <row r="1" spans="1:16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51</v>
      </c>
      <c r="J1" t="s">
        <v>52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</row>
    <row r="2" spans="1:16" x14ac:dyDescent="0.25">
      <c r="A2">
        <v>1</v>
      </c>
      <c r="B2">
        <v>1.24</v>
      </c>
      <c r="C2">
        <v>280</v>
      </c>
      <c r="D2">
        <v>80</v>
      </c>
      <c r="E2">
        <v>0.10100000000000001</v>
      </c>
      <c r="F2">
        <v>100000</v>
      </c>
      <c r="G2">
        <v>6.12</v>
      </c>
      <c r="H2">
        <v>0.35</v>
      </c>
      <c r="I2">
        <v>980</v>
      </c>
      <c r="J2">
        <v>907</v>
      </c>
      <c r="K2">
        <v>3.1E-2</v>
      </c>
      <c r="L2">
        <v>200000</v>
      </c>
      <c r="M2">
        <v>0.14000000000000001</v>
      </c>
      <c r="N2">
        <v>0.8</v>
      </c>
      <c r="O2">
        <v>190</v>
      </c>
      <c r="P2">
        <v>4970</v>
      </c>
    </row>
    <row r="3" spans="1:16" x14ac:dyDescent="0.25">
      <c r="A3">
        <v>2</v>
      </c>
      <c r="B3">
        <v>1.24</v>
      </c>
      <c r="C3">
        <v>280</v>
      </c>
      <c r="D3">
        <v>80</v>
      </c>
      <c r="E3">
        <v>0.10199999999999999</v>
      </c>
      <c r="F3">
        <v>100000</v>
      </c>
      <c r="G3">
        <v>7.03</v>
      </c>
      <c r="H3">
        <v>0.35</v>
      </c>
      <c r="I3">
        <v>970</v>
      </c>
      <c r="J3">
        <v>658</v>
      </c>
      <c r="K3">
        <v>4.4999999999999998E-2</v>
      </c>
      <c r="L3">
        <v>200000</v>
      </c>
      <c r="M3">
        <v>0.15</v>
      </c>
      <c r="N3">
        <v>0.7</v>
      </c>
      <c r="O3">
        <v>240</v>
      </c>
      <c r="P3">
        <v>3840</v>
      </c>
    </row>
    <row r="4" spans="1:16" x14ac:dyDescent="0.25">
      <c r="A4">
        <v>3</v>
      </c>
      <c r="B4">
        <v>1.24</v>
      </c>
      <c r="C4">
        <v>280</v>
      </c>
      <c r="D4">
        <v>70</v>
      </c>
      <c r="E4">
        <v>0.18099999999999999</v>
      </c>
      <c r="F4">
        <v>100000</v>
      </c>
      <c r="G4">
        <v>9.9700000000000006</v>
      </c>
      <c r="H4">
        <v>0.39</v>
      </c>
      <c r="I4">
        <v>900</v>
      </c>
      <c r="J4">
        <v>497</v>
      </c>
      <c r="K4">
        <v>8.1000000000000003E-2</v>
      </c>
      <c r="L4">
        <v>200000</v>
      </c>
      <c r="M4">
        <v>0.2</v>
      </c>
      <c r="N4">
        <v>0.4</v>
      </c>
      <c r="O4">
        <v>230</v>
      </c>
      <c r="P4">
        <v>4718</v>
      </c>
    </row>
    <row r="5" spans="1:16" x14ac:dyDescent="0.25">
      <c r="A5">
        <v>4</v>
      </c>
      <c r="B5">
        <v>1.24</v>
      </c>
      <c r="C5">
        <v>280</v>
      </c>
      <c r="D5">
        <v>60</v>
      </c>
      <c r="E5">
        <v>0.18099999999999999</v>
      </c>
      <c r="F5">
        <v>100000</v>
      </c>
      <c r="G5">
        <v>9.1999999999999993</v>
      </c>
      <c r="H5">
        <v>0.43</v>
      </c>
      <c r="I5">
        <v>800</v>
      </c>
      <c r="J5">
        <v>386</v>
      </c>
      <c r="K5">
        <v>8.1000000000000003E-2</v>
      </c>
      <c r="L5">
        <v>200000</v>
      </c>
      <c r="M5">
        <v>0.2</v>
      </c>
      <c r="N5">
        <v>0.5</v>
      </c>
      <c r="O5">
        <v>160</v>
      </c>
      <c r="P5">
        <v>3017</v>
      </c>
    </row>
    <row r="6" spans="1:16" x14ac:dyDescent="0.25">
      <c r="A6">
        <v>5</v>
      </c>
      <c r="B6">
        <v>1.1599999999999999</v>
      </c>
      <c r="C6">
        <v>300</v>
      </c>
      <c r="D6">
        <v>70</v>
      </c>
      <c r="E6">
        <v>0.10100000000000001</v>
      </c>
      <c r="F6">
        <v>100000</v>
      </c>
      <c r="G6">
        <v>5.0199999999999996</v>
      </c>
      <c r="H6">
        <v>0.45</v>
      </c>
      <c r="I6">
        <v>700</v>
      </c>
      <c r="J6">
        <v>539</v>
      </c>
      <c r="K6">
        <v>3.1E-2</v>
      </c>
      <c r="L6">
        <v>200000</v>
      </c>
      <c r="M6">
        <v>0.14000000000000001</v>
      </c>
      <c r="N6">
        <v>0.4</v>
      </c>
      <c r="O6">
        <v>170</v>
      </c>
      <c r="P6">
        <v>2309</v>
      </c>
    </row>
    <row r="7" spans="1:16" x14ac:dyDescent="0.25">
      <c r="A7">
        <v>6</v>
      </c>
      <c r="B7">
        <v>1.1599999999999999</v>
      </c>
      <c r="C7">
        <v>300</v>
      </c>
      <c r="D7">
        <v>60</v>
      </c>
      <c r="E7">
        <v>0.10199999999999999</v>
      </c>
      <c r="F7">
        <v>100000</v>
      </c>
      <c r="G7">
        <v>4.87</v>
      </c>
      <c r="H7">
        <v>0.35</v>
      </c>
      <c r="I7">
        <v>990</v>
      </c>
      <c r="J7">
        <v>451</v>
      </c>
      <c r="K7">
        <v>4.4999999999999998E-2</v>
      </c>
      <c r="L7">
        <v>200000</v>
      </c>
      <c r="M7">
        <v>0.15</v>
      </c>
      <c r="N7">
        <v>0.45</v>
      </c>
      <c r="O7">
        <v>200</v>
      </c>
      <c r="P7">
        <v>1912</v>
      </c>
    </row>
    <row r="8" spans="1:16" x14ac:dyDescent="0.25">
      <c r="A8">
        <v>7</v>
      </c>
      <c r="B8">
        <v>1.1599999999999999</v>
      </c>
      <c r="C8">
        <v>300</v>
      </c>
      <c r="D8">
        <v>50</v>
      </c>
      <c r="E8">
        <v>0.18099999999999999</v>
      </c>
      <c r="F8">
        <v>100000</v>
      </c>
      <c r="G8">
        <v>7.28</v>
      </c>
      <c r="H8">
        <v>0.53</v>
      </c>
      <c r="I8">
        <v>850</v>
      </c>
      <c r="J8">
        <v>257</v>
      </c>
      <c r="K8">
        <v>8.1000000000000003E-2</v>
      </c>
      <c r="L8">
        <v>200000</v>
      </c>
      <c r="M8">
        <v>0.2</v>
      </c>
      <c r="N8">
        <v>0.7</v>
      </c>
      <c r="O8">
        <v>190</v>
      </c>
      <c r="P8">
        <v>1943</v>
      </c>
    </row>
    <row r="9" spans="1:16" x14ac:dyDescent="0.25">
      <c r="A9">
        <v>8</v>
      </c>
      <c r="B9">
        <v>1.1599999999999999</v>
      </c>
      <c r="C9">
        <v>300</v>
      </c>
      <c r="D9">
        <v>70</v>
      </c>
      <c r="E9">
        <v>0.10199999999999999</v>
      </c>
      <c r="F9">
        <v>100000</v>
      </c>
      <c r="G9">
        <v>9.9499999999999993</v>
      </c>
      <c r="H9">
        <v>0.39</v>
      </c>
      <c r="I9">
        <v>900</v>
      </c>
      <c r="J9">
        <v>471</v>
      </c>
      <c r="K9">
        <v>4.4999999999999998E-2</v>
      </c>
      <c r="L9">
        <v>200000</v>
      </c>
      <c r="M9">
        <v>0.15</v>
      </c>
      <c r="N9">
        <v>0.8</v>
      </c>
      <c r="O9">
        <v>160</v>
      </c>
      <c r="P9">
        <v>2330</v>
      </c>
    </row>
    <row r="10" spans="1:16" x14ac:dyDescent="0.25">
      <c r="A10">
        <v>9</v>
      </c>
      <c r="B10">
        <v>1.1599999999999999</v>
      </c>
      <c r="C10">
        <v>300</v>
      </c>
      <c r="D10">
        <v>60</v>
      </c>
      <c r="E10">
        <v>0.10100000000000001</v>
      </c>
      <c r="F10">
        <v>100000</v>
      </c>
      <c r="G10">
        <v>4.32</v>
      </c>
      <c r="H10">
        <v>0.39</v>
      </c>
      <c r="I10">
        <v>900</v>
      </c>
      <c r="J10">
        <v>575</v>
      </c>
      <c r="K10">
        <v>3.1E-2</v>
      </c>
      <c r="L10">
        <v>200000</v>
      </c>
      <c r="M10">
        <v>0.14000000000000001</v>
      </c>
      <c r="N10">
        <v>0.7</v>
      </c>
      <c r="O10">
        <v>270</v>
      </c>
      <c r="P10">
        <v>2255</v>
      </c>
    </row>
    <row r="11" spans="1:16" x14ac:dyDescent="0.25">
      <c r="A11">
        <v>10</v>
      </c>
      <c r="B11">
        <v>1.1599999999999999</v>
      </c>
      <c r="C11">
        <v>300</v>
      </c>
      <c r="D11">
        <v>2</v>
      </c>
      <c r="E11">
        <v>8.0000000000000002E-3</v>
      </c>
      <c r="F11">
        <v>100000</v>
      </c>
      <c r="G11">
        <v>1.7999999999999999E-2</v>
      </c>
      <c r="H11">
        <v>0.43</v>
      </c>
      <c r="I11">
        <v>800</v>
      </c>
      <c r="J11">
        <v>5</v>
      </c>
      <c r="K11">
        <v>8.0000000000000002E-3</v>
      </c>
      <c r="L11">
        <v>100000</v>
      </c>
      <c r="M11">
        <v>0.05</v>
      </c>
      <c r="N11">
        <v>0.33</v>
      </c>
      <c r="O11">
        <v>260</v>
      </c>
      <c r="P11">
        <v>0.06</v>
      </c>
    </row>
    <row r="12" spans="1:16" x14ac:dyDescent="0.25">
      <c r="A12">
        <v>11</v>
      </c>
      <c r="B12">
        <v>1.1667530292701285</v>
      </c>
      <c r="C12">
        <v>286.66781485369677</v>
      </c>
      <c r="D12">
        <v>49.320530346724809</v>
      </c>
      <c r="E12">
        <v>0.16965971584048542</v>
      </c>
      <c r="F12">
        <v>100000</v>
      </c>
      <c r="G12">
        <v>2.295154926737681</v>
      </c>
      <c r="H12">
        <v>0.4126623629590726</v>
      </c>
      <c r="I12">
        <v>763.12336098254946</v>
      </c>
      <c r="J12">
        <v>658.63039850330097</v>
      </c>
      <c r="K12">
        <v>4.6033458396396595E-2</v>
      </c>
      <c r="L12">
        <v>192584.85386646137</v>
      </c>
      <c r="M12">
        <v>0.14992799634844137</v>
      </c>
      <c r="N12">
        <v>0.78927563588214744</v>
      </c>
      <c r="O12">
        <v>240.59562282956699</v>
      </c>
      <c r="P12">
        <v>1868.6329837191026</v>
      </c>
    </row>
    <row r="13" spans="1:16" x14ac:dyDescent="0.25">
      <c r="A13">
        <v>12</v>
      </c>
      <c r="B13">
        <v>1.1637387993215749</v>
      </c>
      <c r="C13">
        <v>290.32608405394734</v>
      </c>
      <c r="D13">
        <v>76.356998217360712</v>
      </c>
      <c r="E13">
        <v>0.15408288442378273</v>
      </c>
      <c r="F13">
        <v>100000</v>
      </c>
      <c r="G13">
        <v>9.8468249107742398</v>
      </c>
      <c r="H13">
        <v>0.4045255822862811</v>
      </c>
      <c r="I13">
        <v>757.44703132454254</v>
      </c>
      <c r="J13">
        <v>557.67749827552518</v>
      </c>
      <c r="K13">
        <v>3.6015896098957501E-2</v>
      </c>
      <c r="L13">
        <v>137362.82880296651</v>
      </c>
      <c r="M13">
        <v>8.9715847756492551E-2</v>
      </c>
      <c r="N13">
        <v>0.6519625179348818</v>
      </c>
      <c r="O13">
        <v>186.19577049529653</v>
      </c>
      <c r="P13">
        <v>2498.8927390434042</v>
      </c>
    </row>
    <row r="14" spans="1:16" x14ac:dyDescent="0.25">
      <c r="A14">
        <v>13</v>
      </c>
      <c r="B14">
        <v>1.2044158756957899</v>
      </c>
      <c r="C14">
        <v>292.14325950932323</v>
      </c>
      <c r="D14">
        <v>13.784159862966366</v>
      </c>
      <c r="E14">
        <v>0.13519853459984163</v>
      </c>
      <c r="F14">
        <v>100000</v>
      </c>
      <c r="G14">
        <v>6.4358138575449297</v>
      </c>
      <c r="H14">
        <v>0.47521773855147065</v>
      </c>
      <c r="I14">
        <v>859.52565190576479</v>
      </c>
      <c r="J14">
        <v>517.43981495248045</v>
      </c>
      <c r="K14">
        <v>1.7006569355698664E-2</v>
      </c>
      <c r="L14">
        <v>185485.27945778327</v>
      </c>
      <c r="M14">
        <v>0.16777236757156772</v>
      </c>
      <c r="N14">
        <v>0.43828899956512724</v>
      </c>
      <c r="O14">
        <v>239.06278275957965</v>
      </c>
      <c r="P14">
        <v>2234.086789683503</v>
      </c>
    </row>
    <row r="15" spans="1:16" x14ac:dyDescent="0.25">
      <c r="A15">
        <v>14</v>
      </c>
      <c r="B15">
        <v>1.2018688128286317</v>
      </c>
      <c r="C15">
        <v>287.61774275795892</v>
      </c>
      <c r="D15">
        <v>8.6713341362277312</v>
      </c>
      <c r="E15">
        <v>0.14513980393738357</v>
      </c>
      <c r="F15">
        <v>100000</v>
      </c>
      <c r="G15">
        <v>3.9557365545934529</v>
      </c>
      <c r="H15">
        <v>0.40536326269660922</v>
      </c>
      <c r="I15">
        <v>746.3217180846417</v>
      </c>
      <c r="J15">
        <v>210.30805809632758</v>
      </c>
      <c r="K15">
        <v>7.3861776337964147E-2</v>
      </c>
      <c r="L15">
        <v>134020.17059652868</v>
      </c>
      <c r="M15">
        <v>9.2737693283689776E-2</v>
      </c>
      <c r="N15">
        <v>0.35417266633745054</v>
      </c>
      <c r="O15">
        <v>224.56427150900089</v>
      </c>
      <c r="P15">
        <v>142.55593268429934</v>
      </c>
    </row>
    <row r="16" spans="1:16" x14ac:dyDescent="0.25">
      <c r="A16">
        <v>15</v>
      </c>
      <c r="B16">
        <v>1.1828496632220395</v>
      </c>
      <c r="C16">
        <v>296.81092635160036</v>
      </c>
      <c r="D16">
        <v>6.7677822502281009</v>
      </c>
      <c r="E16">
        <v>6.0480117418263951E-2</v>
      </c>
      <c r="F16">
        <v>100000</v>
      </c>
      <c r="G16">
        <v>1.3408715184325499</v>
      </c>
      <c r="H16">
        <v>0.39556442274947695</v>
      </c>
      <c r="I16">
        <v>790.93868519158525</v>
      </c>
      <c r="J16">
        <v>546.00694936772857</v>
      </c>
      <c r="K16">
        <v>3.8768483588584916E-2</v>
      </c>
      <c r="L16">
        <v>106454.6044396933</v>
      </c>
      <c r="M16">
        <v>0.15315175787683846</v>
      </c>
      <c r="N16">
        <v>0.34864513360333166</v>
      </c>
      <c r="O16">
        <v>178.51896646784718</v>
      </c>
      <c r="P16">
        <v>1760.1551828051163</v>
      </c>
    </row>
    <row r="17" spans="1:16" x14ac:dyDescent="0.25">
      <c r="A17">
        <v>16</v>
      </c>
      <c r="B17">
        <v>1.1624211650174012</v>
      </c>
      <c r="C17">
        <v>295.2257330474572</v>
      </c>
      <c r="D17">
        <v>48.629963933721875</v>
      </c>
      <c r="E17">
        <v>0.14641587052709071</v>
      </c>
      <c r="F17">
        <v>100000</v>
      </c>
      <c r="G17">
        <v>4.458847216472912</v>
      </c>
      <c r="H17">
        <v>0.5195577076855552</v>
      </c>
      <c r="I17">
        <v>804.08653698499779</v>
      </c>
      <c r="J17">
        <v>101.83915416795141</v>
      </c>
      <c r="K17">
        <v>5.9270832515313294E-2</v>
      </c>
      <c r="L17">
        <v>166657.7923230585</v>
      </c>
      <c r="M17">
        <v>0.16382232942267907</v>
      </c>
      <c r="N17">
        <v>0.75663519499451459</v>
      </c>
      <c r="O17">
        <v>180.88562253366283</v>
      </c>
      <c r="P17">
        <v>552.04418807066054</v>
      </c>
    </row>
    <row r="18" spans="1:16" x14ac:dyDescent="0.25">
      <c r="A18">
        <v>17</v>
      </c>
      <c r="B18">
        <v>1.1705519537285254</v>
      </c>
      <c r="C18">
        <v>296.41512812195037</v>
      </c>
      <c r="D18">
        <v>17.09713766634048</v>
      </c>
      <c r="E18">
        <v>1.1297325946142467E-2</v>
      </c>
      <c r="F18">
        <v>100000</v>
      </c>
      <c r="G18">
        <v>7.797394521943243</v>
      </c>
      <c r="H18">
        <v>0.42511131650732253</v>
      </c>
      <c r="I18">
        <v>837.90801417929572</v>
      </c>
      <c r="J18">
        <v>302.03935286183753</v>
      </c>
      <c r="K18">
        <v>4.7695453847198456E-2</v>
      </c>
      <c r="L18">
        <v>153967.22939929293</v>
      </c>
      <c r="M18">
        <v>9.8065370514674718E-2</v>
      </c>
      <c r="N18">
        <v>0.38261673701297944</v>
      </c>
      <c r="O18">
        <v>253.5264895781134</v>
      </c>
      <c r="P18">
        <v>343.94953213723477</v>
      </c>
    </row>
    <row r="19" spans="1:16" x14ac:dyDescent="0.25">
      <c r="A19">
        <v>18</v>
      </c>
      <c r="B19">
        <v>1.1844912972126356</v>
      </c>
      <c r="C19">
        <v>292.49460715577453</v>
      </c>
      <c r="D19">
        <v>33.127492000668468</v>
      </c>
      <c r="E19">
        <v>7.9639208012270035E-2</v>
      </c>
      <c r="F19">
        <v>100000</v>
      </c>
      <c r="G19">
        <v>5.6658027027726323</v>
      </c>
      <c r="H19">
        <v>0.4371472740198078</v>
      </c>
      <c r="I19">
        <v>754.66903685224577</v>
      </c>
      <c r="J19">
        <v>349.83626512934336</v>
      </c>
      <c r="K19">
        <v>9.6412103175524226E-3</v>
      </c>
      <c r="L19">
        <v>119811.62098438881</v>
      </c>
      <c r="M19">
        <v>0.13250757810119448</v>
      </c>
      <c r="N19">
        <v>0.57735705772685963</v>
      </c>
      <c r="O19">
        <v>183.64603438472477</v>
      </c>
      <c r="P19">
        <v>1652.3469597124897</v>
      </c>
    </row>
    <row r="20" spans="1:16" x14ac:dyDescent="0.25">
      <c r="A20">
        <v>19</v>
      </c>
      <c r="B20">
        <v>1.1752045171504428</v>
      </c>
      <c r="C20">
        <v>297.74115631905158</v>
      </c>
      <c r="D20">
        <v>8.6568593347077503</v>
      </c>
      <c r="E20">
        <v>3.3736437305737742E-2</v>
      </c>
      <c r="F20">
        <v>100000</v>
      </c>
      <c r="G20">
        <v>9.388218612579923</v>
      </c>
      <c r="H20">
        <v>0.50262940547937096</v>
      </c>
      <c r="I20">
        <v>878.12281029710459</v>
      </c>
      <c r="J20">
        <v>67.154104815149424</v>
      </c>
      <c r="K20">
        <v>3.4689302241255798E-2</v>
      </c>
      <c r="L20">
        <v>199671.44947157963</v>
      </c>
      <c r="M20">
        <v>0.10720512038672406</v>
      </c>
      <c r="N20">
        <v>0.46647876339672478</v>
      </c>
      <c r="O20">
        <v>186.42886849743837</v>
      </c>
      <c r="P20">
        <v>2245.6391669329519</v>
      </c>
    </row>
    <row r="21" spans="1:16" x14ac:dyDescent="0.25">
      <c r="A21">
        <v>20</v>
      </c>
      <c r="B21">
        <v>1.1673522130512617</v>
      </c>
      <c r="C21">
        <v>288.01301652492492</v>
      </c>
      <c r="D21">
        <v>51.456322528257381</v>
      </c>
      <c r="E21">
        <v>8.8357454783872136E-2</v>
      </c>
      <c r="F21">
        <v>100000</v>
      </c>
      <c r="G21">
        <v>0.48784627155270305</v>
      </c>
      <c r="H21">
        <v>0.43366599179372411</v>
      </c>
      <c r="I21">
        <v>872.55918071164012</v>
      </c>
      <c r="J21">
        <v>161.87108595576785</v>
      </c>
      <c r="K21">
        <v>6.7894040642083459E-2</v>
      </c>
      <c r="L21">
        <v>156204.81820432932</v>
      </c>
      <c r="M21">
        <v>5.0835808904804887E-2</v>
      </c>
      <c r="N21">
        <v>0.51876130569857337</v>
      </c>
      <c r="O21">
        <v>242.27817879563568</v>
      </c>
      <c r="P21">
        <v>364.42011840204174</v>
      </c>
    </row>
    <row r="22" spans="1:16" x14ac:dyDescent="0.25">
      <c r="A22">
        <v>21</v>
      </c>
      <c r="B22">
        <v>1.1799922266652665</v>
      </c>
      <c r="C22">
        <v>291.01036393460095</v>
      </c>
      <c r="D22">
        <v>67.581600342488102</v>
      </c>
      <c r="E22">
        <v>7.9905172247649398E-2</v>
      </c>
      <c r="F22">
        <v>100000</v>
      </c>
      <c r="G22">
        <v>4.8650419541148429</v>
      </c>
      <c r="H22">
        <v>0.41110412841837718</v>
      </c>
      <c r="I22">
        <v>818.55119174854599</v>
      </c>
      <c r="J22">
        <v>220.47694506823228</v>
      </c>
      <c r="K22">
        <v>1.4248390415235578E-2</v>
      </c>
      <c r="L22">
        <v>145666.65321070363</v>
      </c>
      <c r="M22">
        <v>0.10673229446208393</v>
      </c>
      <c r="N22">
        <v>0.36116903950427287</v>
      </c>
      <c r="O22">
        <v>189.74731781119178</v>
      </c>
      <c r="P22">
        <v>593.23331014976316</v>
      </c>
    </row>
    <row r="23" spans="1:16" x14ac:dyDescent="0.25">
      <c r="A23">
        <v>22</v>
      </c>
      <c r="B23">
        <v>1.1952862759437497</v>
      </c>
      <c r="C23">
        <v>291.27168218722085</v>
      </c>
      <c r="D23">
        <v>27.101005677265615</v>
      </c>
      <c r="E23">
        <v>9.742015493596444E-2</v>
      </c>
      <c r="F23">
        <v>100000</v>
      </c>
      <c r="G23">
        <v>8.9855198604522037</v>
      </c>
      <c r="H23">
        <v>0.40283178029797151</v>
      </c>
      <c r="I23">
        <v>861.66563295829997</v>
      </c>
      <c r="J23">
        <v>276.42727573538082</v>
      </c>
      <c r="K23">
        <v>7.1517871642631486E-2</v>
      </c>
      <c r="L23">
        <v>127897.17904801262</v>
      </c>
      <c r="M23">
        <v>8.2609989500509767E-2</v>
      </c>
      <c r="N23">
        <v>0.61776686885141863</v>
      </c>
      <c r="O23">
        <v>236.67296596391347</v>
      </c>
      <c r="P23">
        <v>1451.4269959285243</v>
      </c>
    </row>
    <row r="24" spans="1:16" x14ac:dyDescent="0.25">
      <c r="A24">
        <v>23</v>
      </c>
      <c r="B24">
        <v>1.1863645271249033</v>
      </c>
      <c r="C24">
        <v>294.02941129868037</v>
      </c>
      <c r="D24">
        <v>13.037246120227197</v>
      </c>
      <c r="E24">
        <v>9.8599031473302109E-2</v>
      </c>
      <c r="F24">
        <v>100000</v>
      </c>
      <c r="G24">
        <v>2.8359104940982225</v>
      </c>
      <c r="H24">
        <v>0.4006640491038907</v>
      </c>
      <c r="I24">
        <v>875.80464183734</v>
      </c>
      <c r="J24">
        <v>524.92679152448727</v>
      </c>
      <c r="K24">
        <v>5.0520113780222795E-2</v>
      </c>
      <c r="L24">
        <v>118231.58451703473</v>
      </c>
      <c r="M24">
        <v>0.14535954538161339</v>
      </c>
      <c r="N24">
        <v>0.61141248666221903</v>
      </c>
      <c r="O24">
        <v>198.02834093429564</v>
      </c>
      <c r="P24">
        <v>2245.0090591005646</v>
      </c>
    </row>
    <row r="25" spans="1:16" x14ac:dyDescent="0.25">
      <c r="A25">
        <v>24</v>
      </c>
      <c r="B25">
        <v>1.1640393612746744</v>
      </c>
      <c r="C25">
        <v>291.97399255435079</v>
      </c>
      <c r="D25">
        <v>50.654994940303382</v>
      </c>
      <c r="E25">
        <v>2.9843587330807258E-2</v>
      </c>
      <c r="F25">
        <v>100000</v>
      </c>
      <c r="G25">
        <v>5.4593646986504609</v>
      </c>
      <c r="H25">
        <v>0.49016937382789011</v>
      </c>
      <c r="I25">
        <v>857.92142937870767</v>
      </c>
      <c r="J25">
        <v>253.58857399438031</v>
      </c>
      <c r="K25">
        <v>2.0653442582655078E-2</v>
      </c>
      <c r="L25">
        <v>141404.30159888495</v>
      </c>
      <c r="M25">
        <v>0.12869265049690123</v>
      </c>
      <c r="N25">
        <v>0.73085817414276599</v>
      </c>
      <c r="O25">
        <v>209.15763161040462</v>
      </c>
      <c r="P25">
        <v>1305.9986184287263</v>
      </c>
    </row>
    <row r="26" spans="1:16" x14ac:dyDescent="0.25">
      <c r="A26">
        <v>25</v>
      </c>
      <c r="B26">
        <v>1.1729645406537783</v>
      </c>
      <c r="C26">
        <v>293.39660969092347</v>
      </c>
      <c r="D26">
        <v>66.486766660015746</v>
      </c>
      <c r="E26">
        <v>0.13917979513766859</v>
      </c>
      <c r="F26">
        <v>100000</v>
      </c>
      <c r="G26">
        <v>0.54758259115975338</v>
      </c>
      <c r="H26">
        <v>0.50760459962582272</v>
      </c>
      <c r="I26">
        <v>757.77837271387534</v>
      </c>
      <c r="J26">
        <v>252.82665385718241</v>
      </c>
      <c r="K26">
        <v>4.9254877084440554E-2</v>
      </c>
      <c r="L26">
        <v>161577.46491429102</v>
      </c>
      <c r="M26">
        <v>9.3950193646043512E-2</v>
      </c>
      <c r="N26">
        <v>0.65428073687006583</v>
      </c>
      <c r="O26">
        <v>242.55474133985615</v>
      </c>
      <c r="P26">
        <v>1758.2818591876448</v>
      </c>
    </row>
    <row r="27" spans="1:16" x14ac:dyDescent="0.25">
      <c r="A27">
        <v>26</v>
      </c>
      <c r="B27">
        <v>1.1715399378752125</v>
      </c>
      <c r="C27">
        <v>293.9186882234294</v>
      </c>
      <c r="D27">
        <v>10.639739294747354</v>
      </c>
      <c r="E27">
        <v>0.14589480298499208</v>
      </c>
      <c r="F27">
        <v>100000</v>
      </c>
      <c r="G27">
        <v>6.2802530069970279</v>
      </c>
      <c r="H27">
        <v>0.48129577225547154</v>
      </c>
      <c r="I27">
        <v>796.1142927222711</v>
      </c>
      <c r="J27">
        <v>485.07747877766099</v>
      </c>
      <c r="K27">
        <v>2.3442500483973602E-2</v>
      </c>
      <c r="L27">
        <v>126852.1169651916</v>
      </c>
      <c r="M27">
        <v>5.5247567391543219E-2</v>
      </c>
      <c r="N27">
        <v>0.405983829114971</v>
      </c>
      <c r="O27">
        <v>202.86834376671251</v>
      </c>
      <c r="P27">
        <v>2069.4392471006972</v>
      </c>
    </row>
    <row r="28" spans="1:16" x14ac:dyDescent="0.25">
      <c r="A28">
        <v>27</v>
      </c>
      <c r="B28">
        <v>1.1834600513440603</v>
      </c>
      <c r="C28">
        <v>296.79928024976806</v>
      </c>
      <c r="D28">
        <v>51.944594682467695</v>
      </c>
      <c r="E28">
        <v>9.4607762713498134E-2</v>
      </c>
      <c r="F28">
        <v>100000</v>
      </c>
      <c r="G28">
        <v>2.728392895448442</v>
      </c>
      <c r="H28">
        <v>0.49397624430053633</v>
      </c>
      <c r="I28">
        <v>764.25953532885876</v>
      </c>
      <c r="J28">
        <v>198.45624273815665</v>
      </c>
      <c r="K28">
        <v>1.0515926035967847E-2</v>
      </c>
      <c r="L28">
        <v>162181.73402825234</v>
      </c>
      <c r="M28">
        <v>0.1011693044377161</v>
      </c>
      <c r="N28">
        <v>0.41676968418847427</v>
      </c>
      <c r="O28">
        <v>205.09057136416428</v>
      </c>
      <c r="P28">
        <v>2015.1624917410059</v>
      </c>
    </row>
    <row r="29" spans="1:16" x14ac:dyDescent="0.25">
      <c r="A29">
        <v>28</v>
      </c>
      <c r="B29">
        <v>1.1788818218014081</v>
      </c>
      <c r="C29">
        <v>291.40269925733168</v>
      </c>
      <c r="D29">
        <v>17.155108207148217</v>
      </c>
      <c r="E29">
        <v>0.12416363904584618</v>
      </c>
      <c r="F29">
        <v>100000</v>
      </c>
      <c r="G29">
        <v>8.6604743009740854</v>
      </c>
      <c r="H29">
        <v>0.50364466674952724</v>
      </c>
      <c r="I29">
        <v>856.32376372973397</v>
      </c>
      <c r="J29">
        <v>128.82182759155734</v>
      </c>
      <c r="K29">
        <v>1.911811758958129E-2</v>
      </c>
      <c r="L29">
        <v>174918.71712178297</v>
      </c>
      <c r="M29">
        <v>0.12237837266074655</v>
      </c>
      <c r="N29">
        <v>0.60926705612178278</v>
      </c>
      <c r="O29">
        <v>214.09505846836413</v>
      </c>
      <c r="P29">
        <v>852.84255286092321</v>
      </c>
    </row>
    <row r="30" spans="1:16" x14ac:dyDescent="0.25">
      <c r="A30">
        <v>29</v>
      </c>
      <c r="B30">
        <v>1.192881360291782</v>
      </c>
      <c r="C30">
        <v>288.52898729417041</v>
      </c>
      <c r="D30">
        <v>32.891900007384578</v>
      </c>
      <c r="E30">
        <v>0.1046764897467838</v>
      </c>
      <c r="F30">
        <v>100000</v>
      </c>
      <c r="G30">
        <v>7.2920782759195166</v>
      </c>
      <c r="H30">
        <v>0.47603118051697124</v>
      </c>
      <c r="I30">
        <v>835.10310300206663</v>
      </c>
      <c r="J30">
        <v>183.92367652960826</v>
      </c>
      <c r="K30">
        <v>1.9447873018323653E-2</v>
      </c>
      <c r="L30">
        <v>181869.80329317073</v>
      </c>
      <c r="M30">
        <v>8.9691270496328482E-2</v>
      </c>
      <c r="N30">
        <v>0.48543763667907303</v>
      </c>
      <c r="O30">
        <v>237.64128636579139</v>
      </c>
      <c r="P30">
        <v>1816.8678948432689</v>
      </c>
    </row>
    <row r="31" spans="1:16" x14ac:dyDescent="0.25">
      <c r="A31">
        <v>30</v>
      </c>
      <c r="B31">
        <v>1.189828922648337</v>
      </c>
      <c r="C31">
        <v>289.45455163709482</v>
      </c>
      <c r="D31">
        <v>34.419859616428127</v>
      </c>
      <c r="E31">
        <v>0.1361962383603624</v>
      </c>
      <c r="F31">
        <v>100000</v>
      </c>
      <c r="G31">
        <v>3.2453864996373891</v>
      </c>
      <c r="H31">
        <v>0.50301948429145638</v>
      </c>
      <c r="I31">
        <v>772.61660641449919</v>
      </c>
      <c r="J31">
        <v>411.56178074535433</v>
      </c>
      <c r="K31">
        <v>3.4990681829183398E-2</v>
      </c>
      <c r="L31">
        <v>172788.33553333563</v>
      </c>
      <c r="M31">
        <v>0.13800175778086837</v>
      </c>
      <c r="N31">
        <v>0.65536084157339003</v>
      </c>
      <c r="O31">
        <v>214.73922983279206</v>
      </c>
      <c r="P31">
        <v>1963.5665429944502</v>
      </c>
    </row>
    <row r="32" spans="1:16" x14ac:dyDescent="0.25">
      <c r="A32">
        <v>31</v>
      </c>
      <c r="B32">
        <v>1.1930558886696785</v>
      </c>
      <c r="C32">
        <v>289.46344053305347</v>
      </c>
      <c r="D32">
        <v>58.286930760548074</v>
      </c>
      <c r="E32">
        <v>0.10250220159227058</v>
      </c>
      <c r="F32">
        <v>100000</v>
      </c>
      <c r="G32">
        <v>6.3375536876358955</v>
      </c>
      <c r="H32">
        <v>0.47840632234069924</v>
      </c>
      <c r="I32">
        <v>788.12346200345928</v>
      </c>
      <c r="J32">
        <v>204.70767607058383</v>
      </c>
      <c r="K32">
        <v>6.7879494518092845E-2</v>
      </c>
      <c r="L32">
        <v>131598.97197896792</v>
      </c>
      <c r="M32">
        <v>0.14304126917818061</v>
      </c>
      <c r="N32">
        <v>0.57523634112786315</v>
      </c>
      <c r="O32">
        <v>218.94931976689168</v>
      </c>
      <c r="P32">
        <v>1018.6932128625606</v>
      </c>
    </row>
    <row r="33" spans="1:16" x14ac:dyDescent="0.25">
      <c r="A33">
        <v>32</v>
      </c>
      <c r="B33">
        <v>1.1797900198056976</v>
      </c>
      <c r="C33">
        <v>290.67264167452203</v>
      </c>
      <c r="D33">
        <v>66.026138134958799</v>
      </c>
      <c r="E33">
        <v>0.1180464638117775</v>
      </c>
      <c r="F33">
        <v>100000</v>
      </c>
      <c r="G33">
        <v>1.2418117434650759</v>
      </c>
      <c r="H33">
        <v>0.47787253304630201</v>
      </c>
      <c r="I33">
        <v>796.06474478961582</v>
      </c>
      <c r="J33">
        <v>467.94523334836521</v>
      </c>
      <c r="K33">
        <v>1.6199251332970285E-2</v>
      </c>
      <c r="L33">
        <v>144799.10797847839</v>
      </c>
      <c r="M33">
        <v>0.12937872250377058</v>
      </c>
      <c r="N33">
        <v>0.52336254094954071</v>
      </c>
      <c r="O33">
        <v>226.32793943076197</v>
      </c>
      <c r="P33">
        <v>2036.076356676559</v>
      </c>
    </row>
    <row r="34" spans="1:16" x14ac:dyDescent="0.25">
      <c r="A34">
        <v>33</v>
      </c>
      <c r="B34">
        <v>1.1844814367889824</v>
      </c>
      <c r="C34">
        <v>289.99342718337044</v>
      </c>
      <c r="D34">
        <v>57.144293069411361</v>
      </c>
      <c r="E34">
        <v>8.6295563133106309E-2</v>
      </c>
      <c r="F34">
        <v>100000</v>
      </c>
      <c r="G34">
        <v>4.2378197818462562</v>
      </c>
      <c r="H34">
        <v>0.47315260998239073</v>
      </c>
      <c r="I34">
        <v>766.46691433177523</v>
      </c>
      <c r="J34">
        <v>227.60699852590272</v>
      </c>
      <c r="K34">
        <v>2.1337609191090363E-2</v>
      </c>
      <c r="L34">
        <v>177474.71199794975</v>
      </c>
      <c r="M34">
        <v>0.1267271730044888</v>
      </c>
      <c r="N34">
        <v>0.58285015363379078</v>
      </c>
      <c r="O34">
        <v>222.55480535772159</v>
      </c>
      <c r="P34">
        <v>1707.7769945383536</v>
      </c>
    </row>
    <row r="35" spans="1:16" x14ac:dyDescent="0.25">
      <c r="A35">
        <v>34</v>
      </c>
      <c r="B35">
        <v>1.1740108036653045</v>
      </c>
      <c r="C35">
        <v>294.18421439601582</v>
      </c>
      <c r="D35">
        <v>12.472413966080417</v>
      </c>
      <c r="E35">
        <v>7.3532746256728482E-2</v>
      </c>
      <c r="F35">
        <v>100000</v>
      </c>
      <c r="G35">
        <v>4.3413156370180292</v>
      </c>
      <c r="H35">
        <v>0.47937211126068502</v>
      </c>
      <c r="I35">
        <v>856.89120321277517</v>
      </c>
      <c r="J35">
        <v>204.55512875290879</v>
      </c>
      <c r="K35">
        <v>3.9142450608180529E-2</v>
      </c>
      <c r="L35">
        <v>153067.13892342028</v>
      </c>
      <c r="M35">
        <v>8.6462074165304187E-2</v>
      </c>
      <c r="N35">
        <v>0.51732571224818946</v>
      </c>
      <c r="O35">
        <v>222.68074341819968</v>
      </c>
      <c r="P35">
        <v>1893.4562013220743</v>
      </c>
    </row>
    <row r="36" spans="1:16" x14ac:dyDescent="0.25">
      <c r="A36">
        <v>35</v>
      </c>
      <c r="B36">
        <v>1.1774975665717502</v>
      </c>
      <c r="C36">
        <v>289.77045828002298</v>
      </c>
      <c r="D36">
        <v>54.995103183103538</v>
      </c>
      <c r="E36">
        <v>0.13275361359695659</v>
      </c>
      <c r="F36">
        <v>100000</v>
      </c>
      <c r="G36">
        <v>5.9604136976445146</v>
      </c>
      <c r="H36">
        <v>0.49048233117694279</v>
      </c>
      <c r="I36">
        <v>792.9980383952992</v>
      </c>
      <c r="J36">
        <v>221.92959695996637</v>
      </c>
      <c r="K36">
        <v>5.7019462483625022E-2</v>
      </c>
      <c r="L36">
        <v>150467.79922292745</v>
      </c>
      <c r="M36">
        <v>9.6555226567152264E-2</v>
      </c>
      <c r="N36">
        <v>0.42798539765641624</v>
      </c>
      <c r="O36">
        <v>204.19581862323108</v>
      </c>
      <c r="P36">
        <v>872.79727878081007</v>
      </c>
    </row>
    <row r="37" spans="1:16" x14ac:dyDescent="0.25">
      <c r="A37">
        <v>36</v>
      </c>
      <c r="B37">
        <v>1.178500125892028</v>
      </c>
      <c r="C37">
        <v>294.60252557111784</v>
      </c>
      <c r="D37">
        <v>19.170035283687369</v>
      </c>
      <c r="E37">
        <v>9.8013905050097841E-2</v>
      </c>
      <c r="F37">
        <v>100000</v>
      </c>
      <c r="G37">
        <v>7.3466280153191192</v>
      </c>
      <c r="H37">
        <v>0.49088336668694615</v>
      </c>
      <c r="I37">
        <v>856.31287472278541</v>
      </c>
      <c r="J37">
        <v>344.35399465389651</v>
      </c>
      <c r="K37">
        <v>2.8058406342656717E-2</v>
      </c>
      <c r="L37">
        <v>159616.17026625064</v>
      </c>
      <c r="M37">
        <v>0.13811824158493241</v>
      </c>
      <c r="N37">
        <v>0.43311913338077407</v>
      </c>
      <c r="O37">
        <v>217.79803088145661</v>
      </c>
      <c r="P37">
        <v>1546.6410125941852</v>
      </c>
    </row>
    <row r="38" spans="1:16" x14ac:dyDescent="0.25">
      <c r="A38">
        <v>37</v>
      </c>
      <c r="B38">
        <v>1.1880193984562519</v>
      </c>
      <c r="C38">
        <v>290.34443836343758</v>
      </c>
      <c r="D38">
        <v>20.79046632431924</v>
      </c>
      <c r="E38">
        <v>0.12050327512497727</v>
      </c>
      <c r="F38">
        <v>100000</v>
      </c>
      <c r="G38">
        <v>7.208984026833253</v>
      </c>
      <c r="H38">
        <v>0.49800045285576833</v>
      </c>
      <c r="I38">
        <v>774.14785444496806</v>
      </c>
      <c r="J38">
        <v>413.10382944474213</v>
      </c>
      <c r="K38">
        <v>6.6402143536600414E-2</v>
      </c>
      <c r="L38">
        <v>153176.60417975322</v>
      </c>
      <c r="M38">
        <v>0.13488863416600988</v>
      </c>
      <c r="N38">
        <v>0.51960387305215694</v>
      </c>
      <c r="O38">
        <v>233.21321473397438</v>
      </c>
      <c r="P38">
        <v>1987.2313071792287</v>
      </c>
    </row>
    <row r="39" spans="1:16" x14ac:dyDescent="0.25">
      <c r="A39">
        <v>38</v>
      </c>
      <c r="B39">
        <v>1.1889287414935117</v>
      </c>
      <c r="C39">
        <v>291.06940689477733</v>
      </c>
      <c r="D39">
        <v>26.972370283866351</v>
      </c>
      <c r="E39">
        <v>8.0638743342430805E-2</v>
      </c>
      <c r="F39">
        <v>100000</v>
      </c>
      <c r="G39">
        <v>5.5954386376726344</v>
      </c>
      <c r="H39">
        <v>0.47622992502897815</v>
      </c>
      <c r="I39">
        <v>839.56005394844306</v>
      </c>
      <c r="J39">
        <v>357.65388930399376</v>
      </c>
      <c r="K39">
        <v>6.5519187830564721E-2</v>
      </c>
      <c r="L39">
        <v>177533.296027351</v>
      </c>
      <c r="M39">
        <v>9.8581702586257092E-2</v>
      </c>
      <c r="N39">
        <v>0.55217921004766435</v>
      </c>
      <c r="O39">
        <v>236.28154299156657</v>
      </c>
      <c r="P39">
        <v>1788.3765405500199</v>
      </c>
    </row>
    <row r="40" spans="1:16" x14ac:dyDescent="0.25">
      <c r="A40">
        <v>39</v>
      </c>
      <c r="B40">
        <v>1.188208708218486</v>
      </c>
      <c r="C40">
        <v>291.78138601097066</v>
      </c>
      <c r="D40">
        <v>54.417062328338005</v>
      </c>
      <c r="E40">
        <v>0.11984691524485561</v>
      </c>
      <c r="F40">
        <v>100000</v>
      </c>
      <c r="G40">
        <v>4.5946741819401611</v>
      </c>
      <c r="H40">
        <v>0.49554605436762339</v>
      </c>
      <c r="I40">
        <v>808.0530573980119</v>
      </c>
      <c r="J40">
        <v>441.557111085016</v>
      </c>
      <c r="K40">
        <v>3.468970930591566E-2</v>
      </c>
      <c r="L40">
        <v>142985.29682538088</v>
      </c>
      <c r="M40">
        <v>0.13392630559334717</v>
      </c>
      <c r="N40">
        <v>0.58751493399264021</v>
      </c>
      <c r="O40">
        <v>237.16846774225661</v>
      </c>
      <c r="P40">
        <v>1161.2064767080274</v>
      </c>
    </row>
    <row r="41" spans="1:16" x14ac:dyDescent="0.25">
      <c r="A41">
        <v>40</v>
      </c>
      <c r="B41">
        <v>1.1823323324246318</v>
      </c>
      <c r="C41">
        <v>291.40003325127111</v>
      </c>
      <c r="D41">
        <v>28.174629100653142</v>
      </c>
      <c r="E41">
        <v>0.10756887787380046</v>
      </c>
      <c r="F41">
        <v>100000</v>
      </c>
      <c r="G41">
        <v>3.9469385163900896</v>
      </c>
      <c r="H41">
        <v>0.49099757408999006</v>
      </c>
      <c r="I41">
        <v>795.84163470431122</v>
      </c>
      <c r="J41">
        <v>297.6066609435901</v>
      </c>
      <c r="K41">
        <v>1.7798500623277026E-2</v>
      </c>
      <c r="L41">
        <v>175531.81586677657</v>
      </c>
      <c r="M41">
        <v>0.11772047107791392</v>
      </c>
      <c r="N41">
        <v>0.60724462791988643</v>
      </c>
      <c r="O41">
        <v>224.69077563153093</v>
      </c>
      <c r="P41">
        <v>1360.2502601313026</v>
      </c>
    </row>
    <row r="42" spans="1:16" x14ac:dyDescent="0.25">
      <c r="A42">
        <v>41</v>
      </c>
      <c r="B42">
        <v>1.1822897611420855</v>
      </c>
      <c r="C42">
        <v>289.83249163179261</v>
      </c>
      <c r="D42">
        <v>28.679571949615877</v>
      </c>
      <c r="E42">
        <v>0.10685932407846019</v>
      </c>
      <c r="F42">
        <v>100000</v>
      </c>
      <c r="G42">
        <v>2.5631325641126015</v>
      </c>
      <c r="H42">
        <v>0.49331338115661905</v>
      </c>
      <c r="I42">
        <v>786.57985918939323</v>
      </c>
      <c r="J42">
        <v>305.30341576824759</v>
      </c>
      <c r="K42">
        <v>4.5603446123309785E-2</v>
      </c>
      <c r="L42">
        <v>139161.97551716151</v>
      </c>
      <c r="M42">
        <v>8.7929690327198939E-2</v>
      </c>
      <c r="N42">
        <v>0.4292270426768568</v>
      </c>
      <c r="O42">
        <v>231.12381699613732</v>
      </c>
      <c r="P42">
        <v>1205.0777304016965</v>
      </c>
    </row>
    <row r="43" spans="1:16" x14ac:dyDescent="0.25">
      <c r="A43">
        <v>42</v>
      </c>
      <c r="B43">
        <v>1.1830835351799578</v>
      </c>
      <c r="C43">
        <v>291.56821234520027</v>
      </c>
      <c r="D43">
        <v>56.313637528584515</v>
      </c>
      <c r="E43">
        <v>0.11321065610777964</v>
      </c>
      <c r="F43">
        <v>100000</v>
      </c>
      <c r="G43">
        <v>1.7411734925087776</v>
      </c>
      <c r="H43">
        <v>0.4937142555490317</v>
      </c>
      <c r="I43">
        <v>834.61214311974391</v>
      </c>
      <c r="J43">
        <v>288.66739393297166</v>
      </c>
      <c r="K43">
        <v>3.9175692470987164E-2</v>
      </c>
      <c r="L43">
        <v>142346.05244436173</v>
      </c>
      <c r="M43">
        <v>9.6635551260441058E-2</v>
      </c>
      <c r="N43">
        <v>0.55216372928291801</v>
      </c>
      <c r="O43">
        <v>224.34619611979994</v>
      </c>
      <c r="P43">
        <v>1217.8581186337731</v>
      </c>
    </row>
    <row r="44" spans="1:16" x14ac:dyDescent="0.25">
      <c r="A44">
        <v>43</v>
      </c>
      <c r="B44">
        <v>1.1813187708777266</v>
      </c>
      <c r="C44">
        <v>290.3935977128769</v>
      </c>
      <c r="D44">
        <v>48.787629366078725</v>
      </c>
      <c r="E44">
        <v>0.12211406897130427</v>
      </c>
      <c r="F44">
        <v>100000</v>
      </c>
      <c r="G44">
        <v>3.2276929297856127</v>
      </c>
      <c r="H44">
        <v>0.48281453398100338</v>
      </c>
      <c r="I44">
        <v>795.63794702617076</v>
      </c>
      <c r="J44">
        <v>242.68109127698108</v>
      </c>
      <c r="K44">
        <v>6.4121776946413869E-2</v>
      </c>
      <c r="L44">
        <v>170727.21806787123</v>
      </c>
      <c r="M44">
        <v>8.7755100078030751E-2</v>
      </c>
      <c r="N44">
        <v>0.53496237359398913</v>
      </c>
      <c r="O44">
        <v>209.06600274927786</v>
      </c>
      <c r="P44">
        <v>1924.9860296626146</v>
      </c>
    </row>
    <row r="45" spans="1:16" x14ac:dyDescent="0.25">
      <c r="A45">
        <v>44</v>
      </c>
      <c r="B45">
        <v>1.1888806009168553</v>
      </c>
      <c r="C45">
        <v>292.65799515287966</v>
      </c>
      <c r="D45">
        <v>51.015765991956052</v>
      </c>
      <c r="E45">
        <v>9.0365935289773769E-2</v>
      </c>
      <c r="F45">
        <v>100000</v>
      </c>
      <c r="G45">
        <v>1.8542115022305889</v>
      </c>
      <c r="H45">
        <v>0.47872190432876027</v>
      </c>
      <c r="I45">
        <v>839.7660913450145</v>
      </c>
      <c r="J45">
        <v>392.05269684475559</v>
      </c>
      <c r="K45">
        <v>4.5864130174332017E-2</v>
      </c>
      <c r="L45">
        <v>142327.89682806074</v>
      </c>
      <c r="M45">
        <v>9.6646945300689804E-2</v>
      </c>
      <c r="N45">
        <v>0.513152884657472</v>
      </c>
      <c r="O45">
        <v>219.0269157357497</v>
      </c>
      <c r="P45">
        <v>973.85635304034633</v>
      </c>
    </row>
    <row r="46" spans="1:16" x14ac:dyDescent="0.25">
      <c r="A46">
        <v>45</v>
      </c>
      <c r="B46">
        <v>1.1803743605463171</v>
      </c>
      <c r="C46">
        <v>292.50042783777911</v>
      </c>
      <c r="D46">
        <v>55.162399608891704</v>
      </c>
      <c r="E46">
        <v>0.12023453325991318</v>
      </c>
      <c r="F46">
        <v>100000</v>
      </c>
      <c r="G46">
        <v>6.9449023258555291</v>
      </c>
      <c r="H46">
        <v>0.4821484433640687</v>
      </c>
      <c r="I46">
        <v>834.22272064007916</v>
      </c>
      <c r="J46">
        <v>333.40811577693387</v>
      </c>
      <c r="K46">
        <v>3.2185383185525336E-2</v>
      </c>
      <c r="L46">
        <v>159645.23697853609</v>
      </c>
      <c r="M46">
        <v>0.1173736119540586</v>
      </c>
      <c r="N46">
        <v>0.46403063156334212</v>
      </c>
      <c r="O46">
        <v>225.42995189540224</v>
      </c>
      <c r="P46">
        <v>1912.6095992518199</v>
      </c>
    </row>
    <row r="47" spans="1:16" x14ac:dyDescent="0.25">
      <c r="A47">
        <v>46</v>
      </c>
      <c r="B47">
        <v>1.1874248217972829</v>
      </c>
      <c r="C47">
        <v>292.3153354787367</v>
      </c>
      <c r="D47">
        <v>39.127939244574542</v>
      </c>
      <c r="E47">
        <v>9.9379025457694489E-2</v>
      </c>
      <c r="F47">
        <v>100000</v>
      </c>
      <c r="G47">
        <v>5.1355995610793821</v>
      </c>
      <c r="H47">
        <v>0.48768300505385026</v>
      </c>
      <c r="I47">
        <v>780.15998387298544</v>
      </c>
      <c r="J47">
        <v>312.83128628366512</v>
      </c>
      <c r="K47">
        <v>1.8054631499051246E-2</v>
      </c>
      <c r="L47">
        <v>155399.11255698398</v>
      </c>
      <c r="M47">
        <v>0.12174575194575145</v>
      </c>
      <c r="N47">
        <v>0.59021670383432701</v>
      </c>
      <c r="O47">
        <v>229.93075483204041</v>
      </c>
      <c r="P47">
        <v>1143.5189712394667</v>
      </c>
    </row>
    <row r="48" spans="1:16" x14ac:dyDescent="0.25">
      <c r="A48">
        <v>47</v>
      </c>
      <c r="B48">
        <v>1.1811919788629377</v>
      </c>
      <c r="C48">
        <v>291.81867203424366</v>
      </c>
      <c r="D48">
        <v>21.33318491213857</v>
      </c>
      <c r="E48">
        <v>0.10372675466286212</v>
      </c>
      <c r="F48">
        <v>100000</v>
      </c>
      <c r="G48">
        <v>6.1758122951783667</v>
      </c>
      <c r="H48">
        <v>0.48093346356083788</v>
      </c>
      <c r="I48">
        <v>823.82395268073981</v>
      </c>
      <c r="J48">
        <v>373.16372394798213</v>
      </c>
      <c r="K48">
        <v>5.0810432128744545E-2</v>
      </c>
      <c r="L48">
        <v>170721.79731896269</v>
      </c>
      <c r="M48">
        <v>0.10064101505026155</v>
      </c>
      <c r="N48">
        <v>0.50774234581776956</v>
      </c>
      <c r="O48">
        <v>226.06488510865768</v>
      </c>
      <c r="P48">
        <v>1714.7591759787701</v>
      </c>
    </row>
    <row r="49" spans="1:16" x14ac:dyDescent="0.25">
      <c r="A49">
        <v>48</v>
      </c>
      <c r="B49">
        <v>1.1822596563843559</v>
      </c>
      <c r="C49">
        <v>290.52976855858702</v>
      </c>
      <c r="D49">
        <v>50.901984208771253</v>
      </c>
      <c r="E49">
        <v>8.2247720754658818E-2</v>
      </c>
      <c r="F49">
        <v>100000</v>
      </c>
      <c r="G49">
        <v>3.4894544781100754</v>
      </c>
      <c r="H49">
        <v>0.48220518849797239</v>
      </c>
      <c r="I49">
        <v>796.27126818892498</v>
      </c>
      <c r="J49">
        <v>289.88215537812476</v>
      </c>
      <c r="K49">
        <v>5.4393787298488552E-2</v>
      </c>
      <c r="L49">
        <v>144739.52261839234</v>
      </c>
      <c r="M49">
        <v>0.10046345821613198</v>
      </c>
      <c r="N49">
        <v>0.57012080017709965</v>
      </c>
      <c r="O49">
        <v>236.06702878149272</v>
      </c>
      <c r="P49">
        <v>1658.7851734141361</v>
      </c>
    </row>
    <row r="50" spans="1:16" x14ac:dyDescent="0.25">
      <c r="A50">
        <v>49</v>
      </c>
      <c r="B50">
        <v>1.1816712139682854</v>
      </c>
      <c r="C50">
        <v>291.20596849980427</v>
      </c>
      <c r="D50">
        <v>39.824842562255391</v>
      </c>
      <c r="E50">
        <v>0.11493359087726635</v>
      </c>
      <c r="F50">
        <v>100000</v>
      </c>
      <c r="G50">
        <v>4.5690088892961001</v>
      </c>
      <c r="H50">
        <v>0.48896651923643142</v>
      </c>
      <c r="I50">
        <v>805.33089656869765</v>
      </c>
      <c r="J50">
        <v>387.51678630079618</v>
      </c>
      <c r="K50">
        <v>3.1812024219931706E-2</v>
      </c>
      <c r="L50">
        <v>165791.71682959312</v>
      </c>
      <c r="M50">
        <v>0.11859838249777759</v>
      </c>
      <c r="N50">
        <v>0.55609199480772942</v>
      </c>
      <c r="O50">
        <v>215.25731955449476</v>
      </c>
      <c r="P50">
        <v>1643.3858955506616</v>
      </c>
    </row>
    <row r="51" spans="1:16" x14ac:dyDescent="0.25">
      <c r="A51">
        <v>50</v>
      </c>
      <c r="B51">
        <v>1.1837039216684568</v>
      </c>
      <c r="C51">
        <v>291.69998509905719</v>
      </c>
      <c r="D51">
        <v>53.273929829312962</v>
      </c>
      <c r="E51">
        <v>0.10302386411025102</v>
      </c>
      <c r="F51">
        <v>100000</v>
      </c>
      <c r="G51">
        <v>3.4340819164508769</v>
      </c>
      <c r="H51">
        <v>0.48444634860704505</v>
      </c>
      <c r="I51">
        <v>809.03865469197819</v>
      </c>
      <c r="J51">
        <v>345.1192939569591</v>
      </c>
      <c r="K51">
        <v>5.6396984582219103E-2</v>
      </c>
      <c r="L51">
        <v>161047.33416335963</v>
      </c>
      <c r="M51">
        <v>8.8712430225637628E-2</v>
      </c>
      <c r="N51">
        <v>0.5489035613038018</v>
      </c>
      <c r="O51">
        <v>215.61975848473568</v>
      </c>
      <c r="P51">
        <v>1454.4557442276762</v>
      </c>
    </row>
    <row r="52" spans="1:16" x14ac:dyDescent="0.25">
      <c r="A52">
        <v>51</v>
      </c>
      <c r="B52">
        <v>1.1853315150934594</v>
      </c>
      <c r="C52">
        <v>289.99502985822949</v>
      </c>
      <c r="D52">
        <v>44.465727527888681</v>
      </c>
      <c r="E52">
        <v>9.9622962051842207E-2</v>
      </c>
      <c r="F52">
        <v>100000</v>
      </c>
      <c r="G52">
        <v>1.7799607829595907</v>
      </c>
      <c r="H52">
        <v>0.49160732001541896</v>
      </c>
      <c r="I52">
        <v>798.58424618542153</v>
      </c>
      <c r="J52">
        <v>242.82809815595334</v>
      </c>
      <c r="K52">
        <v>6.3456481022113986E-2</v>
      </c>
      <c r="L52">
        <v>148206.98810488076</v>
      </c>
      <c r="M52">
        <v>9.7332170647366031E-2</v>
      </c>
      <c r="N52">
        <v>0.55237192162139881</v>
      </c>
      <c r="O52">
        <v>216.90821388502732</v>
      </c>
      <c r="P52">
        <v>1816.3944101012096</v>
      </c>
    </row>
    <row r="53" spans="1:16" x14ac:dyDescent="0.25">
      <c r="A53">
        <v>52</v>
      </c>
      <c r="B53">
        <v>1.1887983043743142</v>
      </c>
      <c r="C53">
        <v>290.12955374757934</v>
      </c>
      <c r="D53">
        <v>25.649635396762296</v>
      </c>
      <c r="E53">
        <v>0.1016281684802893</v>
      </c>
      <c r="F53">
        <v>100000</v>
      </c>
      <c r="G53">
        <v>1.7891079473984557</v>
      </c>
      <c r="H53">
        <v>0.49081209082990179</v>
      </c>
      <c r="I53">
        <v>797.77529671226398</v>
      </c>
      <c r="J53">
        <v>390.1339377257483</v>
      </c>
      <c r="K53">
        <v>3.3892030790395766E-2</v>
      </c>
      <c r="L53">
        <v>159224.16454496089</v>
      </c>
      <c r="M53">
        <v>9.2618886853517338E-2</v>
      </c>
      <c r="N53">
        <v>0.55633593962389183</v>
      </c>
      <c r="O53">
        <v>229.51410393958662</v>
      </c>
      <c r="P53">
        <v>1197.9721358662089</v>
      </c>
    </row>
    <row r="54" spans="1:16" x14ac:dyDescent="0.25">
      <c r="A54">
        <v>53</v>
      </c>
      <c r="B54">
        <v>1.1825137553524987</v>
      </c>
      <c r="C54">
        <v>292.21826781003557</v>
      </c>
      <c r="D54">
        <v>50.025210569530529</v>
      </c>
      <c r="E54">
        <v>9.4952608714876499E-2</v>
      </c>
      <c r="F54">
        <v>100000</v>
      </c>
      <c r="G54">
        <v>2.6286645166677052</v>
      </c>
      <c r="H54">
        <v>0.48339653645444342</v>
      </c>
      <c r="I54">
        <v>797.02640395711626</v>
      </c>
      <c r="J54">
        <v>368.518546764532</v>
      </c>
      <c r="K54">
        <v>5.7215031318635604E-2</v>
      </c>
      <c r="L54">
        <v>169963.81155743758</v>
      </c>
      <c r="M54">
        <v>9.9261158314756792E-2</v>
      </c>
      <c r="N54">
        <v>0.50131274744453003</v>
      </c>
      <c r="O54">
        <v>233.09271268824932</v>
      </c>
      <c r="P54">
        <v>1293.4063492839341</v>
      </c>
    </row>
    <row r="55" spans="1:16" x14ac:dyDescent="0.25">
      <c r="A55">
        <v>54</v>
      </c>
      <c r="B55">
        <v>1.1826205155949339</v>
      </c>
      <c r="C55">
        <v>291.84340925146751</v>
      </c>
      <c r="D55">
        <v>26.884254463798747</v>
      </c>
      <c r="E55">
        <v>0.10745551423253377</v>
      </c>
      <c r="F55">
        <v>100000</v>
      </c>
      <c r="G55">
        <v>2.6343304007316757</v>
      </c>
      <c r="H55">
        <v>0.47942402285377855</v>
      </c>
      <c r="I55">
        <v>806.53200227427772</v>
      </c>
      <c r="J55">
        <v>296.12902941594695</v>
      </c>
      <c r="K55">
        <v>1.907451881133454E-2</v>
      </c>
      <c r="L55">
        <v>164820.96791401942</v>
      </c>
      <c r="M55">
        <v>0.11899775984590451</v>
      </c>
      <c r="N55">
        <v>0.5523511256561614</v>
      </c>
      <c r="O55">
        <v>224.83134000589499</v>
      </c>
      <c r="P55">
        <v>1281.7817359008038</v>
      </c>
    </row>
    <row r="56" spans="1:16" x14ac:dyDescent="0.25">
      <c r="A56">
        <v>55</v>
      </c>
      <c r="B56">
        <v>1.1826837629542521</v>
      </c>
      <c r="C56">
        <v>291.78942040019996</v>
      </c>
      <c r="D56">
        <v>47.567088503219267</v>
      </c>
      <c r="E56">
        <v>9.0769074331067914E-2</v>
      </c>
      <c r="F56">
        <v>100000</v>
      </c>
      <c r="G56">
        <v>5.5760891482125086</v>
      </c>
      <c r="H56">
        <v>0.49129626298532675</v>
      </c>
      <c r="I56">
        <v>786.96717642514761</v>
      </c>
      <c r="J56">
        <v>248.01638633029575</v>
      </c>
      <c r="K56">
        <v>4.2739846348682602E-2</v>
      </c>
      <c r="L56">
        <v>150800.56657912294</v>
      </c>
      <c r="M56">
        <v>0.11543141489675825</v>
      </c>
      <c r="N56">
        <v>0.55589906377864096</v>
      </c>
      <c r="O56">
        <v>235.93033024104633</v>
      </c>
      <c r="P56">
        <v>1614.6942684299941</v>
      </c>
    </row>
    <row r="57" spans="1:16" x14ac:dyDescent="0.25">
      <c r="A57">
        <v>56</v>
      </c>
      <c r="B57">
        <v>1.1827818601618114</v>
      </c>
      <c r="C57">
        <v>291.96167966268757</v>
      </c>
      <c r="D57">
        <v>29.120998034668499</v>
      </c>
      <c r="E57">
        <v>0.10645428566384479</v>
      </c>
      <c r="F57">
        <v>100000</v>
      </c>
      <c r="G57">
        <v>5.6993814236317304</v>
      </c>
      <c r="H57">
        <v>0.48810121806552476</v>
      </c>
      <c r="I57">
        <v>796.22323955268109</v>
      </c>
      <c r="J57">
        <v>363.91367550387372</v>
      </c>
      <c r="K57">
        <v>5.1512350678393097E-2</v>
      </c>
      <c r="L57">
        <v>170617.57658095221</v>
      </c>
      <c r="M57">
        <v>0.11205970607638573</v>
      </c>
      <c r="N57">
        <v>0.52990502593819744</v>
      </c>
      <c r="O57">
        <v>222.30840142336879</v>
      </c>
      <c r="P57">
        <v>1784.8079701113047</v>
      </c>
    </row>
    <row r="58" spans="1:16" x14ac:dyDescent="0.25">
      <c r="A58">
        <v>57</v>
      </c>
      <c r="B58">
        <v>1.1829230642964457</v>
      </c>
      <c r="C58">
        <v>290.67690898495812</v>
      </c>
      <c r="D58">
        <v>47.300643165102272</v>
      </c>
      <c r="E58">
        <v>0.1022549605344994</v>
      </c>
      <c r="F58">
        <v>100000</v>
      </c>
      <c r="G58">
        <v>4.7280701981334019</v>
      </c>
      <c r="H58">
        <v>0.47968033793476728</v>
      </c>
      <c r="I58">
        <v>793.09901016327331</v>
      </c>
      <c r="J58">
        <v>340.61153615474478</v>
      </c>
      <c r="K58">
        <v>3.9058325867399539E-2</v>
      </c>
      <c r="L58">
        <v>164696.46918308284</v>
      </c>
      <c r="M58">
        <v>0.1067269447963356</v>
      </c>
      <c r="N58">
        <v>0.512419089634786</v>
      </c>
      <c r="O58">
        <v>226.45528055756748</v>
      </c>
      <c r="P58">
        <v>1518.8018140484005</v>
      </c>
    </row>
    <row r="59" spans="1:16" x14ac:dyDescent="0.25">
      <c r="A59">
        <v>58</v>
      </c>
      <c r="B59">
        <v>1.1872927311071801</v>
      </c>
      <c r="C59">
        <v>290.84719285901906</v>
      </c>
      <c r="D59">
        <v>42.935003297203664</v>
      </c>
      <c r="E59">
        <v>9.4241178971364567E-2</v>
      </c>
      <c r="F59">
        <v>100000</v>
      </c>
      <c r="G59">
        <v>5.4436735700576486</v>
      </c>
      <c r="H59">
        <v>0.48674696353323677</v>
      </c>
      <c r="I59">
        <v>806.2707214966116</v>
      </c>
      <c r="J59">
        <v>385.97221270388957</v>
      </c>
      <c r="K59">
        <v>4.9608329594061605E-2</v>
      </c>
      <c r="L59">
        <v>154545.5120654646</v>
      </c>
      <c r="M59">
        <v>9.7580004574298246E-2</v>
      </c>
      <c r="N59">
        <v>0.53677039714905472</v>
      </c>
      <c r="O59">
        <v>231.20428264317587</v>
      </c>
      <c r="P59">
        <v>1325.572996309447</v>
      </c>
    </row>
    <row r="60" spans="1:16" x14ac:dyDescent="0.25">
      <c r="A60">
        <v>59</v>
      </c>
      <c r="B60">
        <v>1.185111782490432</v>
      </c>
      <c r="C60">
        <v>291.82701522341154</v>
      </c>
      <c r="D60">
        <v>31.623066738730586</v>
      </c>
      <c r="E60">
        <v>9.5847172887876822E-2</v>
      </c>
      <c r="F60">
        <v>100000</v>
      </c>
      <c r="G60">
        <v>2.6375471810802842</v>
      </c>
      <c r="H60">
        <v>0.47960261039357049</v>
      </c>
      <c r="I60">
        <v>802.7191915937351</v>
      </c>
      <c r="J60">
        <v>300.99876491682954</v>
      </c>
      <c r="K60">
        <v>4.1586963608203555E-2</v>
      </c>
      <c r="L60">
        <v>158648.17618875444</v>
      </c>
      <c r="M60">
        <v>0.10941923984294738</v>
      </c>
      <c r="N60">
        <v>0.53351175656686378</v>
      </c>
      <c r="O60">
        <v>225.83714162877354</v>
      </c>
      <c r="P60">
        <v>1590.6978520544865</v>
      </c>
    </row>
    <row r="61" spans="1:16" x14ac:dyDescent="0.25">
      <c r="A61">
        <v>60</v>
      </c>
      <c r="B61">
        <v>1.1830353128235591</v>
      </c>
      <c r="C61">
        <v>290.59067002198708</v>
      </c>
      <c r="D61">
        <v>37.902030309110586</v>
      </c>
      <c r="E61">
        <v>9.9477505209657646E-2</v>
      </c>
      <c r="F61">
        <v>100000</v>
      </c>
      <c r="G61">
        <v>2.9933045781587033</v>
      </c>
      <c r="H61">
        <v>0.484165682867785</v>
      </c>
      <c r="I61">
        <v>808.86121297364832</v>
      </c>
      <c r="J61">
        <v>248.39505898059159</v>
      </c>
      <c r="K61">
        <v>4.7748547687613489E-2</v>
      </c>
      <c r="L61">
        <v>154870.84920712697</v>
      </c>
      <c r="M61">
        <v>0.11340736758429143</v>
      </c>
      <c r="N61">
        <v>0.51855574788572611</v>
      </c>
      <c r="O61">
        <v>228.06926272819462</v>
      </c>
      <c r="P61">
        <v>1474.8143582627017</v>
      </c>
    </row>
    <row r="62" spans="1:16" x14ac:dyDescent="0.25">
      <c r="A62">
        <v>61</v>
      </c>
      <c r="B62">
        <v>1.1869766889967901</v>
      </c>
      <c r="C62">
        <v>290.0235473706191</v>
      </c>
      <c r="D62">
        <v>29.417434009077549</v>
      </c>
      <c r="E62">
        <v>0.10158789381132523</v>
      </c>
      <c r="F62">
        <v>100000</v>
      </c>
      <c r="G62">
        <v>5.5806560039015238</v>
      </c>
      <c r="H62">
        <v>0.48985361599906913</v>
      </c>
      <c r="I62">
        <v>788.70948875204601</v>
      </c>
      <c r="J62">
        <v>292.91826988348481</v>
      </c>
      <c r="K62">
        <v>6.1265248387094809E-2</v>
      </c>
      <c r="L62">
        <v>149034.77522756814</v>
      </c>
      <c r="M62">
        <v>0.10539737366312664</v>
      </c>
      <c r="N62">
        <v>0.52710752612830247</v>
      </c>
      <c r="O62">
        <v>226.46841226066672</v>
      </c>
      <c r="P62">
        <v>1687.553482158266</v>
      </c>
    </row>
    <row r="63" spans="1:16" x14ac:dyDescent="0.25">
      <c r="A63">
        <v>62</v>
      </c>
      <c r="B63">
        <v>1.1830898236718601</v>
      </c>
      <c r="C63">
        <v>291.78690733155673</v>
      </c>
      <c r="D63">
        <v>35.177283754190171</v>
      </c>
      <c r="E63">
        <v>0.10185471843018126</v>
      </c>
      <c r="F63">
        <v>100000</v>
      </c>
      <c r="G63">
        <v>5.4397081032452261</v>
      </c>
      <c r="H63">
        <v>0.48205674462971831</v>
      </c>
      <c r="I63">
        <v>798.01577811377695</v>
      </c>
      <c r="J63">
        <v>310.73886445858875</v>
      </c>
      <c r="K63">
        <v>4.6692273858176009E-2</v>
      </c>
      <c r="L63">
        <v>157269.67646735269</v>
      </c>
      <c r="M63">
        <v>9.9240177794513995E-2</v>
      </c>
      <c r="N63">
        <v>0.52454075850800741</v>
      </c>
      <c r="O63">
        <v>230.82939628775731</v>
      </c>
      <c r="P63">
        <v>1332.6416601380549</v>
      </c>
    </row>
    <row r="64" spans="1:16" x14ac:dyDescent="0.25">
      <c r="A64">
        <v>63</v>
      </c>
      <c r="B64">
        <v>1.1841388125730323</v>
      </c>
      <c r="C64">
        <v>290.50070897780597</v>
      </c>
      <c r="D64">
        <v>45.83272025435501</v>
      </c>
      <c r="E64">
        <v>0.10000582576110047</v>
      </c>
      <c r="F64">
        <v>100000</v>
      </c>
      <c r="G64">
        <v>5.3077791277816821</v>
      </c>
      <c r="H64">
        <v>0.4854435073470203</v>
      </c>
      <c r="I64">
        <v>800.54172870123955</v>
      </c>
      <c r="J64">
        <v>343.18694026096568</v>
      </c>
      <c r="K64">
        <v>4.3486920636574708E-2</v>
      </c>
      <c r="L64">
        <v>154732.35242059655</v>
      </c>
      <c r="M64">
        <v>9.8181893369608503E-2</v>
      </c>
      <c r="N64">
        <v>0.50538960846967229</v>
      </c>
      <c r="O64">
        <v>233.9462871688394</v>
      </c>
      <c r="P64">
        <v>1443.3277966976746</v>
      </c>
    </row>
    <row r="65" spans="1:16" x14ac:dyDescent="0.25">
      <c r="A65">
        <v>64</v>
      </c>
      <c r="B65">
        <v>1.1826803690941177</v>
      </c>
      <c r="C65">
        <v>291.91720223137287</v>
      </c>
      <c r="D65">
        <v>31.246225583163749</v>
      </c>
      <c r="E65">
        <v>9.4007363637526292E-2</v>
      </c>
      <c r="F65">
        <v>100000</v>
      </c>
      <c r="G65">
        <v>2.8785597318165737</v>
      </c>
      <c r="H65">
        <v>0.47999661784055148</v>
      </c>
      <c r="I65">
        <v>793.10011292898935</v>
      </c>
      <c r="J65">
        <v>358.44529659058776</v>
      </c>
      <c r="K65">
        <v>3.9031360535332217E-2</v>
      </c>
      <c r="L65">
        <v>167966.18928001463</v>
      </c>
      <c r="M65">
        <v>0.10425924328557352</v>
      </c>
      <c r="N65">
        <v>0.53180790695988112</v>
      </c>
      <c r="O65">
        <v>225.87612576418184</v>
      </c>
      <c r="P65">
        <v>1366.9267331727613</v>
      </c>
    </row>
    <row r="66" spans="1:16" x14ac:dyDescent="0.25">
      <c r="A66">
        <v>65</v>
      </c>
      <c r="B66">
        <v>1.1855594712086346</v>
      </c>
      <c r="C66">
        <v>291.83279725748935</v>
      </c>
      <c r="D66">
        <v>32.548512320869399</v>
      </c>
      <c r="E66">
        <v>9.2255963213526193E-2</v>
      </c>
      <c r="F66">
        <v>100000</v>
      </c>
      <c r="G66">
        <v>5.4595592823537267</v>
      </c>
      <c r="H66">
        <v>0.48897176440352841</v>
      </c>
      <c r="I66">
        <v>806.2843119350598</v>
      </c>
      <c r="J66">
        <v>281.5039214605988</v>
      </c>
      <c r="K66">
        <v>5.4600306107078195E-2</v>
      </c>
      <c r="L66">
        <v>157598.34025336261</v>
      </c>
      <c r="M66">
        <v>0.11239539107483561</v>
      </c>
      <c r="N66">
        <v>0.52410619390087565</v>
      </c>
      <c r="O66">
        <v>230.53697927985863</v>
      </c>
      <c r="P66">
        <v>1362.6056687304597</v>
      </c>
    </row>
    <row r="67" spans="1:16" x14ac:dyDescent="0.25">
      <c r="A67">
        <v>66</v>
      </c>
      <c r="B67">
        <v>1.1833595035814022</v>
      </c>
      <c r="C67">
        <v>290.42877842720236</v>
      </c>
      <c r="D67">
        <v>33.068788709437371</v>
      </c>
      <c r="E67">
        <v>9.3390346543842276E-2</v>
      </c>
      <c r="F67">
        <v>100000</v>
      </c>
      <c r="G67">
        <v>4.0306713296062764</v>
      </c>
      <c r="H67">
        <v>0.48822678204836067</v>
      </c>
      <c r="I67">
        <v>808.40310395187373</v>
      </c>
      <c r="J67">
        <v>286.04074034611733</v>
      </c>
      <c r="K67">
        <v>5.918957989651915E-2</v>
      </c>
      <c r="L67">
        <v>170281.54649033022</v>
      </c>
      <c r="M67">
        <v>9.8533660491743946E-2</v>
      </c>
      <c r="N67">
        <v>0.51988309000206911</v>
      </c>
      <c r="O67">
        <v>232.38645843179583</v>
      </c>
      <c r="P67">
        <v>1470.1189202226715</v>
      </c>
    </row>
    <row r="68" spans="1:16" x14ac:dyDescent="0.25">
      <c r="A68">
        <v>67</v>
      </c>
      <c r="B68">
        <v>1.1871400018517386</v>
      </c>
      <c r="C68">
        <v>291.60513845704151</v>
      </c>
      <c r="D68">
        <v>42.36870002607499</v>
      </c>
      <c r="E68">
        <v>9.4180619167423874E-2</v>
      </c>
      <c r="F68">
        <v>100000</v>
      </c>
      <c r="G68">
        <v>4.9030487791461201</v>
      </c>
      <c r="H68">
        <v>0.48708210846921396</v>
      </c>
      <c r="I68">
        <v>805.79305828627139</v>
      </c>
      <c r="J68">
        <v>363.31685088118996</v>
      </c>
      <c r="K68">
        <v>6.1055082458770144E-2</v>
      </c>
      <c r="L68">
        <v>162626.80251624947</v>
      </c>
      <c r="M68">
        <v>0.11030166859290808</v>
      </c>
      <c r="N68">
        <v>0.50776695765086577</v>
      </c>
      <c r="O68">
        <v>229.03235638016432</v>
      </c>
      <c r="P68">
        <v>1573.6006669880176</v>
      </c>
    </row>
    <row r="69" spans="1:16" x14ac:dyDescent="0.25">
      <c r="A69">
        <v>68</v>
      </c>
      <c r="B69">
        <v>1.1857534489337771</v>
      </c>
      <c r="C69">
        <v>290.0841635523131</v>
      </c>
      <c r="D69">
        <v>32.088283011919749</v>
      </c>
      <c r="E69">
        <v>9.9028248046046652E-2</v>
      </c>
      <c r="F69">
        <v>100000</v>
      </c>
      <c r="G69">
        <v>3.5476475060874328</v>
      </c>
      <c r="H69">
        <v>0.48725903838281992</v>
      </c>
      <c r="I69">
        <v>788.8163854808937</v>
      </c>
      <c r="J69">
        <v>372.91590789227405</v>
      </c>
      <c r="K69">
        <v>4.3668050256914559E-2</v>
      </c>
      <c r="L69">
        <v>164921.1089575915</v>
      </c>
      <c r="M69">
        <v>0.10925503144567542</v>
      </c>
      <c r="N69">
        <v>0.51282510120447389</v>
      </c>
      <c r="O69">
        <v>225.9178491556728</v>
      </c>
      <c r="P69">
        <v>1494.1025562089726</v>
      </c>
    </row>
    <row r="70" spans="1:16" x14ac:dyDescent="0.25">
      <c r="A70">
        <v>69</v>
      </c>
      <c r="B70">
        <v>1.1842351937687596</v>
      </c>
      <c r="C70">
        <v>290.20417724977733</v>
      </c>
      <c r="D70">
        <v>41.138876345579718</v>
      </c>
      <c r="E70">
        <v>9.4094464303609363E-2</v>
      </c>
      <c r="F70">
        <v>100000</v>
      </c>
      <c r="G70">
        <v>4.7817726025707969</v>
      </c>
      <c r="H70">
        <v>0.48514582706319043</v>
      </c>
      <c r="I70">
        <v>807.95803692782329</v>
      </c>
      <c r="J70">
        <v>363.38852224455445</v>
      </c>
      <c r="K70">
        <v>4.7505795508652415E-2</v>
      </c>
      <c r="L70">
        <v>168527.28713077406</v>
      </c>
      <c r="M70">
        <v>0.10635992502547245</v>
      </c>
      <c r="N70">
        <v>0.52429896246273899</v>
      </c>
      <c r="O70">
        <v>227.24830973446223</v>
      </c>
      <c r="P70">
        <v>1522.1230450848416</v>
      </c>
    </row>
    <row r="71" spans="1:16" x14ac:dyDescent="0.25">
      <c r="A71">
        <v>70</v>
      </c>
      <c r="B71">
        <v>1.1841763029494066</v>
      </c>
      <c r="C71">
        <v>290.27844074056986</v>
      </c>
      <c r="D71">
        <v>41.314779339696628</v>
      </c>
      <c r="E71">
        <v>9.905447222527336E-2</v>
      </c>
      <c r="F71">
        <v>100000</v>
      </c>
      <c r="G71">
        <v>3.0407667096714475</v>
      </c>
      <c r="H71">
        <v>0.48929114374752702</v>
      </c>
      <c r="I71">
        <v>794.38829889069518</v>
      </c>
      <c r="J71">
        <v>332.05755393872619</v>
      </c>
      <c r="K71">
        <v>5.4421175754162734E-2</v>
      </c>
      <c r="L71">
        <v>155536.47067642637</v>
      </c>
      <c r="M71">
        <v>0.10460653010577602</v>
      </c>
      <c r="N71">
        <v>0.52574594605488389</v>
      </c>
      <c r="O71">
        <v>229.55107298883505</v>
      </c>
      <c r="P71">
        <v>1554.7997423155953</v>
      </c>
    </row>
    <row r="72" spans="1:16" x14ac:dyDescent="0.25">
      <c r="A72">
        <v>71</v>
      </c>
      <c r="B72">
        <v>1.1829641020699393</v>
      </c>
      <c r="C72">
        <v>291.23641526508362</v>
      </c>
      <c r="D72">
        <v>35.704061018484559</v>
      </c>
      <c r="E72">
        <v>9.2664117903620002E-2</v>
      </c>
      <c r="F72">
        <v>100000</v>
      </c>
      <c r="G72">
        <v>4.6908262454666971</v>
      </c>
      <c r="H72">
        <v>0.4849230893150458</v>
      </c>
      <c r="I72">
        <v>792.78726810119679</v>
      </c>
      <c r="J72">
        <v>327.95068950740938</v>
      </c>
      <c r="K72">
        <v>5.947655219983615E-2</v>
      </c>
      <c r="L72">
        <v>156076.05616719607</v>
      </c>
      <c r="M72">
        <v>0.10146400555717155</v>
      </c>
      <c r="N72">
        <v>0.52403927417978424</v>
      </c>
      <c r="O72">
        <v>231.38008432578755</v>
      </c>
      <c r="P72">
        <v>1496.7822149012641</v>
      </c>
    </row>
    <row r="73" spans="1:16" x14ac:dyDescent="0.25">
      <c r="A73">
        <v>72</v>
      </c>
      <c r="B73">
        <v>1.1839969905188263</v>
      </c>
      <c r="C73">
        <v>290.51168852511518</v>
      </c>
      <c r="D73">
        <v>42.243811742341734</v>
      </c>
      <c r="E73">
        <v>9.9784281463172628E-2</v>
      </c>
      <c r="F73">
        <v>100000</v>
      </c>
      <c r="G73">
        <v>4.7302119070458266</v>
      </c>
      <c r="H73">
        <v>0.48004133298338225</v>
      </c>
      <c r="I73">
        <v>808.26752888793817</v>
      </c>
      <c r="J73">
        <v>297.06176666576494</v>
      </c>
      <c r="K73">
        <v>5.8663488346134232E-2</v>
      </c>
      <c r="L73">
        <v>163279.43423280615</v>
      </c>
      <c r="M73">
        <v>0.1057832013123914</v>
      </c>
      <c r="N73">
        <v>0.51037245595634262</v>
      </c>
      <c r="O73">
        <v>229.68377611746106</v>
      </c>
      <c r="P73">
        <v>1395.0617918251298</v>
      </c>
    </row>
    <row r="74" spans="1:16" x14ac:dyDescent="0.25">
      <c r="A74">
        <v>73</v>
      </c>
      <c r="B74">
        <v>1.1855770553826048</v>
      </c>
      <c r="C74">
        <v>291.54936185486235</v>
      </c>
      <c r="D74">
        <v>41.949279267618216</v>
      </c>
      <c r="E74">
        <v>9.6116186056914618E-2</v>
      </c>
      <c r="F74">
        <v>100000</v>
      </c>
      <c r="G74">
        <v>4.8019210769434544</v>
      </c>
      <c r="H74">
        <v>0.4800961263809102</v>
      </c>
      <c r="I74">
        <v>792.97022591369944</v>
      </c>
      <c r="J74">
        <v>372.70768926802134</v>
      </c>
      <c r="K74">
        <v>4.1523001390772779E-2</v>
      </c>
      <c r="L74">
        <v>155179.18124556763</v>
      </c>
      <c r="M74">
        <v>0.10727329099900246</v>
      </c>
      <c r="N74">
        <v>0.52174924519898602</v>
      </c>
      <c r="O74">
        <v>231.36094110772473</v>
      </c>
      <c r="P74">
        <v>1468.2422198349029</v>
      </c>
    </row>
    <row r="75" spans="1:16" x14ac:dyDescent="0.25">
      <c r="A75">
        <v>74</v>
      </c>
      <c r="B75">
        <v>1.1867391010655428</v>
      </c>
      <c r="C75">
        <v>290.84770778093809</v>
      </c>
      <c r="D75">
        <v>41.100420900968516</v>
      </c>
      <c r="E75">
        <v>9.4412061947689196E-2</v>
      </c>
      <c r="F75">
        <v>100000</v>
      </c>
      <c r="G75">
        <v>4.3761999261814015</v>
      </c>
      <c r="H75">
        <v>0.48330496089380109</v>
      </c>
      <c r="I75">
        <v>800.99975514096184</v>
      </c>
      <c r="J75">
        <v>302.96139216104365</v>
      </c>
      <c r="K75">
        <v>4.6709532983626768E-2</v>
      </c>
      <c r="L75">
        <v>166766.13801479319</v>
      </c>
      <c r="M75">
        <v>0.10440863122572769</v>
      </c>
      <c r="N75">
        <v>0.53049308843471332</v>
      </c>
      <c r="O75">
        <v>229.40494189152528</v>
      </c>
      <c r="P75">
        <v>1411.9798916716663</v>
      </c>
    </row>
    <row r="76" spans="1:16" x14ac:dyDescent="0.25">
      <c r="A76">
        <v>75</v>
      </c>
      <c r="B76">
        <v>1.1870464103747846</v>
      </c>
      <c r="C76">
        <v>290.22357688612101</v>
      </c>
      <c r="D76">
        <v>32.695466049090491</v>
      </c>
      <c r="E76">
        <v>9.9008751392579392E-2</v>
      </c>
      <c r="F76">
        <v>100000</v>
      </c>
      <c r="G76">
        <v>3.7002969622742872</v>
      </c>
      <c r="H76">
        <v>0.4887805145052076</v>
      </c>
      <c r="I76">
        <v>805.05636380969213</v>
      </c>
      <c r="J76">
        <v>329.80270735841611</v>
      </c>
      <c r="K76">
        <v>4.801509355449967E-2</v>
      </c>
      <c r="L76">
        <v>155514.42473651766</v>
      </c>
      <c r="M76">
        <v>0.1058522475296771</v>
      </c>
      <c r="N76">
        <v>0.51242302114556815</v>
      </c>
      <c r="O76">
        <v>227.01566385598016</v>
      </c>
      <c r="P76">
        <v>1573.4755669719398</v>
      </c>
    </row>
    <row r="77" spans="1:16" x14ac:dyDescent="0.25">
      <c r="A77">
        <v>76</v>
      </c>
      <c r="B77">
        <v>1.1856199881393736</v>
      </c>
      <c r="C77">
        <v>290.47484811468985</v>
      </c>
      <c r="D77">
        <v>39.232710484223418</v>
      </c>
      <c r="E77">
        <v>9.5577383531499416E-2</v>
      </c>
      <c r="F77">
        <v>100000</v>
      </c>
      <c r="G77">
        <v>3.2327850229315636</v>
      </c>
      <c r="H77">
        <v>0.48726221587190049</v>
      </c>
      <c r="I77">
        <v>798.3167268978118</v>
      </c>
      <c r="J77">
        <v>301.54399409122584</v>
      </c>
      <c r="K77">
        <v>4.7956804446013725E-2</v>
      </c>
      <c r="L77">
        <v>158596.12041252706</v>
      </c>
      <c r="M77">
        <v>0.10384985339309792</v>
      </c>
      <c r="N77">
        <v>0.52854805954770712</v>
      </c>
      <c r="O77">
        <v>226.95338602090402</v>
      </c>
      <c r="P77">
        <v>1545.4037900206072</v>
      </c>
    </row>
    <row r="78" spans="1:16" x14ac:dyDescent="0.25">
      <c r="A78">
        <v>77</v>
      </c>
      <c r="B78">
        <v>1.1854845373183667</v>
      </c>
      <c r="C78">
        <v>290.77013029024982</v>
      </c>
      <c r="D78">
        <v>34.444084085420855</v>
      </c>
      <c r="E78">
        <v>9.7765201082857106E-2</v>
      </c>
      <c r="F78">
        <v>100000</v>
      </c>
      <c r="G78">
        <v>4.4986858808580292</v>
      </c>
      <c r="H78">
        <v>0.4858440296257493</v>
      </c>
      <c r="I78">
        <v>803.08000120549536</v>
      </c>
      <c r="J78">
        <v>334.60496005045127</v>
      </c>
      <c r="K78">
        <v>5.714066692010307E-2</v>
      </c>
      <c r="L78">
        <v>161223.65031853344</v>
      </c>
      <c r="M78">
        <v>0.10340369113196905</v>
      </c>
      <c r="N78">
        <v>0.52587595452358837</v>
      </c>
      <c r="O78">
        <v>230.6855581632914</v>
      </c>
      <c r="P78">
        <v>1568.5220065632197</v>
      </c>
    </row>
    <row r="79" spans="1:16" x14ac:dyDescent="0.25">
      <c r="A79">
        <v>78</v>
      </c>
      <c r="B79">
        <v>1.1838293033943352</v>
      </c>
      <c r="C79">
        <v>290.80770057379868</v>
      </c>
      <c r="D79">
        <v>38.005181950046698</v>
      </c>
      <c r="E79">
        <v>9.3194112630156326E-2</v>
      </c>
      <c r="F79">
        <v>100000</v>
      </c>
      <c r="G79">
        <v>3.732504022608683</v>
      </c>
      <c r="H79">
        <v>0.48817203094400974</v>
      </c>
      <c r="I79">
        <v>790.95284102035862</v>
      </c>
      <c r="J79">
        <v>302.95694932011833</v>
      </c>
      <c r="K79">
        <v>4.3462863644308292E-2</v>
      </c>
      <c r="L79">
        <v>166231.29488071662</v>
      </c>
      <c r="M79">
        <v>0.10448890625593517</v>
      </c>
      <c r="N79">
        <v>0.52475128863284837</v>
      </c>
      <c r="O79">
        <v>230.18030349894772</v>
      </c>
      <c r="P79">
        <v>1538.1348530233172</v>
      </c>
    </row>
    <row r="80" spans="1:16" x14ac:dyDescent="0.25">
      <c r="A80">
        <v>79</v>
      </c>
      <c r="B80">
        <v>1.1843020623947855</v>
      </c>
      <c r="C80">
        <v>290.99102868483658</v>
      </c>
      <c r="D80">
        <v>37.560532492898545</v>
      </c>
      <c r="E80">
        <v>9.6779767696443059E-2</v>
      </c>
      <c r="F80">
        <v>100000</v>
      </c>
      <c r="G80">
        <v>3.1810871864974111</v>
      </c>
      <c r="H80">
        <v>0.48599320836370707</v>
      </c>
      <c r="I80">
        <v>798.08356327017225</v>
      </c>
      <c r="J80">
        <v>369.56884009614998</v>
      </c>
      <c r="K80">
        <v>5.7425862139986725E-2</v>
      </c>
      <c r="L80">
        <v>155531.12677210901</v>
      </c>
      <c r="M80">
        <v>0.10551575544724785</v>
      </c>
      <c r="N80">
        <v>0.52928284835856654</v>
      </c>
      <c r="O80">
        <v>227.99295555586357</v>
      </c>
      <c r="P80">
        <v>1532.9853989576786</v>
      </c>
    </row>
    <row r="81" spans="1:16" x14ac:dyDescent="0.25">
      <c r="A81">
        <v>80</v>
      </c>
      <c r="B81">
        <v>1.1862407584668053</v>
      </c>
      <c r="C81">
        <v>291.05182990597422</v>
      </c>
      <c r="D81">
        <v>39.339641686489514</v>
      </c>
      <c r="E81">
        <v>9.6077509619003784E-2</v>
      </c>
      <c r="F81">
        <v>100000</v>
      </c>
      <c r="G81">
        <v>3.6553264523488411</v>
      </c>
      <c r="H81">
        <v>0.48128867929495256</v>
      </c>
      <c r="I81">
        <v>798.66778061779632</v>
      </c>
      <c r="J81">
        <v>321.66880653819135</v>
      </c>
      <c r="K81">
        <v>4.284277583873615E-2</v>
      </c>
      <c r="L81">
        <v>157381.78243785552</v>
      </c>
      <c r="M81">
        <v>0.10359916903641195</v>
      </c>
      <c r="N81">
        <v>0.51676457898539374</v>
      </c>
      <c r="O81">
        <v>228.83894336414346</v>
      </c>
      <c r="P81">
        <v>1464.6312864249271</v>
      </c>
    </row>
    <row r="82" spans="1:16" x14ac:dyDescent="0.25">
      <c r="A82">
        <v>81</v>
      </c>
      <c r="B82">
        <v>1.1847706599581183</v>
      </c>
      <c r="C82">
        <v>291.30020378406692</v>
      </c>
      <c r="D82">
        <v>40.566697071274987</v>
      </c>
      <c r="E82">
        <v>9.2664736197040173E-2</v>
      </c>
      <c r="F82">
        <v>100000</v>
      </c>
      <c r="G82">
        <v>4.674194748345684</v>
      </c>
      <c r="H82">
        <v>0.48061953636868793</v>
      </c>
      <c r="I82">
        <v>802.05496963422922</v>
      </c>
      <c r="J82">
        <v>364.32274868783804</v>
      </c>
      <c r="K82">
        <v>5.6689317314813123E-2</v>
      </c>
      <c r="L82">
        <v>156359.34260340268</v>
      </c>
      <c r="M82">
        <v>0.10681913188817137</v>
      </c>
      <c r="N82">
        <v>0.5261682485586392</v>
      </c>
      <c r="O82">
        <v>228.19439659883705</v>
      </c>
      <c r="P82">
        <v>1417.4766586278197</v>
      </c>
    </row>
    <row r="83" spans="1:16" x14ac:dyDescent="0.25">
      <c r="A83">
        <v>82</v>
      </c>
      <c r="B83">
        <v>1.1851313890113504</v>
      </c>
      <c r="C83">
        <v>291.50922105751624</v>
      </c>
      <c r="D83">
        <v>34.281083108108035</v>
      </c>
      <c r="E83">
        <v>9.7081502544542397E-2</v>
      </c>
      <c r="F83">
        <v>100000</v>
      </c>
      <c r="G83">
        <v>3.2528040066046886</v>
      </c>
      <c r="H83">
        <v>0.48179767971056991</v>
      </c>
      <c r="I83">
        <v>803.67092394290603</v>
      </c>
      <c r="J83">
        <v>339.20101084295067</v>
      </c>
      <c r="K83">
        <v>4.9682711008652125E-2</v>
      </c>
      <c r="L83">
        <v>162844.03542261923</v>
      </c>
      <c r="M83">
        <v>0.10653679584407126</v>
      </c>
      <c r="N83">
        <v>0.52784930904260552</v>
      </c>
      <c r="O83">
        <v>229.34942277089891</v>
      </c>
      <c r="P83">
        <v>1427.7880450267385</v>
      </c>
    </row>
    <row r="84" spans="1:16" x14ac:dyDescent="0.25">
      <c r="A84">
        <v>83</v>
      </c>
      <c r="B84">
        <v>1.1853984275808076</v>
      </c>
      <c r="C84">
        <v>290.45754940099738</v>
      </c>
      <c r="D84">
        <v>38.817505183373882</v>
      </c>
      <c r="E84">
        <v>9.4416664198918129E-2</v>
      </c>
      <c r="F84">
        <v>100000</v>
      </c>
      <c r="G84">
        <v>3.8126402534353154</v>
      </c>
      <c r="H84">
        <v>0.48800216864497897</v>
      </c>
      <c r="I84">
        <v>804.49891601461957</v>
      </c>
      <c r="J84">
        <v>352.69148332838307</v>
      </c>
      <c r="K84">
        <v>4.2605008938684588E-2</v>
      </c>
      <c r="L84">
        <v>165006.68650057647</v>
      </c>
      <c r="M84">
        <v>0.10720501243139417</v>
      </c>
      <c r="N84">
        <v>0.52487032639588282</v>
      </c>
      <c r="O84">
        <v>227.08332013695053</v>
      </c>
      <c r="P84">
        <v>1428.1545220755015</v>
      </c>
    </row>
    <row r="85" spans="1:16" x14ac:dyDescent="0.25">
      <c r="A85">
        <v>84</v>
      </c>
      <c r="B85">
        <v>1.1856530315995668</v>
      </c>
      <c r="C85">
        <v>290.64032204935648</v>
      </c>
      <c r="D85">
        <v>39.711566052286386</v>
      </c>
      <c r="E85">
        <v>9.4592587589421712E-2</v>
      </c>
      <c r="F85">
        <v>100000</v>
      </c>
      <c r="G85">
        <v>4.6626574582782716</v>
      </c>
      <c r="H85">
        <v>0.48359842154365096</v>
      </c>
      <c r="I85">
        <v>801.6436218168169</v>
      </c>
      <c r="J85">
        <v>305.70116008367756</v>
      </c>
      <c r="K85">
        <v>4.3550362449614723E-2</v>
      </c>
      <c r="L85">
        <v>156147.75828730818</v>
      </c>
      <c r="M85">
        <v>0.10389635553916281</v>
      </c>
      <c r="N85">
        <v>0.51438012211398554</v>
      </c>
      <c r="O85">
        <v>229.83625284946856</v>
      </c>
      <c r="P85">
        <v>1453.1688142939668</v>
      </c>
    </row>
    <row r="86" spans="1:16" x14ac:dyDescent="0.25">
      <c r="A86">
        <v>85</v>
      </c>
      <c r="B86">
        <v>1.1866542628338048</v>
      </c>
      <c r="C86">
        <v>290.33775505714618</v>
      </c>
      <c r="D86">
        <v>38.043976523282566</v>
      </c>
      <c r="E86">
        <v>9.7659172666860111E-2</v>
      </c>
      <c r="F86">
        <v>100000</v>
      </c>
      <c r="G86">
        <v>3.7984958482894959</v>
      </c>
      <c r="H86">
        <v>0.48822791632994694</v>
      </c>
      <c r="I86">
        <v>791.1349538273314</v>
      </c>
      <c r="J86">
        <v>364.0652135848058</v>
      </c>
      <c r="K86">
        <v>5.429159305338857E-2</v>
      </c>
      <c r="L86">
        <v>166009.62551581167</v>
      </c>
      <c r="M86">
        <v>0.10685320225891637</v>
      </c>
      <c r="N86">
        <v>0.51587754696031984</v>
      </c>
      <c r="O86">
        <v>229.18000872741098</v>
      </c>
      <c r="P86">
        <v>1485.1580367466602</v>
      </c>
    </row>
    <row r="87" spans="1:16" x14ac:dyDescent="0.25">
      <c r="A87">
        <v>86</v>
      </c>
      <c r="B87">
        <v>1.1841520217788457</v>
      </c>
      <c r="C87">
        <v>290.78340151234164</v>
      </c>
      <c r="D87">
        <v>39.127664979965786</v>
      </c>
      <c r="E87">
        <v>9.3559460651039025E-2</v>
      </c>
      <c r="F87">
        <v>100000</v>
      </c>
      <c r="G87">
        <v>4.1793224832497771</v>
      </c>
      <c r="H87">
        <v>0.48315558917965085</v>
      </c>
      <c r="I87">
        <v>803.85688689722497</v>
      </c>
      <c r="J87">
        <v>340.39454112079994</v>
      </c>
      <c r="K87">
        <v>4.4609162485350573E-2</v>
      </c>
      <c r="L87">
        <v>164806.93923989002</v>
      </c>
      <c r="M87">
        <v>0.10374066348429611</v>
      </c>
      <c r="N87">
        <v>0.52488780165027771</v>
      </c>
      <c r="O87">
        <v>228.53239678607733</v>
      </c>
      <c r="P87">
        <v>1499.9287792819623</v>
      </c>
    </row>
    <row r="88" spans="1:16" x14ac:dyDescent="0.25">
      <c r="A88">
        <v>87</v>
      </c>
      <c r="B88">
        <v>1.18552534518398</v>
      </c>
      <c r="C88">
        <v>290.74099769585735</v>
      </c>
      <c r="D88">
        <v>40.397992666813991</v>
      </c>
      <c r="E88">
        <v>9.3641941458909528E-2</v>
      </c>
      <c r="F88">
        <v>100000</v>
      </c>
      <c r="G88">
        <v>4.029684741724056</v>
      </c>
      <c r="H88">
        <v>0.48450622502431528</v>
      </c>
      <c r="I88">
        <v>797.70744100068782</v>
      </c>
      <c r="J88">
        <v>344.96530274509541</v>
      </c>
      <c r="K88">
        <v>5.24631846305742E-2</v>
      </c>
      <c r="L88">
        <v>161735.53160267882</v>
      </c>
      <c r="M88">
        <v>0.10578191324335906</v>
      </c>
      <c r="N88">
        <v>0.52477547312600892</v>
      </c>
      <c r="O88">
        <v>228.97648789422709</v>
      </c>
      <c r="P88">
        <v>1510.0899309743247</v>
      </c>
    </row>
    <row r="89" spans="1:16" x14ac:dyDescent="0.25">
      <c r="A89">
        <v>88</v>
      </c>
      <c r="B89">
        <v>1.1845989943015098</v>
      </c>
      <c r="C89">
        <v>290.65853833693836</v>
      </c>
      <c r="D89">
        <v>37.115261626297837</v>
      </c>
      <c r="E89">
        <v>9.6600788981269572E-2</v>
      </c>
      <c r="F89">
        <v>100000</v>
      </c>
      <c r="G89">
        <v>4.1572141171009793</v>
      </c>
      <c r="H89">
        <v>0.48722254793906405</v>
      </c>
      <c r="I89">
        <v>800.09823779040062</v>
      </c>
      <c r="J89">
        <v>357.40154002966398</v>
      </c>
      <c r="K89">
        <v>4.7547776044972401E-2</v>
      </c>
      <c r="L89">
        <v>165913.24427774531</v>
      </c>
      <c r="M89">
        <v>0.10708583579982202</v>
      </c>
      <c r="N89">
        <v>0.52785126940377058</v>
      </c>
      <c r="O89">
        <v>227.20443916543621</v>
      </c>
      <c r="P89">
        <v>1473.9368419689122</v>
      </c>
    </row>
    <row r="90" spans="1:16" x14ac:dyDescent="0.25">
      <c r="A90">
        <v>89</v>
      </c>
      <c r="B90">
        <v>1.1860485952146349</v>
      </c>
      <c r="C90">
        <v>291.42197206820714</v>
      </c>
      <c r="D90">
        <v>34.282923710504413</v>
      </c>
      <c r="E90">
        <v>9.301933499875277E-2</v>
      </c>
      <c r="F90">
        <v>100000</v>
      </c>
      <c r="G90">
        <v>3.2926589387467193</v>
      </c>
      <c r="H90">
        <v>0.4809800865511924</v>
      </c>
      <c r="I90">
        <v>798.48849468207277</v>
      </c>
      <c r="J90">
        <v>362.07647502035564</v>
      </c>
      <c r="K90">
        <v>5.2813930759783634E-2</v>
      </c>
      <c r="L90">
        <v>158207.7060104401</v>
      </c>
      <c r="M90">
        <v>0.10498802130274572</v>
      </c>
      <c r="N90">
        <v>0.52195258829595426</v>
      </c>
      <c r="O90">
        <v>227.1460915355363</v>
      </c>
      <c r="P90">
        <v>1431.7877088591026</v>
      </c>
    </row>
    <row r="91" spans="1:16" x14ac:dyDescent="0.25">
      <c r="A91">
        <v>90</v>
      </c>
      <c r="B91">
        <v>1.1858752550375851</v>
      </c>
      <c r="C91">
        <v>290.86281065801023</v>
      </c>
      <c r="D91">
        <v>37.232261909337538</v>
      </c>
      <c r="E91">
        <v>9.3924769011825435E-2</v>
      </c>
      <c r="F91">
        <v>100000</v>
      </c>
      <c r="G91">
        <v>3.7895032141033917</v>
      </c>
      <c r="H91">
        <v>0.48670340140011886</v>
      </c>
      <c r="I91">
        <v>802.95101796548499</v>
      </c>
      <c r="J91">
        <v>315.34189205680758</v>
      </c>
      <c r="K91">
        <v>5.6113600877691669E-2</v>
      </c>
      <c r="L91">
        <v>163088.21362313678</v>
      </c>
      <c r="M91">
        <v>0.10615601208100128</v>
      </c>
      <c r="N91">
        <v>0.52218393885575065</v>
      </c>
      <c r="O91">
        <v>227.93917952733005</v>
      </c>
      <c r="P91">
        <v>1466.0187974650639</v>
      </c>
    </row>
    <row r="92" spans="1:16" x14ac:dyDescent="0.25">
      <c r="A92">
        <v>91</v>
      </c>
      <c r="B92">
        <v>1.1846116438904937</v>
      </c>
      <c r="C92">
        <v>290.96814966394862</v>
      </c>
      <c r="D92">
        <v>35.998809361059735</v>
      </c>
      <c r="E92">
        <v>9.3634091308436876E-2</v>
      </c>
      <c r="F92">
        <v>100000</v>
      </c>
      <c r="G92">
        <v>4.2249679885689959</v>
      </c>
      <c r="H92">
        <v>0.48166474255195668</v>
      </c>
      <c r="I92">
        <v>797.99835752713318</v>
      </c>
      <c r="J92">
        <v>356.86372246852625</v>
      </c>
      <c r="K92">
        <v>4.7352084731435207E-2</v>
      </c>
      <c r="L92">
        <v>161190.41298442151</v>
      </c>
      <c r="M92">
        <v>0.10414464783863064</v>
      </c>
      <c r="N92">
        <v>0.52218041771642676</v>
      </c>
      <c r="O92">
        <v>227.47148250477966</v>
      </c>
      <c r="P92">
        <v>1486.3289487226104</v>
      </c>
    </row>
    <row r="93" spans="1:16" x14ac:dyDescent="0.25">
      <c r="A93">
        <v>92</v>
      </c>
      <c r="B93">
        <v>1.1855350964840903</v>
      </c>
      <c r="C93">
        <v>291.00562476936051</v>
      </c>
      <c r="D93">
        <v>38.514034682805274</v>
      </c>
      <c r="E93">
        <v>9.4934991352608286E-2</v>
      </c>
      <c r="F93">
        <v>100000</v>
      </c>
      <c r="G93">
        <v>3.7029535453706592</v>
      </c>
      <c r="H93">
        <v>0.48482905995432052</v>
      </c>
      <c r="I93">
        <v>802.90555228785945</v>
      </c>
      <c r="J93">
        <v>322.88704759985109</v>
      </c>
      <c r="K93">
        <v>5.2697057399560751E-2</v>
      </c>
      <c r="L93">
        <v>163265.95998641523</v>
      </c>
      <c r="M93">
        <v>0.10532995882254317</v>
      </c>
      <c r="N93">
        <v>0.52143358773076931</v>
      </c>
      <c r="O93">
        <v>229.27102655209995</v>
      </c>
      <c r="P93">
        <v>1472.0713485591862</v>
      </c>
    </row>
    <row r="94" spans="1:16" x14ac:dyDescent="0.25">
      <c r="A94">
        <v>93</v>
      </c>
      <c r="B94">
        <v>1.1854763055774127</v>
      </c>
      <c r="C94">
        <v>291.15935510823039</v>
      </c>
      <c r="D94">
        <v>37.57249674913988</v>
      </c>
      <c r="E94">
        <v>9.455218596182452E-2</v>
      </c>
      <c r="F94">
        <v>100000</v>
      </c>
      <c r="G94">
        <v>3.6092959349867275</v>
      </c>
      <c r="H94">
        <v>0.48301579650551912</v>
      </c>
      <c r="I94">
        <v>791.85281898463279</v>
      </c>
      <c r="J94">
        <v>307.82462978855472</v>
      </c>
      <c r="K94">
        <v>4.4767189190303001E-2</v>
      </c>
      <c r="L94">
        <v>160867.54331555421</v>
      </c>
      <c r="M94">
        <v>0.1040176305707089</v>
      </c>
      <c r="N94">
        <v>0.52089580248991163</v>
      </c>
      <c r="O94">
        <v>228.57435504211705</v>
      </c>
      <c r="P94">
        <v>1481.9847749182413</v>
      </c>
    </row>
    <row r="95" spans="1:16" x14ac:dyDescent="0.25">
      <c r="A95">
        <v>94</v>
      </c>
      <c r="B95">
        <v>1.1857066984527016</v>
      </c>
      <c r="C95">
        <v>290.84396586946798</v>
      </c>
      <c r="D95">
        <v>35.167520170731642</v>
      </c>
      <c r="E95">
        <v>9.5033057644105717E-2</v>
      </c>
      <c r="F95">
        <v>100000</v>
      </c>
      <c r="G95">
        <v>4.352817273063101</v>
      </c>
      <c r="H95">
        <v>0.48617833444206282</v>
      </c>
      <c r="I95">
        <v>802.11527911802648</v>
      </c>
      <c r="J95">
        <v>337.38239376234753</v>
      </c>
      <c r="K95">
        <v>4.4176965315393835E-2</v>
      </c>
      <c r="L95">
        <v>158261.70864294984</v>
      </c>
      <c r="M95">
        <v>0.10611949097343262</v>
      </c>
      <c r="N95">
        <v>0.51545825723047323</v>
      </c>
      <c r="O95">
        <v>227.62738763305708</v>
      </c>
      <c r="P95">
        <v>1446.3023194929167</v>
      </c>
    </row>
    <row r="96" spans="1:16" x14ac:dyDescent="0.25">
      <c r="A96">
        <v>95</v>
      </c>
      <c r="B96">
        <v>1.1844925721621857</v>
      </c>
      <c r="C96">
        <v>290.48691748490677</v>
      </c>
      <c r="D96">
        <v>35.027250484065746</v>
      </c>
      <c r="E96">
        <v>9.6257384115847139E-2</v>
      </c>
      <c r="F96">
        <v>100000</v>
      </c>
      <c r="G96">
        <v>3.8197551650434955</v>
      </c>
      <c r="H96">
        <v>0.48592874403898945</v>
      </c>
      <c r="I96">
        <v>795.39393201836754</v>
      </c>
      <c r="J96">
        <v>325.00721631812718</v>
      </c>
      <c r="K96">
        <v>5.5707538431412053E-2</v>
      </c>
      <c r="L96">
        <v>160498.73676813845</v>
      </c>
      <c r="M96">
        <v>0.10376030943712708</v>
      </c>
      <c r="N96">
        <v>0.52073045456208134</v>
      </c>
      <c r="O96">
        <v>228.91297408158931</v>
      </c>
      <c r="P96">
        <v>1435.9465960518555</v>
      </c>
    </row>
    <row r="97" spans="1:16" x14ac:dyDescent="0.25">
      <c r="A97">
        <v>96</v>
      </c>
      <c r="B97">
        <v>1.1842577330748294</v>
      </c>
      <c r="C97">
        <v>291.31889878841037</v>
      </c>
      <c r="D97">
        <v>38.52625350750872</v>
      </c>
      <c r="E97">
        <v>9.4556161165282634E-2</v>
      </c>
      <c r="F97">
        <v>100000</v>
      </c>
      <c r="G97">
        <v>4.2776250451782802</v>
      </c>
      <c r="H97">
        <v>0.48392904886348048</v>
      </c>
      <c r="I97">
        <v>794.07172570189755</v>
      </c>
      <c r="J97">
        <v>333.7578666798338</v>
      </c>
      <c r="K97">
        <v>4.5658602528124162E-2</v>
      </c>
      <c r="L97">
        <v>159479.41042059145</v>
      </c>
      <c r="M97">
        <v>0.10653590832396945</v>
      </c>
      <c r="N97">
        <v>0.51808116898185319</v>
      </c>
      <c r="O97">
        <v>227.6814036002672</v>
      </c>
      <c r="P97">
        <v>1460.6416283881131</v>
      </c>
    </row>
    <row r="98" spans="1:16" x14ac:dyDescent="0.25">
      <c r="A98">
        <v>97</v>
      </c>
      <c r="B98">
        <v>1.1847540923148889</v>
      </c>
      <c r="C98">
        <v>290.91863526061917</v>
      </c>
      <c r="D98">
        <v>36.138546803310213</v>
      </c>
      <c r="E98">
        <v>9.6494218395234352E-2</v>
      </c>
      <c r="F98">
        <v>100000</v>
      </c>
      <c r="G98">
        <v>3.7206632680327902</v>
      </c>
      <c r="H98">
        <v>0.48243464018936782</v>
      </c>
      <c r="I98">
        <v>791.99003421051293</v>
      </c>
      <c r="J98">
        <v>322.05663640586658</v>
      </c>
      <c r="K98">
        <v>4.7125714747737489E-2</v>
      </c>
      <c r="L98">
        <v>163292.96567991914</v>
      </c>
      <c r="M98">
        <v>0.10585671856134821</v>
      </c>
      <c r="N98">
        <v>0.52230647616728876</v>
      </c>
      <c r="O98">
        <v>227.63429883055744</v>
      </c>
      <c r="P98">
        <v>1457.4494756899621</v>
      </c>
    </row>
    <row r="99" spans="1:16" x14ac:dyDescent="0.25">
      <c r="A99">
        <v>98</v>
      </c>
      <c r="B99">
        <v>1.1846711673626336</v>
      </c>
      <c r="C99">
        <v>291.01048363962042</v>
      </c>
      <c r="D99">
        <v>36.980809572723167</v>
      </c>
      <c r="E99">
        <v>9.3809681374594833E-2</v>
      </c>
      <c r="F99">
        <v>100000</v>
      </c>
      <c r="G99">
        <v>3.5404487436729357</v>
      </c>
      <c r="H99">
        <v>0.4866526489117512</v>
      </c>
      <c r="I99">
        <v>793.32462639421874</v>
      </c>
      <c r="J99">
        <v>339.08007034730474</v>
      </c>
      <c r="K99">
        <v>4.8949069630672443E-2</v>
      </c>
      <c r="L99">
        <v>161119.62205546582</v>
      </c>
      <c r="M99">
        <v>0.1049100460817015</v>
      </c>
      <c r="N99">
        <v>0.51874158986705532</v>
      </c>
      <c r="O99">
        <v>227.65935688654793</v>
      </c>
      <c r="P99">
        <v>1433.8212448783504</v>
      </c>
    </row>
    <row r="100" spans="1:16" x14ac:dyDescent="0.25">
      <c r="A100">
        <v>99</v>
      </c>
      <c r="B100">
        <v>1.1859303698883341</v>
      </c>
      <c r="C100">
        <v>291.04895408536288</v>
      </c>
      <c r="D100">
        <v>38.21345992209136</v>
      </c>
      <c r="E100">
        <v>9.523690690591724E-2</v>
      </c>
      <c r="F100">
        <v>100000</v>
      </c>
      <c r="G100">
        <v>4.0787471511508286</v>
      </c>
      <c r="H100">
        <v>0.48286520786558551</v>
      </c>
      <c r="I100">
        <v>793.19512929366999</v>
      </c>
      <c r="J100">
        <v>341.90224109178985</v>
      </c>
      <c r="K100">
        <v>4.7828196775232826E-2</v>
      </c>
      <c r="L100">
        <v>158915.3400638981</v>
      </c>
      <c r="M100">
        <v>0.10617641957624196</v>
      </c>
      <c r="N100">
        <v>0.51737748790553795</v>
      </c>
      <c r="O100">
        <v>227.15619983421976</v>
      </c>
      <c r="P100">
        <v>1475.424094047595</v>
      </c>
    </row>
    <row r="101" spans="1:16" x14ac:dyDescent="0.25">
      <c r="A101">
        <v>100</v>
      </c>
      <c r="B101">
        <v>1.1844359848275856</v>
      </c>
      <c r="C101">
        <v>290.88077959273068</v>
      </c>
      <c r="D101">
        <v>35.421084245276901</v>
      </c>
      <c r="E101">
        <v>9.4807246895793049E-2</v>
      </c>
      <c r="F101">
        <v>100000</v>
      </c>
      <c r="G101">
        <v>3.7428160231835172</v>
      </c>
      <c r="H101">
        <v>0.4847558554468086</v>
      </c>
      <c r="I101">
        <v>802.63173158525956</v>
      </c>
      <c r="J101">
        <v>344.86955854060159</v>
      </c>
      <c r="K101">
        <v>5.2846145322746702E-2</v>
      </c>
      <c r="L101">
        <v>160481.76349700024</v>
      </c>
      <c r="M101">
        <v>0.10398006998535138</v>
      </c>
      <c r="N101">
        <v>0.51663868934081281</v>
      </c>
      <c r="O101">
        <v>227.35830792234336</v>
      </c>
      <c r="P101">
        <v>1464.4269735368537</v>
      </c>
    </row>
    <row r="102" spans="1:16" x14ac:dyDescent="0.25">
      <c r="A102">
        <v>101</v>
      </c>
      <c r="B102">
        <v>1.1858991556011236</v>
      </c>
      <c r="C102">
        <v>290.738449855986</v>
      </c>
      <c r="D102">
        <v>36.235382822004205</v>
      </c>
      <c r="E102">
        <v>9.4163294916399146E-2</v>
      </c>
      <c r="F102">
        <v>100000</v>
      </c>
      <c r="G102">
        <v>4.0148697610261221</v>
      </c>
      <c r="H102">
        <v>0.48625535350738991</v>
      </c>
      <c r="I102">
        <v>797.43554761315386</v>
      </c>
      <c r="J102">
        <v>340.25543511071885</v>
      </c>
      <c r="K102">
        <v>4.6898621963921312E-2</v>
      </c>
      <c r="L102">
        <v>161378.42008453808</v>
      </c>
      <c r="M102">
        <v>0.10539297099521816</v>
      </c>
      <c r="N102">
        <v>0.51961455989296956</v>
      </c>
      <c r="O102">
        <v>227.64167940045809</v>
      </c>
      <c r="P102">
        <v>1439.9003548378819</v>
      </c>
    </row>
    <row r="103" spans="1:16" x14ac:dyDescent="0.25">
      <c r="A103">
        <v>102</v>
      </c>
      <c r="B103">
        <v>1.1857747174572904</v>
      </c>
      <c r="C103">
        <v>290.5977481932614</v>
      </c>
      <c r="D103">
        <v>38.013682694169304</v>
      </c>
      <c r="E103">
        <v>9.5254203352071479E-2</v>
      </c>
      <c r="F103">
        <v>100000</v>
      </c>
      <c r="G103">
        <v>3.6224201179837463</v>
      </c>
      <c r="H103">
        <v>0.48316949952566624</v>
      </c>
      <c r="I103">
        <v>793.53902968091893</v>
      </c>
      <c r="J103">
        <v>316.04710256711519</v>
      </c>
      <c r="K103">
        <v>4.7801484951317356E-2</v>
      </c>
      <c r="L103">
        <v>159521.38202933825</v>
      </c>
      <c r="M103">
        <v>0.10612038920660262</v>
      </c>
      <c r="N103">
        <v>0.51757640164272256</v>
      </c>
      <c r="O103">
        <v>228.3838922356245</v>
      </c>
      <c r="P103">
        <v>1460.225588721813</v>
      </c>
    </row>
    <row r="104" spans="1:16" x14ac:dyDescent="0.25">
      <c r="A104">
        <v>103</v>
      </c>
      <c r="B104">
        <v>1.1845356762952526</v>
      </c>
      <c r="C104">
        <v>291.16792700974412</v>
      </c>
      <c r="D104">
        <v>37.581098062722297</v>
      </c>
      <c r="E104">
        <v>9.4712426536161937E-2</v>
      </c>
      <c r="F104">
        <v>100000</v>
      </c>
      <c r="G104">
        <v>4.2361522217896947</v>
      </c>
      <c r="H104">
        <v>0.48661536368253139</v>
      </c>
      <c r="I104">
        <v>796.12277070528148</v>
      </c>
      <c r="J104">
        <v>341.16832032310822</v>
      </c>
      <c r="K104">
        <v>4.5066917557010013E-2</v>
      </c>
      <c r="L104">
        <v>159196.09281646696</v>
      </c>
      <c r="M104">
        <v>0.10489874462414797</v>
      </c>
      <c r="N104">
        <v>0.51883931124237403</v>
      </c>
      <c r="O104">
        <v>228.42618250178384</v>
      </c>
      <c r="P104">
        <v>1435.1110885967519</v>
      </c>
    </row>
    <row r="105" spans="1:16" x14ac:dyDescent="0.25">
      <c r="A105">
        <v>104</v>
      </c>
      <c r="B105">
        <v>1.1856030783531044</v>
      </c>
      <c r="C105">
        <v>290.87176820320178</v>
      </c>
      <c r="D105">
        <v>37.270916706960286</v>
      </c>
      <c r="E105">
        <v>9.4928295838058771E-2</v>
      </c>
      <c r="F105">
        <v>100000</v>
      </c>
      <c r="G105">
        <v>3.8985622521999206</v>
      </c>
      <c r="H105">
        <v>0.48313568425013043</v>
      </c>
      <c r="I105">
        <v>796.65075205652408</v>
      </c>
      <c r="J105">
        <v>338.01091763924535</v>
      </c>
      <c r="K105">
        <v>4.9304970949501196E-2</v>
      </c>
      <c r="L105">
        <v>160306.63943405292</v>
      </c>
      <c r="M105">
        <v>0.10539651131362002</v>
      </c>
      <c r="N105">
        <v>0.51678500266931326</v>
      </c>
      <c r="O105">
        <v>228.34806867944664</v>
      </c>
      <c r="P105">
        <v>1462.8403526874401</v>
      </c>
    </row>
    <row r="106" spans="1:16" x14ac:dyDescent="0.25">
      <c r="A106">
        <v>105</v>
      </c>
      <c r="B106">
        <v>1.1852717850404861</v>
      </c>
      <c r="C106">
        <v>290.67238560634337</v>
      </c>
      <c r="D106">
        <v>35.948298640150689</v>
      </c>
      <c r="E106">
        <v>9.3973519432397054E-2</v>
      </c>
      <c r="F106">
        <v>100000</v>
      </c>
      <c r="G106">
        <v>3.9063098142613386</v>
      </c>
      <c r="H106">
        <v>0.4854855178159625</v>
      </c>
      <c r="I106">
        <v>795.78655202404423</v>
      </c>
      <c r="J106">
        <v>324.92020896263239</v>
      </c>
      <c r="K106">
        <v>4.8881131379969328E-2</v>
      </c>
      <c r="L106">
        <v>160969.66214199801</v>
      </c>
      <c r="M106">
        <v>0.10524203670840609</v>
      </c>
      <c r="N106">
        <v>0.521277334663242</v>
      </c>
      <c r="O106">
        <v>228.54443626817346</v>
      </c>
      <c r="P106">
        <v>1448.2696794330286</v>
      </c>
    </row>
    <row r="107" spans="1:16" x14ac:dyDescent="0.25">
      <c r="A107">
        <v>106</v>
      </c>
      <c r="B107">
        <v>1.185401268927079</v>
      </c>
      <c r="C107">
        <v>291.13596004691209</v>
      </c>
      <c r="D107">
        <v>36.123689588223677</v>
      </c>
      <c r="E107">
        <v>9.5870573770627701E-2</v>
      </c>
      <c r="F107">
        <v>100000</v>
      </c>
      <c r="G107">
        <v>4.1414911644811525</v>
      </c>
      <c r="H107">
        <v>0.48631752012515284</v>
      </c>
      <c r="I107">
        <v>797.24697166407134</v>
      </c>
      <c r="J107">
        <v>316.3361377701188</v>
      </c>
      <c r="K107">
        <v>4.6246750046409005E-2</v>
      </c>
      <c r="L107">
        <v>159279.91376759589</v>
      </c>
      <c r="M107">
        <v>0.10474522804541563</v>
      </c>
      <c r="N107">
        <v>0.51772328175695015</v>
      </c>
      <c r="O107">
        <v>227.44824674153534</v>
      </c>
      <c r="P107">
        <v>1437.7518393226655</v>
      </c>
    </row>
    <row r="108" spans="1:16" x14ac:dyDescent="0.25">
      <c r="A108">
        <v>107</v>
      </c>
      <c r="B108">
        <v>1.1851976153587032</v>
      </c>
      <c r="C108">
        <v>290.68702310774239</v>
      </c>
      <c r="D108">
        <v>35.89033134622278</v>
      </c>
      <c r="E108">
        <v>9.6223071745720701E-2</v>
      </c>
      <c r="F108">
        <v>100000</v>
      </c>
      <c r="G108">
        <v>3.6291745213869442</v>
      </c>
      <c r="H108">
        <v>0.48628739263145609</v>
      </c>
      <c r="I108">
        <v>797.72890102731412</v>
      </c>
      <c r="J108">
        <v>338.87518191506615</v>
      </c>
      <c r="K108">
        <v>4.5501870489188335E-2</v>
      </c>
      <c r="L108">
        <v>159661.18203705383</v>
      </c>
      <c r="M108">
        <v>0.10530185205537931</v>
      </c>
      <c r="N108">
        <v>0.51812318186809758</v>
      </c>
      <c r="O108">
        <v>227.7932778067607</v>
      </c>
      <c r="P108">
        <v>1467.6055199768898</v>
      </c>
    </row>
    <row r="109" spans="1:16" x14ac:dyDescent="0.25">
      <c r="A109">
        <v>108</v>
      </c>
      <c r="B109">
        <v>1.1850841535980055</v>
      </c>
      <c r="C109">
        <v>290.68586277171801</v>
      </c>
      <c r="D109">
        <v>36.183763869694097</v>
      </c>
      <c r="E109">
        <v>9.5872160516786875E-2</v>
      </c>
      <c r="F109">
        <v>100000</v>
      </c>
      <c r="G109">
        <v>3.8720937636453177</v>
      </c>
      <c r="H109">
        <v>0.48500321057333939</v>
      </c>
      <c r="I109">
        <v>798.9325823417023</v>
      </c>
      <c r="J109">
        <v>342.01320219848606</v>
      </c>
      <c r="K109">
        <v>4.9272912856550916E-2</v>
      </c>
      <c r="L109">
        <v>160972.97381231358</v>
      </c>
      <c r="M109">
        <v>0.10460493158266659</v>
      </c>
      <c r="N109">
        <v>0.51786970774799024</v>
      </c>
      <c r="O109">
        <v>228.07182974203531</v>
      </c>
      <c r="P109">
        <v>1471.8776316125029</v>
      </c>
    </row>
    <row r="110" spans="1:16" x14ac:dyDescent="0.25">
      <c r="A110">
        <v>109</v>
      </c>
      <c r="B110">
        <v>1.1858639892750469</v>
      </c>
      <c r="C110">
        <v>290.65548439735971</v>
      </c>
      <c r="D110">
        <v>35.87430108503294</v>
      </c>
      <c r="E110">
        <v>9.5892767484571248E-2</v>
      </c>
      <c r="F110">
        <v>100000</v>
      </c>
      <c r="G110">
        <v>3.6987676245543457</v>
      </c>
      <c r="H110">
        <v>0.48632620391154585</v>
      </c>
      <c r="I110">
        <v>802.09849515831604</v>
      </c>
      <c r="J110">
        <v>320.1752626777336</v>
      </c>
      <c r="K110">
        <v>4.5322889105799347E-2</v>
      </c>
      <c r="L110">
        <v>159204.21919069265</v>
      </c>
      <c r="M110">
        <v>0.10482837350209348</v>
      </c>
      <c r="N110">
        <v>0.5200366399651194</v>
      </c>
      <c r="O110">
        <v>228.43487261444594</v>
      </c>
      <c r="P110">
        <v>1439.4361633860874</v>
      </c>
    </row>
    <row r="111" spans="1:16" x14ac:dyDescent="0.25">
      <c r="A111">
        <v>110</v>
      </c>
      <c r="B111">
        <v>1.1853949322602806</v>
      </c>
      <c r="C111">
        <v>291.12202172624427</v>
      </c>
      <c r="D111">
        <v>35.52893535464073</v>
      </c>
      <c r="E111">
        <v>9.4133346535832704E-2</v>
      </c>
      <c r="F111">
        <v>100000</v>
      </c>
      <c r="G111">
        <v>4.2085448063279447</v>
      </c>
      <c r="H111">
        <v>0.48656018566549136</v>
      </c>
      <c r="I111">
        <v>801.33025889562145</v>
      </c>
      <c r="J111">
        <v>337.20452280253585</v>
      </c>
      <c r="K111">
        <v>4.8899883062166263E-2</v>
      </c>
      <c r="L111">
        <v>161064.15635614653</v>
      </c>
      <c r="M111">
        <v>0.10538884518099706</v>
      </c>
      <c r="N111">
        <v>0.51886881125052753</v>
      </c>
      <c r="O111">
        <v>227.9160629496011</v>
      </c>
      <c r="P111">
        <v>1455.187054720202</v>
      </c>
    </row>
    <row r="112" spans="1:16" x14ac:dyDescent="0.25">
      <c r="A112">
        <v>111</v>
      </c>
      <c r="B112">
        <v>1.1849720774346273</v>
      </c>
      <c r="C112">
        <v>291.12774403722307</v>
      </c>
      <c r="D112">
        <v>36.104362974988959</v>
      </c>
      <c r="E112">
        <v>9.5289777477784762E-2</v>
      </c>
      <c r="F112">
        <v>100000</v>
      </c>
      <c r="G112">
        <v>3.8421426182170233</v>
      </c>
      <c r="H112">
        <v>0.48609334280712363</v>
      </c>
      <c r="I112">
        <v>800.21509976482821</v>
      </c>
      <c r="J112">
        <v>326.80530442912101</v>
      </c>
      <c r="K112">
        <v>4.6624755079652518E-2</v>
      </c>
      <c r="L112">
        <v>161190.5607343702</v>
      </c>
      <c r="M112">
        <v>0.10601402740008199</v>
      </c>
      <c r="N112">
        <v>0.51835321108129973</v>
      </c>
      <c r="O112">
        <v>227.54355263606948</v>
      </c>
      <c r="P112">
        <v>1460.3262172706766</v>
      </c>
    </row>
    <row r="113" spans="1:16" x14ac:dyDescent="0.25">
      <c r="A113">
        <v>112</v>
      </c>
      <c r="B113">
        <v>1.1856004381152114</v>
      </c>
      <c r="C113">
        <v>291.08537854430801</v>
      </c>
      <c r="D113">
        <v>36.246176841758711</v>
      </c>
      <c r="E113">
        <v>9.4681578353009985E-2</v>
      </c>
      <c r="F113">
        <v>100000</v>
      </c>
      <c r="G113">
        <v>3.6810489289296342</v>
      </c>
      <c r="H113">
        <v>0.48502259454148533</v>
      </c>
      <c r="I113">
        <v>800.62488367077754</v>
      </c>
      <c r="J113">
        <v>318.72553649446587</v>
      </c>
      <c r="K113">
        <v>4.7269471852693576E-2</v>
      </c>
      <c r="L113">
        <v>159230.8598120519</v>
      </c>
      <c r="M113">
        <v>0.10543678541827572</v>
      </c>
      <c r="N113">
        <v>0.52001667840913746</v>
      </c>
      <c r="O113">
        <v>228.36971513629561</v>
      </c>
      <c r="P113">
        <v>1470.5175583634991</v>
      </c>
    </row>
    <row r="114" spans="1:16" x14ac:dyDescent="0.25">
      <c r="A114">
        <v>113</v>
      </c>
      <c r="B114">
        <v>1.1852554221876754</v>
      </c>
      <c r="C114">
        <v>291.01448995182022</v>
      </c>
      <c r="D114">
        <v>36.39104930922722</v>
      </c>
      <c r="E114">
        <v>9.4314805798965298E-2</v>
      </c>
      <c r="F114">
        <v>100000</v>
      </c>
      <c r="G114">
        <v>3.7297737481786779</v>
      </c>
      <c r="H114">
        <v>0.4838598046652709</v>
      </c>
      <c r="I114">
        <v>801.46548894526404</v>
      </c>
      <c r="J114">
        <v>324.73218377557771</v>
      </c>
      <c r="K114">
        <v>4.6423093545839435E-2</v>
      </c>
      <c r="L114">
        <v>160484.71107263354</v>
      </c>
      <c r="M114">
        <v>0.10531563806183572</v>
      </c>
      <c r="N114">
        <v>0.5178399653853849</v>
      </c>
      <c r="O114">
        <v>228.45472692562365</v>
      </c>
      <c r="P114">
        <v>1447.9894559678667</v>
      </c>
    </row>
    <row r="115" spans="1:16" x14ac:dyDescent="0.25">
      <c r="A115">
        <v>114</v>
      </c>
      <c r="B115">
        <v>1.1855613109669594</v>
      </c>
      <c r="C115">
        <v>290.72241714581457</v>
      </c>
      <c r="D115">
        <v>37.007556427004992</v>
      </c>
      <c r="E115">
        <v>9.4855322870259703E-2</v>
      </c>
      <c r="F115">
        <v>100000</v>
      </c>
      <c r="G115">
        <v>3.9806787648457846</v>
      </c>
      <c r="H115">
        <v>0.48652589791195761</v>
      </c>
      <c r="I115">
        <v>796.88150633739565</v>
      </c>
      <c r="J115">
        <v>320.44326501993908</v>
      </c>
      <c r="K115">
        <v>4.6215335038521238E-2</v>
      </c>
      <c r="L115">
        <v>160718.66065643032</v>
      </c>
      <c r="M115">
        <v>0.1049617471975946</v>
      </c>
      <c r="N115">
        <v>0.51834946916845137</v>
      </c>
      <c r="O115">
        <v>227.97145912964211</v>
      </c>
      <c r="P115">
        <v>1448.0351707812581</v>
      </c>
    </row>
    <row r="116" spans="1:16" x14ac:dyDescent="0.25">
      <c r="A116">
        <v>115</v>
      </c>
      <c r="B116">
        <v>1.1857110421347192</v>
      </c>
      <c r="C116">
        <v>290.89563011481096</v>
      </c>
      <c r="D116">
        <v>36.660495044914221</v>
      </c>
      <c r="E116">
        <v>9.4759804887836349E-2</v>
      </c>
      <c r="F116">
        <v>100000</v>
      </c>
      <c r="G116">
        <v>3.6830730229944182</v>
      </c>
      <c r="H116">
        <v>0.48578175749484537</v>
      </c>
      <c r="I116">
        <v>795.88560247383646</v>
      </c>
      <c r="J116">
        <v>319.31812963688452</v>
      </c>
      <c r="K116">
        <v>4.6551016278369148E-2</v>
      </c>
      <c r="L116">
        <v>160906.01099883055</v>
      </c>
      <c r="M116">
        <v>0.10502464713703268</v>
      </c>
      <c r="N116">
        <v>0.51939369971097704</v>
      </c>
      <c r="O116">
        <v>228.1153785277842</v>
      </c>
      <c r="P116">
        <v>1461.6311667083723</v>
      </c>
    </row>
    <row r="117" spans="1:16" x14ac:dyDescent="0.25">
      <c r="A117">
        <v>116</v>
      </c>
      <c r="B117">
        <v>1.1850950278349788</v>
      </c>
      <c r="C117">
        <v>290.69982398139234</v>
      </c>
      <c r="D117">
        <v>36.038995745798871</v>
      </c>
      <c r="E117">
        <v>9.5523771429742554E-2</v>
      </c>
      <c r="F117">
        <v>100000</v>
      </c>
      <c r="G117">
        <v>3.7046293258923053</v>
      </c>
      <c r="H117">
        <v>0.48651774213409049</v>
      </c>
      <c r="I117">
        <v>801.13657550063022</v>
      </c>
      <c r="J117">
        <v>332.66766354973095</v>
      </c>
      <c r="K117">
        <v>4.8705080606317841E-2</v>
      </c>
      <c r="L117">
        <v>159228.65898581737</v>
      </c>
      <c r="M117">
        <v>0.1053332934196814</v>
      </c>
      <c r="N117">
        <v>0.51819026581486993</v>
      </c>
      <c r="O117">
        <v>227.92147462103742</v>
      </c>
      <c r="P117">
        <v>1459.3209697080085</v>
      </c>
    </row>
    <row r="118" spans="1:16" x14ac:dyDescent="0.25">
      <c r="A118">
        <v>117</v>
      </c>
      <c r="B118">
        <v>1.1851146863121906</v>
      </c>
      <c r="C118">
        <v>290.71118505485668</v>
      </c>
      <c r="D118">
        <v>36.969780037076156</v>
      </c>
      <c r="E118">
        <v>9.4574725330425533E-2</v>
      </c>
      <c r="F118">
        <v>100000</v>
      </c>
      <c r="G118">
        <v>4.1063735445250806</v>
      </c>
      <c r="H118">
        <v>0.48455345937146416</v>
      </c>
      <c r="I118">
        <v>796.96193110300237</v>
      </c>
      <c r="J118">
        <v>330.08101555211516</v>
      </c>
      <c r="K118">
        <v>4.9205703838672371E-2</v>
      </c>
      <c r="L118">
        <v>160714.82491904515</v>
      </c>
      <c r="M118">
        <v>0.10495504164243215</v>
      </c>
      <c r="N118">
        <v>0.51825352825563442</v>
      </c>
      <c r="O118">
        <v>227.64039196800925</v>
      </c>
      <c r="P118">
        <v>1454.0085593393812</v>
      </c>
    </row>
    <row r="119" spans="1:16" x14ac:dyDescent="0.25">
      <c r="A119">
        <v>118</v>
      </c>
      <c r="B119">
        <v>1.1857873553771774</v>
      </c>
      <c r="C119">
        <v>290.77934642943802</v>
      </c>
      <c r="D119">
        <v>36.694019529868278</v>
      </c>
      <c r="E119">
        <v>9.5449400909107585E-2</v>
      </c>
      <c r="F119">
        <v>100000</v>
      </c>
      <c r="G119">
        <v>3.9426447942131251</v>
      </c>
      <c r="H119">
        <v>0.48616588524291382</v>
      </c>
      <c r="I119">
        <v>801.68947515730633</v>
      </c>
      <c r="J119">
        <v>331.35981009439155</v>
      </c>
      <c r="K119">
        <v>4.5427383362102544E-2</v>
      </c>
      <c r="L119">
        <v>159805.50074676634</v>
      </c>
      <c r="M119">
        <v>0.10461888150133668</v>
      </c>
      <c r="N119">
        <v>0.51966483128764163</v>
      </c>
      <c r="O119">
        <v>227.6181385595971</v>
      </c>
      <c r="P119">
        <v>1462.6421608377384</v>
      </c>
    </row>
    <row r="120" spans="1:16" x14ac:dyDescent="0.25">
      <c r="A120">
        <v>119</v>
      </c>
      <c r="B120">
        <v>1.1858174537261141</v>
      </c>
      <c r="C120">
        <v>291.04573583873088</v>
      </c>
      <c r="D120">
        <v>36.049494784991253</v>
      </c>
      <c r="E120">
        <v>9.4658922411520796E-2</v>
      </c>
      <c r="F120">
        <v>100000</v>
      </c>
      <c r="G120">
        <v>4.0678672215285241</v>
      </c>
      <c r="H120">
        <v>0.48572644676521021</v>
      </c>
      <c r="I120">
        <v>797.59263464900482</v>
      </c>
      <c r="J120">
        <v>323.93652036508826</v>
      </c>
      <c r="K120">
        <v>4.8135945982078363E-2</v>
      </c>
      <c r="L120">
        <v>161138.83243113835</v>
      </c>
      <c r="M120">
        <v>0.10591634178980673</v>
      </c>
      <c r="N120">
        <v>0.51821749107579784</v>
      </c>
      <c r="O120">
        <v>227.70863110418253</v>
      </c>
      <c r="P120">
        <v>1449.4018275222757</v>
      </c>
    </row>
    <row r="121" spans="1:16" x14ac:dyDescent="0.25">
      <c r="A121">
        <v>120</v>
      </c>
      <c r="B121">
        <v>1.1850585793397121</v>
      </c>
      <c r="C121">
        <v>291.01723007987738</v>
      </c>
      <c r="D121">
        <v>35.977406455844083</v>
      </c>
      <c r="E121">
        <v>9.5170409920974447E-2</v>
      </c>
      <c r="F121">
        <v>100000</v>
      </c>
      <c r="G121">
        <v>3.8536087259522702</v>
      </c>
      <c r="H121">
        <v>0.48420960743946106</v>
      </c>
      <c r="I121">
        <v>797.50779088735533</v>
      </c>
      <c r="J121">
        <v>321.98913468212061</v>
      </c>
      <c r="K121">
        <v>4.892804169276202E-2</v>
      </c>
      <c r="L121">
        <v>159540.47792794689</v>
      </c>
      <c r="M121">
        <v>0.10590255435189391</v>
      </c>
      <c r="N121">
        <v>0.51861773392421218</v>
      </c>
      <c r="O121">
        <v>227.99200975247032</v>
      </c>
      <c r="P121">
        <v>1455.0503528432882</v>
      </c>
    </row>
    <row r="122" spans="1:16" x14ac:dyDescent="0.25">
      <c r="A122">
        <v>121</v>
      </c>
      <c r="B122">
        <v>1.1857675782763282</v>
      </c>
      <c r="C122">
        <v>290.94260013052354</v>
      </c>
      <c r="D122">
        <v>36.35383209759879</v>
      </c>
      <c r="E122">
        <v>9.450754420231354E-2</v>
      </c>
      <c r="F122">
        <v>100000</v>
      </c>
      <c r="G122">
        <v>3.9303450904458312</v>
      </c>
      <c r="H122">
        <v>0.48565350166309251</v>
      </c>
      <c r="I122">
        <v>800.10358213714278</v>
      </c>
      <c r="J122">
        <v>331.70736230814816</v>
      </c>
      <c r="K122">
        <v>4.9121704371373316E-2</v>
      </c>
      <c r="L122">
        <v>159918.43591897577</v>
      </c>
      <c r="M122">
        <v>0.10503710524679406</v>
      </c>
      <c r="N122">
        <v>0.51913068688334663</v>
      </c>
      <c r="O122">
        <v>228.21739702360929</v>
      </c>
      <c r="P122">
        <v>1459.5661111692773</v>
      </c>
    </row>
    <row r="123" spans="1:16" x14ac:dyDescent="0.25">
      <c r="A123">
        <v>122</v>
      </c>
      <c r="B123">
        <v>1.1855197723245849</v>
      </c>
      <c r="C123">
        <v>290.83257081905748</v>
      </c>
      <c r="D123">
        <v>36.19044714810282</v>
      </c>
      <c r="E123">
        <v>9.4779865284073922E-2</v>
      </c>
      <c r="F123">
        <v>100000</v>
      </c>
      <c r="G123">
        <v>3.7751554258818527</v>
      </c>
      <c r="H123">
        <v>0.4853091640070461</v>
      </c>
      <c r="I123">
        <v>799.62556963272095</v>
      </c>
      <c r="J123">
        <v>323.69243851590284</v>
      </c>
      <c r="K123">
        <v>4.8989829144396653E-2</v>
      </c>
      <c r="L123">
        <v>160008.90620699408</v>
      </c>
      <c r="M123">
        <v>0.1058715204332266</v>
      </c>
      <c r="N123">
        <v>0.51839298032855319</v>
      </c>
      <c r="O123">
        <v>228.05719349621569</v>
      </c>
      <c r="P123">
        <v>1469.341544399869</v>
      </c>
    </row>
    <row r="124" spans="1:16" x14ac:dyDescent="0.25">
      <c r="A124">
        <v>123</v>
      </c>
      <c r="B124">
        <v>1.1851954851847732</v>
      </c>
      <c r="C124">
        <v>291.04515596634627</v>
      </c>
      <c r="D124">
        <v>36.5555365978705</v>
      </c>
      <c r="E124">
        <v>9.4344858608573418E-2</v>
      </c>
      <c r="F124">
        <v>100000</v>
      </c>
      <c r="G124">
        <v>3.7654543036391757</v>
      </c>
      <c r="H124">
        <v>0.48525363921145975</v>
      </c>
      <c r="I124">
        <v>796.36027534818777</v>
      </c>
      <c r="J124">
        <v>330.84405416033854</v>
      </c>
      <c r="K124">
        <v>4.8642804531995543E-2</v>
      </c>
      <c r="L124">
        <v>160949.53766279345</v>
      </c>
      <c r="M124">
        <v>0.10523488701484963</v>
      </c>
      <c r="N124">
        <v>0.51861474117432893</v>
      </c>
      <c r="O124">
        <v>228.08696855024834</v>
      </c>
      <c r="P124">
        <v>1469.1260444287418</v>
      </c>
    </row>
    <row r="125" spans="1:16" x14ac:dyDescent="0.25">
      <c r="A125">
        <v>124</v>
      </c>
      <c r="B125">
        <v>1.1857400411015437</v>
      </c>
      <c r="C125">
        <v>290.70727034594802</v>
      </c>
      <c r="D125">
        <v>36.200944649358192</v>
      </c>
      <c r="E125">
        <v>9.5352867956127269E-2</v>
      </c>
      <c r="F125">
        <v>100000</v>
      </c>
      <c r="G125">
        <v>3.7727490512490642</v>
      </c>
      <c r="H125">
        <v>0.48489533897314541</v>
      </c>
      <c r="I125">
        <v>801.42696824455015</v>
      </c>
      <c r="J125">
        <v>329.38343744135011</v>
      </c>
      <c r="K125">
        <v>4.6868594806323181E-2</v>
      </c>
      <c r="L125">
        <v>159283.31420160539</v>
      </c>
      <c r="M125">
        <v>0.10480211021012395</v>
      </c>
      <c r="N125">
        <v>0.51838693594971275</v>
      </c>
      <c r="O125">
        <v>228.13643484325027</v>
      </c>
      <c r="P125">
        <v>1462.0216110168008</v>
      </c>
    </row>
    <row r="126" spans="1:16" x14ac:dyDescent="0.25">
      <c r="A126">
        <v>125</v>
      </c>
      <c r="B126">
        <v>1.1852633121892369</v>
      </c>
      <c r="C126">
        <v>291.0182681596653</v>
      </c>
      <c r="D126">
        <v>36.626700609393517</v>
      </c>
      <c r="E126">
        <v>9.5492107429794623E-2</v>
      </c>
      <c r="F126">
        <v>100000</v>
      </c>
      <c r="G126">
        <v>3.7115391685033297</v>
      </c>
      <c r="H126">
        <v>0.48432749335631081</v>
      </c>
      <c r="I126">
        <v>801.4724911447596</v>
      </c>
      <c r="J126">
        <v>330.30596663223486</v>
      </c>
      <c r="K126">
        <v>4.7949040774583368E-2</v>
      </c>
      <c r="L126">
        <v>160300.21218953459</v>
      </c>
      <c r="M126">
        <v>0.10573609152227664</v>
      </c>
      <c r="N126">
        <v>0.5183416331779187</v>
      </c>
      <c r="O126">
        <v>227.95257523336542</v>
      </c>
      <c r="P126">
        <v>1461.0929443136065</v>
      </c>
    </row>
    <row r="127" spans="1:16" x14ac:dyDescent="0.25">
      <c r="A127">
        <v>126</v>
      </c>
      <c r="B127">
        <v>1.1851560210651304</v>
      </c>
      <c r="C127">
        <v>290.91480648443616</v>
      </c>
      <c r="D127">
        <v>36.097670537420505</v>
      </c>
      <c r="E127">
        <v>9.519948953435807E-2</v>
      </c>
      <c r="F127">
        <v>100000</v>
      </c>
      <c r="G127">
        <v>3.9443097718112137</v>
      </c>
      <c r="H127">
        <v>0.48501803661479814</v>
      </c>
      <c r="I127">
        <v>798.62329553674772</v>
      </c>
      <c r="J127">
        <v>328.81910594198604</v>
      </c>
      <c r="K127">
        <v>4.6450157106143468E-2</v>
      </c>
      <c r="L127">
        <v>160131.21420944165</v>
      </c>
      <c r="M127">
        <v>0.10497208866063697</v>
      </c>
      <c r="N127">
        <v>0.51865297724801096</v>
      </c>
      <c r="O127">
        <v>227.95747478730448</v>
      </c>
      <c r="P127">
        <v>1457.8860669175187</v>
      </c>
    </row>
    <row r="128" spans="1:16" x14ac:dyDescent="0.25">
      <c r="A128">
        <v>127</v>
      </c>
      <c r="B128">
        <v>1.1851761250997923</v>
      </c>
      <c r="C128">
        <v>291.02087036954026</v>
      </c>
      <c r="D128">
        <v>36.157249465343682</v>
      </c>
      <c r="E128">
        <v>9.5152484932385276E-2</v>
      </c>
      <c r="F128">
        <v>100000</v>
      </c>
      <c r="G128">
        <v>4.0702874752163201</v>
      </c>
      <c r="H128">
        <v>0.4857855483743912</v>
      </c>
      <c r="I128">
        <v>801.50987037318441</v>
      </c>
      <c r="J128">
        <v>329.25009933650239</v>
      </c>
      <c r="K128">
        <v>4.8125144347117677E-2</v>
      </c>
      <c r="L128">
        <v>160737.75001685836</v>
      </c>
      <c r="M128">
        <v>0.10548417312625856</v>
      </c>
      <c r="N128">
        <v>0.51838729930191108</v>
      </c>
      <c r="O128">
        <v>227.81395030689424</v>
      </c>
      <c r="P128">
        <v>1456.1529388703539</v>
      </c>
    </row>
    <row r="129" spans="1:16" x14ac:dyDescent="0.25">
      <c r="A129">
        <v>128</v>
      </c>
      <c r="B129">
        <v>1.1853382960026033</v>
      </c>
      <c r="C129">
        <v>290.92067560882919</v>
      </c>
      <c r="D129">
        <v>36.628143071212698</v>
      </c>
      <c r="E129">
        <v>9.4467065515530024E-2</v>
      </c>
      <c r="F129">
        <v>100000</v>
      </c>
      <c r="G129">
        <v>3.902738082405897</v>
      </c>
      <c r="H129">
        <v>0.48521683152365624</v>
      </c>
      <c r="I129">
        <v>797.05621020953413</v>
      </c>
      <c r="J129">
        <v>324.46384823627363</v>
      </c>
      <c r="K129">
        <v>4.5681007170769297E-2</v>
      </c>
      <c r="L129">
        <v>160521.17145940432</v>
      </c>
      <c r="M129">
        <v>0.10485407831390012</v>
      </c>
      <c r="N129">
        <v>0.51882822130734318</v>
      </c>
      <c r="O129">
        <v>228.04083320869304</v>
      </c>
      <c r="P129">
        <v>1458.0865803043059</v>
      </c>
    </row>
    <row r="130" spans="1:16" x14ac:dyDescent="0.25">
      <c r="A130">
        <v>129</v>
      </c>
      <c r="B130">
        <v>1.1856959832265177</v>
      </c>
      <c r="C130">
        <v>290.78885546810477</v>
      </c>
      <c r="D130">
        <v>36.499318725066146</v>
      </c>
      <c r="E130">
        <v>9.4973669302469546E-2</v>
      </c>
      <c r="F130">
        <v>100000</v>
      </c>
      <c r="G130">
        <v>3.7854017655629755</v>
      </c>
      <c r="H130">
        <v>0.48539851454008037</v>
      </c>
      <c r="I130">
        <v>799.36074974661221</v>
      </c>
      <c r="J130">
        <v>326.69627173583183</v>
      </c>
      <c r="K130">
        <v>4.6826349441206408E-2</v>
      </c>
      <c r="L130">
        <v>159616.72723592762</v>
      </c>
      <c r="M130">
        <v>0.10535797077078742</v>
      </c>
      <c r="N130">
        <v>0.51853668821738597</v>
      </c>
      <c r="O130">
        <v>227.78069408951652</v>
      </c>
      <c r="P130">
        <v>1461.7129304067219</v>
      </c>
    </row>
    <row r="131" spans="1:16" x14ac:dyDescent="0.25">
      <c r="A131">
        <v>130</v>
      </c>
      <c r="B131">
        <v>1.18525856375966</v>
      </c>
      <c r="C131">
        <v>290.98680209040049</v>
      </c>
      <c r="D131">
        <v>36.288346232972458</v>
      </c>
      <c r="E131">
        <v>9.5061646642080097E-2</v>
      </c>
      <c r="F131">
        <v>100000</v>
      </c>
      <c r="G131">
        <v>3.9436950370473189</v>
      </c>
      <c r="H131">
        <v>0.48488497248502749</v>
      </c>
      <c r="I131">
        <v>800.13108069340478</v>
      </c>
      <c r="J131">
        <v>322.55233255154275</v>
      </c>
      <c r="K131">
        <v>4.683185686497511E-2</v>
      </c>
      <c r="L131">
        <v>159545.25479787713</v>
      </c>
      <c r="M131">
        <v>0.10490405328717116</v>
      </c>
      <c r="N131">
        <v>0.51848529535396237</v>
      </c>
      <c r="O131">
        <v>228.00741410095375</v>
      </c>
      <c r="P131">
        <v>1467.4369096414093</v>
      </c>
    </row>
    <row r="132" spans="1:16" x14ac:dyDescent="0.25">
      <c r="A132">
        <v>131</v>
      </c>
      <c r="B132">
        <v>1.1852799590341787</v>
      </c>
      <c r="C132">
        <v>290.72423755618689</v>
      </c>
      <c r="D132">
        <v>36.610870288037489</v>
      </c>
      <c r="E132">
        <v>9.4703906031032917E-2</v>
      </c>
      <c r="F132">
        <v>100000</v>
      </c>
      <c r="G132">
        <v>3.8932073383816608</v>
      </c>
      <c r="H132">
        <v>0.48493268861094696</v>
      </c>
      <c r="I132">
        <v>798.3829996273721</v>
      </c>
      <c r="J132">
        <v>322.5831729083859</v>
      </c>
      <c r="K132">
        <v>4.6069709122255095E-2</v>
      </c>
      <c r="L132">
        <v>160344.40171670858</v>
      </c>
      <c r="M132">
        <v>0.104868745128636</v>
      </c>
      <c r="N132">
        <v>0.51889902996607418</v>
      </c>
      <c r="O132">
        <v>228.01301954368424</v>
      </c>
      <c r="P132">
        <v>1468.6345913489129</v>
      </c>
    </row>
    <row r="133" spans="1:16" x14ac:dyDescent="0.25">
      <c r="A133">
        <v>132</v>
      </c>
      <c r="B133">
        <v>1.1856141493766079</v>
      </c>
      <c r="C133">
        <v>290.78202393822448</v>
      </c>
      <c r="D133">
        <v>36.565809082446975</v>
      </c>
      <c r="E133">
        <v>9.5025836186423684E-2</v>
      </c>
      <c r="F133">
        <v>100000</v>
      </c>
      <c r="G133">
        <v>3.8166347839601849</v>
      </c>
      <c r="H133">
        <v>0.48539885683628992</v>
      </c>
      <c r="I133">
        <v>798.52337270693351</v>
      </c>
      <c r="J133">
        <v>325.42552680397176</v>
      </c>
      <c r="K133">
        <v>4.7202519875606926E-2</v>
      </c>
      <c r="L133">
        <v>159342.332707286</v>
      </c>
      <c r="M133">
        <v>0.10532010732073932</v>
      </c>
      <c r="N133">
        <v>0.51863903935973743</v>
      </c>
      <c r="O133">
        <v>227.89845430686552</v>
      </c>
      <c r="P133">
        <v>1463.4787779529131</v>
      </c>
    </row>
    <row r="134" spans="1:16" x14ac:dyDescent="0.25">
      <c r="A134">
        <v>133</v>
      </c>
      <c r="B134">
        <v>1.1857319868232925</v>
      </c>
      <c r="C134">
        <v>290.90975501790183</v>
      </c>
      <c r="D134">
        <v>36.137607479599538</v>
      </c>
      <c r="E134">
        <v>9.4614734377824333E-2</v>
      </c>
      <c r="F134">
        <v>100000</v>
      </c>
      <c r="G134">
        <v>3.7794500730893694</v>
      </c>
      <c r="H134">
        <v>0.48499891702281517</v>
      </c>
      <c r="I134">
        <v>798.04396426368464</v>
      </c>
      <c r="J134">
        <v>325.30700811216673</v>
      </c>
      <c r="K134">
        <v>4.7833789087243762E-2</v>
      </c>
      <c r="L134">
        <v>160491.62319061809</v>
      </c>
      <c r="M134">
        <v>0.10492217367002118</v>
      </c>
      <c r="N134">
        <v>0.51888291542211473</v>
      </c>
      <c r="O134">
        <v>228.13194001577443</v>
      </c>
      <c r="P134">
        <v>1466.939308398667</v>
      </c>
    </row>
    <row r="135" spans="1:16" x14ac:dyDescent="0.25">
      <c r="A135">
        <v>134</v>
      </c>
      <c r="B135">
        <v>1.185626339569696</v>
      </c>
      <c r="C135">
        <v>290.95761490217478</v>
      </c>
      <c r="D135">
        <v>36.212548784108087</v>
      </c>
      <c r="E135">
        <v>9.4998545347857205E-2</v>
      </c>
      <c r="F135">
        <v>100000</v>
      </c>
      <c r="G135">
        <v>3.8401536121039568</v>
      </c>
      <c r="H135">
        <v>0.48489412057561598</v>
      </c>
      <c r="I135">
        <v>800.93964818438894</v>
      </c>
      <c r="J135">
        <v>327.29806976361323</v>
      </c>
      <c r="K135">
        <v>4.6258671421775047E-2</v>
      </c>
      <c r="L135">
        <v>160014.37264440898</v>
      </c>
      <c r="M135">
        <v>0.10557134980941911</v>
      </c>
      <c r="N135">
        <v>0.51859627482629156</v>
      </c>
      <c r="O135">
        <v>228.02948583674296</v>
      </c>
      <c r="P135">
        <v>1459.1582384259268</v>
      </c>
    </row>
    <row r="136" spans="1:16" x14ac:dyDescent="0.25">
      <c r="A136">
        <v>135</v>
      </c>
      <c r="B136">
        <v>1.1854151689968901</v>
      </c>
      <c r="C136">
        <v>290.88993107979394</v>
      </c>
      <c r="D136">
        <v>36.329490202788584</v>
      </c>
      <c r="E136">
        <v>9.54827767147646E-2</v>
      </c>
      <c r="F136">
        <v>100000</v>
      </c>
      <c r="G136">
        <v>3.8655850748299772</v>
      </c>
      <c r="H136">
        <v>0.48564158220307579</v>
      </c>
      <c r="I136">
        <v>797.32653392934992</v>
      </c>
      <c r="J136">
        <v>329.3199740558556</v>
      </c>
      <c r="K136">
        <v>4.7560400967755684E-2</v>
      </c>
      <c r="L136">
        <v>159388.79091258618</v>
      </c>
      <c r="M136">
        <v>0.10562314557057265</v>
      </c>
      <c r="N136">
        <v>0.51867461079961941</v>
      </c>
      <c r="O136">
        <v>227.9663564493186</v>
      </c>
      <c r="P136">
        <v>1460.832127523754</v>
      </c>
    </row>
    <row r="137" spans="1:16" x14ac:dyDescent="0.25">
      <c r="A137">
        <v>136</v>
      </c>
      <c r="B137">
        <v>1.1855222664955791</v>
      </c>
      <c r="C137">
        <v>290.77590220739904</v>
      </c>
      <c r="D137">
        <v>36.59080634999868</v>
      </c>
      <c r="E137">
        <v>9.5284655848783623E-2</v>
      </c>
      <c r="F137">
        <v>100000</v>
      </c>
      <c r="G137">
        <v>3.8596556710848389</v>
      </c>
      <c r="H137">
        <v>0.4856814545808813</v>
      </c>
      <c r="I137">
        <v>799.2043841516014</v>
      </c>
      <c r="J137">
        <v>327.71161376979654</v>
      </c>
      <c r="K137">
        <v>4.6400408073514567E-2</v>
      </c>
      <c r="L137">
        <v>160178.68138624507</v>
      </c>
      <c r="M137">
        <v>0.10488264263380719</v>
      </c>
      <c r="N137">
        <v>0.51854842612635277</v>
      </c>
      <c r="O137">
        <v>228.08775192898489</v>
      </c>
      <c r="P137">
        <v>1466.3190475776539</v>
      </c>
    </row>
    <row r="138" spans="1:16" x14ac:dyDescent="0.25">
      <c r="A138">
        <v>137</v>
      </c>
      <c r="B138">
        <v>1.1854062905566081</v>
      </c>
      <c r="C138">
        <v>290.83023563293824</v>
      </c>
      <c r="D138">
        <v>36.568942139150529</v>
      </c>
      <c r="E138">
        <v>9.4601829882322838E-2</v>
      </c>
      <c r="F138">
        <v>100000</v>
      </c>
      <c r="G138">
        <v>3.7848974523268355</v>
      </c>
      <c r="H138">
        <v>0.48552156745431568</v>
      </c>
      <c r="I138">
        <v>799.04428346663462</v>
      </c>
      <c r="J138">
        <v>324.03289950313194</v>
      </c>
      <c r="K138">
        <v>4.6770197883820822E-2</v>
      </c>
      <c r="L138">
        <v>160731.40963073517</v>
      </c>
      <c r="M138">
        <v>0.10524502951486668</v>
      </c>
      <c r="N138">
        <v>0.51851376442367603</v>
      </c>
      <c r="O138">
        <v>227.95217037302822</v>
      </c>
      <c r="P138">
        <v>1463.634216918482</v>
      </c>
    </row>
    <row r="139" spans="1:16" x14ac:dyDescent="0.25">
      <c r="A139">
        <v>138</v>
      </c>
      <c r="B139">
        <v>1.185444097324758</v>
      </c>
      <c r="C139">
        <v>290.97492454290364</v>
      </c>
      <c r="D139">
        <v>36.243157988660919</v>
      </c>
      <c r="E139">
        <v>9.5326091572553784E-2</v>
      </c>
      <c r="F139">
        <v>100000</v>
      </c>
      <c r="G139">
        <v>3.9315695790235625</v>
      </c>
      <c r="H139">
        <v>0.48528969942915873</v>
      </c>
      <c r="I139">
        <v>797.42204869758848</v>
      </c>
      <c r="J139">
        <v>327.80582542901311</v>
      </c>
      <c r="K139">
        <v>4.6241624905716323E-2</v>
      </c>
      <c r="L139">
        <v>160432.9471568173</v>
      </c>
      <c r="M139">
        <v>0.10538756257946338</v>
      </c>
      <c r="N139">
        <v>0.51878102462350328</v>
      </c>
      <c r="O139">
        <v>228.07155517736652</v>
      </c>
      <c r="P139">
        <v>1468.3261426361439</v>
      </c>
    </row>
    <row r="140" spans="1:16" x14ac:dyDescent="0.25">
      <c r="A140">
        <v>139</v>
      </c>
      <c r="B140">
        <v>1.1855285057328888</v>
      </c>
      <c r="C140">
        <v>290.89693827370712</v>
      </c>
      <c r="D140">
        <v>36.449961242549755</v>
      </c>
      <c r="E140">
        <v>9.5386093496849692E-2</v>
      </c>
      <c r="F140">
        <v>100000</v>
      </c>
      <c r="G140">
        <v>3.8575295256164108</v>
      </c>
      <c r="H140">
        <v>0.4855077929851524</v>
      </c>
      <c r="I140">
        <v>799.2456519697364</v>
      </c>
      <c r="J140">
        <v>328.74268205818356</v>
      </c>
      <c r="K140">
        <v>4.7311000670276986E-2</v>
      </c>
      <c r="L140">
        <v>160555.77315306079</v>
      </c>
      <c r="M140">
        <v>0.10496627240539405</v>
      </c>
      <c r="N140">
        <v>0.51858299002620556</v>
      </c>
      <c r="O140">
        <v>227.95205956131548</v>
      </c>
      <c r="P140">
        <v>1464.9257255127286</v>
      </c>
    </row>
    <row r="141" spans="1:16" x14ac:dyDescent="0.25">
      <c r="A141">
        <v>140</v>
      </c>
      <c r="B141">
        <v>1.1855719335713921</v>
      </c>
      <c r="C141">
        <v>290.75396144212647</v>
      </c>
      <c r="D141">
        <v>36.321463968810654</v>
      </c>
      <c r="E141">
        <v>9.5438544145614396E-2</v>
      </c>
      <c r="F141">
        <v>100000</v>
      </c>
      <c r="G141">
        <v>3.8063154458116415</v>
      </c>
      <c r="H141">
        <v>0.48505266838679995</v>
      </c>
      <c r="I141">
        <v>799.95699161810285</v>
      </c>
      <c r="J141">
        <v>326.75845944435991</v>
      </c>
      <c r="K141">
        <v>4.6316222871899342E-2</v>
      </c>
      <c r="L141">
        <v>159584.21536561308</v>
      </c>
      <c r="M141">
        <v>0.10540990426215952</v>
      </c>
      <c r="N141">
        <v>0.51879459992342036</v>
      </c>
      <c r="O141">
        <v>228.09571335953254</v>
      </c>
      <c r="P141">
        <v>1461.8615881535745</v>
      </c>
    </row>
    <row r="142" spans="1:16" x14ac:dyDescent="0.25">
      <c r="A142">
        <v>141</v>
      </c>
      <c r="B142">
        <v>1.1853826509489855</v>
      </c>
      <c r="C142">
        <v>290.77599661514643</v>
      </c>
      <c r="D142">
        <v>36.354235826862045</v>
      </c>
      <c r="E142">
        <v>9.4777667442690089E-2</v>
      </c>
      <c r="F142">
        <v>100000</v>
      </c>
      <c r="G142">
        <v>3.9202247208416439</v>
      </c>
      <c r="H142">
        <v>0.48518252235838832</v>
      </c>
      <c r="I142">
        <v>800.65098268411521</v>
      </c>
      <c r="J142">
        <v>325.39049195048585</v>
      </c>
      <c r="K142">
        <v>4.6705895600217789E-2</v>
      </c>
      <c r="L142">
        <v>159812.83183104458</v>
      </c>
      <c r="M142">
        <v>0.10541760971412462</v>
      </c>
      <c r="N142">
        <v>0.5187756511693461</v>
      </c>
      <c r="O142">
        <v>228.099040715287</v>
      </c>
      <c r="P142">
        <v>1459.8936351496575</v>
      </c>
    </row>
    <row r="143" spans="1:16" x14ac:dyDescent="0.25">
      <c r="A143">
        <v>142</v>
      </c>
      <c r="B143">
        <v>1.1856261460291531</v>
      </c>
      <c r="C143">
        <v>290.91620914076003</v>
      </c>
      <c r="D143">
        <v>36.341543545555588</v>
      </c>
      <c r="E143">
        <v>9.5474500671764273E-2</v>
      </c>
      <c r="F143">
        <v>100000</v>
      </c>
      <c r="G143">
        <v>3.8487852542442096</v>
      </c>
      <c r="H143">
        <v>0.48561592221742417</v>
      </c>
      <c r="I143">
        <v>798.14865135061905</v>
      </c>
      <c r="J143">
        <v>325.81875579174829</v>
      </c>
      <c r="K143">
        <v>4.7072241205961603E-2</v>
      </c>
      <c r="L143">
        <v>160048.24344656049</v>
      </c>
      <c r="M143">
        <v>0.10504929735157666</v>
      </c>
      <c r="N143">
        <v>0.51877231380120881</v>
      </c>
      <c r="O143">
        <v>228.03990215327755</v>
      </c>
      <c r="P143">
        <v>1462.5216769103904</v>
      </c>
    </row>
    <row r="144" spans="1:16" x14ac:dyDescent="0.25">
      <c r="A144">
        <v>143</v>
      </c>
      <c r="B144">
        <v>1.1855754122560536</v>
      </c>
      <c r="C144">
        <v>290.90975582651237</v>
      </c>
      <c r="D144">
        <v>36.145149870602701</v>
      </c>
      <c r="E144">
        <v>9.5468042899526331E-2</v>
      </c>
      <c r="F144">
        <v>100000</v>
      </c>
      <c r="G144">
        <v>3.801774374809606</v>
      </c>
      <c r="H144">
        <v>0.48567116955761308</v>
      </c>
      <c r="I144">
        <v>798.50116378777227</v>
      </c>
      <c r="J144">
        <v>324.73400732971163</v>
      </c>
      <c r="K144">
        <v>4.7591745715708032E-2</v>
      </c>
      <c r="L144">
        <v>159629.23627624908</v>
      </c>
      <c r="M144">
        <v>0.10503198656185357</v>
      </c>
      <c r="N144">
        <v>0.51853739443979974</v>
      </c>
      <c r="O144">
        <v>228.07965319649981</v>
      </c>
      <c r="P144">
        <v>1463.4063441576868</v>
      </c>
    </row>
    <row r="145" spans="1:16" x14ac:dyDescent="0.25">
      <c r="A145">
        <v>144</v>
      </c>
      <c r="B145">
        <v>1.1856090318087609</v>
      </c>
      <c r="C145">
        <v>290.79791708909499</v>
      </c>
      <c r="D145">
        <v>36.548778553059691</v>
      </c>
      <c r="E145">
        <v>9.4928060607234785E-2</v>
      </c>
      <c r="F145">
        <v>100000</v>
      </c>
      <c r="G145">
        <v>3.8415297374709181</v>
      </c>
      <c r="H145">
        <v>0.48552643206434098</v>
      </c>
      <c r="I145">
        <v>798.792696173737</v>
      </c>
      <c r="J145">
        <v>325.08359325532376</v>
      </c>
      <c r="K145">
        <v>4.6713563817659495E-2</v>
      </c>
      <c r="L145">
        <v>159978.87070989652</v>
      </c>
      <c r="M145">
        <v>0.10552445504701222</v>
      </c>
      <c r="N145">
        <v>0.51860757458143814</v>
      </c>
      <c r="O145">
        <v>228.05087444658352</v>
      </c>
      <c r="P145">
        <v>1467.038359351576</v>
      </c>
    </row>
    <row r="146" spans="1:16" x14ac:dyDescent="0.25">
      <c r="A146">
        <v>145</v>
      </c>
      <c r="B146">
        <v>1.1854533270012069</v>
      </c>
      <c r="C146">
        <v>290.84532474555812</v>
      </c>
      <c r="D146">
        <v>36.428698844798284</v>
      </c>
      <c r="E146">
        <v>9.5313681000684769E-2</v>
      </c>
      <c r="F146">
        <v>100000</v>
      </c>
      <c r="G146">
        <v>3.8622520979745585</v>
      </c>
      <c r="H146">
        <v>0.4852751883645719</v>
      </c>
      <c r="I146">
        <v>797.86428467452083</v>
      </c>
      <c r="J146">
        <v>324.12210000655961</v>
      </c>
      <c r="K146">
        <v>4.6248387966452545E-2</v>
      </c>
      <c r="L146">
        <v>159450.52387167944</v>
      </c>
      <c r="M146">
        <v>0.10512713271011034</v>
      </c>
      <c r="N146">
        <v>0.51861809950799953</v>
      </c>
      <c r="O146">
        <v>228.04652479347399</v>
      </c>
      <c r="P146">
        <v>1464.717009761235</v>
      </c>
    </row>
    <row r="147" spans="1:16" x14ac:dyDescent="0.25">
      <c r="A147">
        <v>146</v>
      </c>
      <c r="B147">
        <v>1.1854963330913411</v>
      </c>
      <c r="C147">
        <v>290.90508914957155</v>
      </c>
      <c r="D147">
        <v>36.184029926058379</v>
      </c>
      <c r="E147">
        <v>9.5104631324375105E-2</v>
      </c>
      <c r="F147">
        <v>100000</v>
      </c>
      <c r="G147">
        <v>3.8848717971865216</v>
      </c>
      <c r="H147">
        <v>0.48548285628963633</v>
      </c>
      <c r="I147">
        <v>797.63502489845769</v>
      </c>
      <c r="J147">
        <v>324.10662059789286</v>
      </c>
      <c r="K147">
        <v>4.6963435268912258E-2</v>
      </c>
      <c r="L147">
        <v>159878.32057443782</v>
      </c>
      <c r="M147">
        <v>0.10499141940151605</v>
      </c>
      <c r="N147">
        <v>0.51860198135101165</v>
      </c>
      <c r="O147">
        <v>227.96737148520032</v>
      </c>
      <c r="P147">
        <v>1464.2688166560906</v>
      </c>
    </row>
    <row r="148" spans="1:16" x14ac:dyDescent="0.25">
      <c r="A148">
        <v>147</v>
      </c>
      <c r="B148">
        <v>1.1856070499860287</v>
      </c>
      <c r="C148">
        <v>290.94757848424331</v>
      </c>
      <c r="D148">
        <v>36.418664270373014</v>
      </c>
      <c r="E148">
        <v>9.4702307302388877E-2</v>
      </c>
      <c r="F148">
        <v>100000</v>
      </c>
      <c r="G148">
        <v>3.8031917313178809</v>
      </c>
      <c r="H148">
        <v>0.48517623715746544</v>
      </c>
      <c r="I148">
        <v>799.45356490751567</v>
      </c>
      <c r="J148">
        <v>326.27542943643061</v>
      </c>
      <c r="K148">
        <v>4.7499214477010387E-2</v>
      </c>
      <c r="L148">
        <v>160205.0815782196</v>
      </c>
      <c r="M148">
        <v>0.10543734065058881</v>
      </c>
      <c r="N148">
        <v>0.51865841567965465</v>
      </c>
      <c r="O148">
        <v>228.05280395347236</v>
      </c>
      <c r="P148">
        <v>1465.401391262578</v>
      </c>
    </row>
    <row r="149" spans="1:16" x14ac:dyDescent="0.25">
      <c r="A149">
        <v>148</v>
      </c>
      <c r="B149">
        <v>1.1855761904542672</v>
      </c>
      <c r="C149">
        <v>290.76166044475929</v>
      </c>
      <c r="D149">
        <v>36.545774937745506</v>
      </c>
      <c r="E149">
        <v>9.5415046609081108E-2</v>
      </c>
      <c r="F149">
        <v>100000</v>
      </c>
      <c r="G149">
        <v>3.9157945359269188</v>
      </c>
      <c r="H149">
        <v>0.48516260940916323</v>
      </c>
      <c r="I149">
        <v>799.9107155878005</v>
      </c>
      <c r="J149">
        <v>327.99224988708045</v>
      </c>
      <c r="K149">
        <v>4.70512265775292E-2</v>
      </c>
      <c r="L149">
        <v>159818.53767603886</v>
      </c>
      <c r="M149">
        <v>0.10545780316083447</v>
      </c>
      <c r="N149">
        <v>0.51864265676015842</v>
      </c>
      <c r="O149">
        <v>228.09143450264011</v>
      </c>
      <c r="P149">
        <v>1461.179667877828</v>
      </c>
    </row>
    <row r="150" spans="1:16" x14ac:dyDescent="0.25">
      <c r="A150">
        <v>149</v>
      </c>
      <c r="B150">
        <v>1.1854314850739269</v>
      </c>
      <c r="C150">
        <v>290.89014417312927</v>
      </c>
      <c r="D150">
        <v>36.548059852824963</v>
      </c>
      <c r="E150">
        <v>9.5308257662151286E-2</v>
      </c>
      <c r="F150">
        <v>100000</v>
      </c>
      <c r="G150">
        <v>3.8189293878626369</v>
      </c>
      <c r="H150">
        <v>0.48528720695682248</v>
      </c>
      <c r="I150">
        <v>798.00627489277633</v>
      </c>
      <c r="J150">
        <v>328.67261822376742</v>
      </c>
      <c r="K150">
        <v>4.7536424527997077E-2</v>
      </c>
      <c r="L150">
        <v>160216.95401733922</v>
      </c>
      <c r="M150">
        <v>0.10503851333904586</v>
      </c>
      <c r="N150">
        <v>0.51874993790156043</v>
      </c>
      <c r="O150">
        <v>228.06347431999856</v>
      </c>
      <c r="P150">
        <v>1460.7197941187612</v>
      </c>
    </row>
    <row r="151" spans="1:16" x14ac:dyDescent="0.25">
      <c r="A151">
        <v>150</v>
      </c>
      <c r="B151">
        <v>1.1854822700855621</v>
      </c>
      <c r="C151">
        <v>290.78786489333032</v>
      </c>
      <c r="D151">
        <v>36.152599952844376</v>
      </c>
      <c r="E151">
        <v>9.5222385217486855E-2</v>
      </c>
      <c r="F151">
        <v>100000</v>
      </c>
      <c r="G151">
        <v>3.8657168149096366</v>
      </c>
      <c r="H151">
        <v>0.485365113777809</v>
      </c>
      <c r="I151">
        <v>798.88415684781421</v>
      </c>
      <c r="J151">
        <v>324.13415271057772</v>
      </c>
      <c r="K151">
        <v>4.7402892347673378E-2</v>
      </c>
      <c r="L151">
        <v>159542.51216095692</v>
      </c>
      <c r="M151">
        <v>0.10499498899731519</v>
      </c>
      <c r="N151">
        <v>0.51856933914298453</v>
      </c>
      <c r="O151">
        <v>228.03140890358236</v>
      </c>
      <c r="P151">
        <v>1462.2987070667441</v>
      </c>
    </row>
    <row r="152" spans="1:16" x14ac:dyDescent="0.25">
      <c r="A152">
        <v>151</v>
      </c>
      <c r="B152">
        <v>1.1854914122271589</v>
      </c>
      <c r="C152">
        <v>290.84741963068421</v>
      </c>
      <c r="D152">
        <v>36.23953751249806</v>
      </c>
      <c r="E152">
        <v>9.5220396889995826E-2</v>
      </c>
      <c r="F152">
        <v>100000</v>
      </c>
      <c r="G152">
        <v>3.8986379036459708</v>
      </c>
      <c r="H152">
        <v>0.48566504958754619</v>
      </c>
      <c r="I152">
        <v>799.31178153206076</v>
      </c>
      <c r="J152">
        <v>326.16980255777088</v>
      </c>
      <c r="K152">
        <v>4.6636054019058168E-2</v>
      </c>
      <c r="L152">
        <v>159894.4532343719</v>
      </c>
      <c r="M152">
        <v>0.10513709287625203</v>
      </c>
      <c r="N152">
        <v>0.51873617090894453</v>
      </c>
      <c r="O152">
        <v>228.0714279136337</v>
      </c>
      <c r="P152">
        <v>1463.5497060708699</v>
      </c>
    </row>
    <row r="153" spans="1:16" x14ac:dyDescent="0.25">
      <c r="A153">
        <v>152</v>
      </c>
      <c r="B153">
        <v>1.1854482168902125</v>
      </c>
      <c r="C153">
        <v>290.83352564129143</v>
      </c>
      <c r="D153">
        <v>36.356140550006671</v>
      </c>
      <c r="E153">
        <v>9.5301584103894235E-2</v>
      </c>
      <c r="F153">
        <v>100000</v>
      </c>
      <c r="G153">
        <v>3.8785137013809488</v>
      </c>
      <c r="H153">
        <v>0.48537098079500546</v>
      </c>
      <c r="I153">
        <v>799.1606755822927</v>
      </c>
      <c r="J153">
        <v>327.39697772810132</v>
      </c>
      <c r="K153">
        <v>4.7520144122601041E-2</v>
      </c>
      <c r="L153">
        <v>159578.71373578921</v>
      </c>
      <c r="M153">
        <v>0.10545026164502092</v>
      </c>
      <c r="N153">
        <v>0.51872533717270097</v>
      </c>
      <c r="O153">
        <v>228.03811826538967</v>
      </c>
      <c r="P153">
        <v>1465.9907601824439</v>
      </c>
    </row>
    <row r="154" spans="1:16" x14ac:dyDescent="0.25">
      <c r="A154">
        <v>153</v>
      </c>
      <c r="B154">
        <v>1.1856035711458119</v>
      </c>
      <c r="C154">
        <v>290.93170221808919</v>
      </c>
      <c r="D154">
        <v>36.258221151472064</v>
      </c>
      <c r="E154">
        <v>9.4736819283808477E-2</v>
      </c>
      <c r="F154">
        <v>100000</v>
      </c>
      <c r="G154">
        <v>3.896210377353488</v>
      </c>
      <c r="H154">
        <v>0.48534099246050799</v>
      </c>
      <c r="I154">
        <v>797.97811650955975</v>
      </c>
      <c r="J154">
        <v>325.20721992492645</v>
      </c>
      <c r="K154">
        <v>4.6661959677425265E-2</v>
      </c>
      <c r="L154">
        <v>159515.62127833717</v>
      </c>
      <c r="M154">
        <v>0.10547641654480573</v>
      </c>
      <c r="N154">
        <v>0.51860389642263638</v>
      </c>
      <c r="O154">
        <v>228.05569616650334</v>
      </c>
      <c r="P154">
        <v>1461.4333635964251</v>
      </c>
    </row>
    <row r="155" spans="1:16" x14ac:dyDescent="0.25">
      <c r="A155">
        <v>154</v>
      </c>
      <c r="B155">
        <v>1.1854990352072166</v>
      </c>
      <c r="C155">
        <v>290.76558157553853</v>
      </c>
      <c r="D155">
        <v>36.165053659493381</v>
      </c>
      <c r="E155">
        <v>9.5142353830287893E-2</v>
      </c>
      <c r="F155">
        <v>100000</v>
      </c>
      <c r="G155">
        <v>3.838112015296562</v>
      </c>
      <c r="H155">
        <v>0.48562591267835314</v>
      </c>
      <c r="I155">
        <v>798.38217418830288</v>
      </c>
      <c r="J155">
        <v>327.29468994206843</v>
      </c>
      <c r="K155">
        <v>4.7176278863301176E-2</v>
      </c>
      <c r="L155">
        <v>160040.19989279981</v>
      </c>
      <c r="M155">
        <v>0.1051579750381415</v>
      </c>
      <c r="N155">
        <v>0.51874928603862147</v>
      </c>
      <c r="O155">
        <v>228.08503056936746</v>
      </c>
      <c r="P155">
        <v>1464.9430366043221</v>
      </c>
    </row>
    <row r="156" spans="1:16" x14ac:dyDescent="0.25">
      <c r="A156">
        <v>155</v>
      </c>
      <c r="B156">
        <v>1.1855536024971818</v>
      </c>
      <c r="C156">
        <v>290.86251267688397</v>
      </c>
      <c r="D156">
        <v>36.157964106157337</v>
      </c>
      <c r="E156">
        <v>9.5076956378051483E-2</v>
      </c>
      <c r="F156">
        <v>100000</v>
      </c>
      <c r="G156">
        <v>3.8267740589682262</v>
      </c>
      <c r="H156">
        <v>0.48522926502017039</v>
      </c>
      <c r="I156">
        <v>799.04526311616007</v>
      </c>
      <c r="J156">
        <v>325.90915567151688</v>
      </c>
      <c r="K156">
        <v>4.6477038100140991E-2</v>
      </c>
      <c r="L156">
        <v>159622.35228058681</v>
      </c>
      <c r="M156">
        <v>0.10535738268409478</v>
      </c>
      <c r="N156">
        <v>0.51861183055291771</v>
      </c>
      <c r="O156">
        <v>227.9892176927184</v>
      </c>
      <c r="P156">
        <v>1464.1196738494118</v>
      </c>
    </row>
    <row r="157" spans="1:16" x14ac:dyDescent="0.25">
      <c r="A157">
        <v>156</v>
      </c>
      <c r="B157">
        <v>1.1854521428721563</v>
      </c>
      <c r="C157">
        <v>290.8236859762701</v>
      </c>
      <c r="D157">
        <v>36.256726769803407</v>
      </c>
      <c r="E157">
        <v>9.526291049844586E-2</v>
      </c>
      <c r="F157">
        <v>100000</v>
      </c>
      <c r="G157">
        <v>3.8112364488577448</v>
      </c>
      <c r="H157">
        <v>0.48551812933188548</v>
      </c>
      <c r="I157">
        <v>798.55411949690824</v>
      </c>
      <c r="J157">
        <v>326.56533095516676</v>
      </c>
      <c r="K157">
        <v>4.6960274570308998E-2</v>
      </c>
      <c r="L157">
        <v>159776.27235040118</v>
      </c>
      <c r="M157">
        <v>0.10527556033794198</v>
      </c>
      <c r="N157">
        <v>0.51858767695305552</v>
      </c>
      <c r="O157">
        <v>228.03940228003452</v>
      </c>
      <c r="P157">
        <v>1463.1789412480473</v>
      </c>
    </row>
    <row r="158" spans="1:16" x14ac:dyDescent="0.25">
      <c r="A158">
        <v>157</v>
      </c>
      <c r="B158">
        <v>1.185522565926256</v>
      </c>
      <c r="C158">
        <v>290.83115727946119</v>
      </c>
      <c r="D158">
        <v>36.24206087256907</v>
      </c>
      <c r="E158">
        <v>9.4770030341833331E-2</v>
      </c>
      <c r="F158">
        <v>100000</v>
      </c>
      <c r="G158">
        <v>3.8046941421336697</v>
      </c>
      <c r="H158">
        <v>0.48563535042784561</v>
      </c>
      <c r="I158">
        <v>799.26590439069435</v>
      </c>
      <c r="J158">
        <v>326.49012235831731</v>
      </c>
      <c r="K158">
        <v>4.6571712345739633E-2</v>
      </c>
      <c r="L158">
        <v>160205.43858464996</v>
      </c>
      <c r="M158">
        <v>0.10500095576171417</v>
      </c>
      <c r="N158">
        <v>0.51861987435098955</v>
      </c>
      <c r="O158">
        <v>228.09119226002835</v>
      </c>
      <c r="P158">
        <v>1465.3755682898795</v>
      </c>
    </row>
    <row r="159" spans="1:16" x14ac:dyDescent="0.25">
      <c r="A159">
        <v>158</v>
      </c>
      <c r="B159">
        <v>1.1855177134345782</v>
      </c>
      <c r="C159">
        <v>290.83429952943538</v>
      </c>
      <c r="D159">
        <v>36.509770992631182</v>
      </c>
      <c r="E159">
        <v>9.4966204736624316E-2</v>
      </c>
      <c r="F159">
        <v>100000</v>
      </c>
      <c r="G159">
        <v>3.8365595191584867</v>
      </c>
      <c r="H159">
        <v>0.48543775438611814</v>
      </c>
      <c r="I159">
        <v>798.54357061674659</v>
      </c>
      <c r="J159">
        <v>324.52828815656301</v>
      </c>
      <c r="K159">
        <v>4.6753687115279739E-2</v>
      </c>
      <c r="L159">
        <v>160003.52536300253</v>
      </c>
      <c r="M159">
        <v>0.10515502119273923</v>
      </c>
      <c r="N159">
        <v>0.51873234180311789</v>
      </c>
      <c r="O159">
        <v>228.00400515564559</v>
      </c>
      <c r="P159">
        <v>1462.1729252508983</v>
      </c>
    </row>
    <row r="160" spans="1:16" x14ac:dyDescent="0.25">
      <c r="A160">
        <v>159</v>
      </c>
      <c r="B160">
        <v>1.1854470528784926</v>
      </c>
      <c r="C160">
        <v>290.81527939930493</v>
      </c>
      <c r="D160">
        <v>36.197900105888046</v>
      </c>
      <c r="E160">
        <v>9.4970535434090411E-2</v>
      </c>
      <c r="F160">
        <v>100000</v>
      </c>
      <c r="G160">
        <v>3.8851606872799622</v>
      </c>
      <c r="H160">
        <v>0.48562042872248706</v>
      </c>
      <c r="I160">
        <v>798.62671194658799</v>
      </c>
      <c r="J160">
        <v>327.96737821877792</v>
      </c>
      <c r="K160">
        <v>4.7405425289063823E-2</v>
      </c>
      <c r="L160">
        <v>159715.90051801759</v>
      </c>
      <c r="M160">
        <v>0.10509595277224512</v>
      </c>
      <c r="N160">
        <v>0.51868878339007674</v>
      </c>
      <c r="O160">
        <v>228.08776988078492</v>
      </c>
      <c r="P160">
        <v>1460.7631314199568</v>
      </c>
    </row>
    <row r="161" spans="1:16" x14ac:dyDescent="0.25">
      <c r="A161">
        <v>160</v>
      </c>
      <c r="B161">
        <v>1.1854953181649059</v>
      </c>
      <c r="C161">
        <v>290.84608878030554</v>
      </c>
      <c r="D161">
        <v>36.346156646610339</v>
      </c>
      <c r="E161">
        <v>9.4752854968323363E-2</v>
      </c>
      <c r="F161">
        <v>100000</v>
      </c>
      <c r="G161">
        <v>3.8138433489463837</v>
      </c>
      <c r="H161">
        <v>0.48527610497519019</v>
      </c>
      <c r="I161">
        <v>798.32793384083516</v>
      </c>
      <c r="J161">
        <v>326.28105319864869</v>
      </c>
      <c r="K161">
        <v>4.6479525409890803E-2</v>
      </c>
      <c r="L161">
        <v>159958.79429443192</v>
      </c>
      <c r="M161">
        <v>0.10530225006758492</v>
      </c>
      <c r="N161">
        <v>0.51866207068918624</v>
      </c>
      <c r="O161">
        <v>228.0559835602061</v>
      </c>
      <c r="P161">
        <v>1463.6448772341171</v>
      </c>
    </row>
    <row r="162" spans="1:16" x14ac:dyDescent="0.25">
      <c r="A162">
        <v>161</v>
      </c>
      <c r="B162">
        <v>1.1855528540432965</v>
      </c>
      <c r="C162">
        <v>290.82046238001641</v>
      </c>
      <c r="D162">
        <v>36.277860298598</v>
      </c>
      <c r="E162">
        <v>9.5185523932791713E-2</v>
      </c>
      <c r="F162">
        <v>100000</v>
      </c>
      <c r="G162">
        <v>3.8370159321018713</v>
      </c>
      <c r="H162">
        <v>0.48550491528695766</v>
      </c>
      <c r="I162">
        <v>798.8134544262291</v>
      </c>
      <c r="J162">
        <v>327.71601660839957</v>
      </c>
      <c r="K162">
        <v>4.707538222393743E-2</v>
      </c>
      <c r="L162">
        <v>159652.91344513994</v>
      </c>
      <c r="M162">
        <v>0.10528803454911556</v>
      </c>
      <c r="N162">
        <v>0.51870882092947657</v>
      </c>
      <c r="O162">
        <v>227.99511827012748</v>
      </c>
      <c r="P162">
        <v>1462.9544692550667</v>
      </c>
    </row>
    <row r="163" spans="1:16" x14ac:dyDescent="0.25">
      <c r="A163">
        <v>162</v>
      </c>
      <c r="B163">
        <v>1.1855324390431996</v>
      </c>
      <c r="C163">
        <v>290.86816360341402</v>
      </c>
      <c r="D163">
        <v>36.475776184495842</v>
      </c>
      <c r="E163">
        <v>9.5105116014589444E-2</v>
      </c>
      <c r="F163">
        <v>100000</v>
      </c>
      <c r="G163">
        <v>3.8561210199972034</v>
      </c>
      <c r="H163">
        <v>0.48551841086224645</v>
      </c>
      <c r="I163">
        <v>798.98061857621724</v>
      </c>
      <c r="J163">
        <v>324.55025362218936</v>
      </c>
      <c r="K163">
        <v>4.6576065805872972E-2</v>
      </c>
      <c r="L163">
        <v>159872.1083740617</v>
      </c>
      <c r="M163">
        <v>0.10538577539536396</v>
      </c>
      <c r="N163">
        <v>0.51869416060351514</v>
      </c>
      <c r="O163">
        <v>228.06265274037386</v>
      </c>
      <c r="P163">
        <v>1463.3271414225158</v>
      </c>
    </row>
    <row r="164" spans="1:16" x14ac:dyDescent="0.25">
      <c r="A164">
        <v>163</v>
      </c>
      <c r="B164">
        <v>1.1855382037143358</v>
      </c>
      <c r="C164">
        <v>290.87445665203853</v>
      </c>
      <c r="D164">
        <v>36.372599064800681</v>
      </c>
      <c r="E164">
        <v>9.5092431125261279E-2</v>
      </c>
      <c r="F164">
        <v>100000</v>
      </c>
      <c r="G164">
        <v>3.8235137807542841</v>
      </c>
      <c r="H164">
        <v>0.48526468518798854</v>
      </c>
      <c r="I164">
        <v>798.28794883584317</v>
      </c>
      <c r="J164">
        <v>326.70275059042177</v>
      </c>
      <c r="K164">
        <v>4.7310033952203914E-2</v>
      </c>
      <c r="L164">
        <v>160169.27516147625</v>
      </c>
      <c r="M164">
        <v>0.10545827226202435</v>
      </c>
      <c r="N164">
        <v>0.51862647829413333</v>
      </c>
      <c r="O164">
        <v>228.07811922717744</v>
      </c>
      <c r="P164">
        <v>1461.6223274586507</v>
      </c>
    </row>
    <row r="165" spans="1:16" x14ac:dyDescent="0.25">
      <c r="A165">
        <v>164</v>
      </c>
      <c r="B165">
        <v>1.185537676897402</v>
      </c>
      <c r="C165">
        <v>290.85817882739298</v>
      </c>
      <c r="D165">
        <v>36.379385971648546</v>
      </c>
      <c r="E165">
        <v>9.5120373777051639E-2</v>
      </c>
      <c r="F165">
        <v>100000</v>
      </c>
      <c r="G165">
        <v>3.8444768180230016</v>
      </c>
      <c r="H165">
        <v>0.48543109341668261</v>
      </c>
      <c r="I165">
        <v>798.36126249783399</v>
      </c>
      <c r="J165">
        <v>326.69646745747707</v>
      </c>
      <c r="K165">
        <v>4.7299414917609597E-2</v>
      </c>
      <c r="L165">
        <v>159817.6339569421</v>
      </c>
      <c r="M165">
        <v>0.10534211415203466</v>
      </c>
      <c r="N165">
        <v>0.51865709714201835</v>
      </c>
      <c r="O165">
        <v>228.07514064438328</v>
      </c>
      <c r="P165">
        <v>1462.1801319094889</v>
      </c>
    </row>
    <row r="166" spans="1:16" x14ac:dyDescent="0.25">
      <c r="A166">
        <v>165</v>
      </c>
      <c r="B166">
        <v>1.1854959131792595</v>
      </c>
      <c r="C166">
        <v>290.85126323557012</v>
      </c>
      <c r="D166">
        <v>36.496124714486221</v>
      </c>
      <c r="E166">
        <v>9.5007306603241304E-2</v>
      </c>
      <c r="F166">
        <v>100000</v>
      </c>
      <c r="G166">
        <v>3.8282385130554517</v>
      </c>
      <c r="H166">
        <v>0.48558954694931999</v>
      </c>
      <c r="I166">
        <v>798.68131943144454</v>
      </c>
      <c r="J166">
        <v>325.82280088357754</v>
      </c>
      <c r="K166">
        <v>4.7167318162591954E-2</v>
      </c>
      <c r="L166">
        <v>160092.61231928715</v>
      </c>
      <c r="M166">
        <v>0.1051148050170669</v>
      </c>
      <c r="N166">
        <v>0.51859696619709494</v>
      </c>
      <c r="O166">
        <v>228.04114435206469</v>
      </c>
      <c r="P166">
        <v>1461.9564238719383</v>
      </c>
    </row>
    <row r="167" spans="1:16" x14ac:dyDescent="0.25">
      <c r="A167">
        <v>166</v>
      </c>
      <c r="B167">
        <v>1.1855390433720281</v>
      </c>
      <c r="C167">
        <v>290.83707367587436</v>
      </c>
      <c r="D167">
        <v>36.229048798104571</v>
      </c>
      <c r="E167">
        <v>9.5144513540614276E-2</v>
      </c>
      <c r="F167">
        <v>100000</v>
      </c>
      <c r="G167">
        <v>3.8270165329465637</v>
      </c>
      <c r="H167">
        <v>0.48553103734113778</v>
      </c>
      <c r="I167">
        <v>799.08043234763045</v>
      </c>
      <c r="J167">
        <v>325.0626497921287</v>
      </c>
      <c r="K167">
        <v>4.6612748107600487E-2</v>
      </c>
      <c r="L167">
        <v>160021.63423752063</v>
      </c>
      <c r="M167">
        <v>0.10516004344727867</v>
      </c>
      <c r="N167">
        <v>0.51860936629949494</v>
      </c>
      <c r="O167">
        <v>228.00495771534781</v>
      </c>
      <c r="P167">
        <v>1461.2867186917442</v>
      </c>
    </row>
    <row r="168" spans="1:16" x14ac:dyDescent="0.25">
      <c r="A168">
        <v>167</v>
      </c>
      <c r="B168">
        <v>1.1855390524874292</v>
      </c>
      <c r="C168">
        <v>290.84770025755097</v>
      </c>
      <c r="D168">
        <v>36.370712849635176</v>
      </c>
      <c r="E168">
        <v>9.493427179074003E-2</v>
      </c>
      <c r="F168">
        <v>100000</v>
      </c>
      <c r="G168">
        <v>3.8063926610920236</v>
      </c>
      <c r="H168">
        <v>0.48528945184037359</v>
      </c>
      <c r="I168">
        <v>798.35802116657703</v>
      </c>
      <c r="J168">
        <v>326.23369296545332</v>
      </c>
      <c r="K168">
        <v>4.7071724060926794E-2</v>
      </c>
      <c r="L168">
        <v>159871.54121473824</v>
      </c>
      <c r="M168">
        <v>0.10504020351324873</v>
      </c>
      <c r="N168">
        <v>0.51865838294239452</v>
      </c>
      <c r="O168">
        <v>228.07169975464333</v>
      </c>
      <c r="P168">
        <v>1465.0438660849345</v>
      </c>
    </row>
    <row r="169" spans="1:16" x14ac:dyDescent="0.25">
      <c r="A169">
        <v>168</v>
      </c>
      <c r="B169">
        <v>1.1855067182585071</v>
      </c>
      <c r="C169">
        <v>290.82028867482614</v>
      </c>
      <c r="D169">
        <v>36.357736412940405</v>
      </c>
      <c r="E169">
        <v>9.4766178410189417E-2</v>
      </c>
      <c r="F169">
        <v>100000</v>
      </c>
      <c r="G169">
        <v>3.8092688377440678</v>
      </c>
      <c r="H169">
        <v>0.48547060529569491</v>
      </c>
      <c r="I169">
        <v>798.50047024008484</v>
      </c>
      <c r="J169">
        <v>326.14963029555764</v>
      </c>
      <c r="K169">
        <v>4.7189477488354746E-2</v>
      </c>
      <c r="L169">
        <v>160108.11715880106</v>
      </c>
      <c r="M169">
        <v>0.10523986751116947</v>
      </c>
      <c r="N169">
        <v>0.51867808593131914</v>
      </c>
      <c r="O169">
        <v>228.07454840305263</v>
      </c>
      <c r="P169">
        <v>1461.7830035357945</v>
      </c>
    </row>
    <row r="170" spans="1:16" x14ac:dyDescent="0.25">
      <c r="A170">
        <v>169</v>
      </c>
      <c r="B170">
        <v>1.1855408277013195</v>
      </c>
      <c r="C170">
        <v>290.81959271243306</v>
      </c>
      <c r="D170">
        <v>36.340828534912418</v>
      </c>
      <c r="E170">
        <v>9.4917987115718735E-2</v>
      </c>
      <c r="F170">
        <v>100000</v>
      </c>
      <c r="G170">
        <v>3.825868314251577</v>
      </c>
      <c r="H170">
        <v>0.48544971704243489</v>
      </c>
      <c r="I170">
        <v>798.82412320139076</v>
      </c>
      <c r="J170">
        <v>325.094025605664</v>
      </c>
      <c r="K170">
        <v>4.6941544553084448E-2</v>
      </c>
      <c r="L170">
        <v>159742.83836934276</v>
      </c>
      <c r="M170">
        <v>0.10540092672370233</v>
      </c>
      <c r="N170">
        <v>0.51864880546861214</v>
      </c>
      <c r="O170">
        <v>228.04510697533075</v>
      </c>
      <c r="P170">
        <v>1464.2286152712952</v>
      </c>
    </row>
    <row r="171" spans="1:16" x14ac:dyDescent="0.25">
      <c r="A171">
        <v>170</v>
      </c>
      <c r="B171">
        <v>1.1855496810968709</v>
      </c>
      <c r="C171">
        <v>290.83084234836844</v>
      </c>
      <c r="D171">
        <v>36.374606784890801</v>
      </c>
      <c r="E171">
        <v>9.5011244025506481E-2</v>
      </c>
      <c r="F171">
        <v>100000</v>
      </c>
      <c r="G171">
        <v>3.83810924134769</v>
      </c>
      <c r="H171">
        <v>0.48556408061283451</v>
      </c>
      <c r="I171">
        <v>799.07614721012101</v>
      </c>
      <c r="J171">
        <v>325.51717180299391</v>
      </c>
      <c r="K171">
        <v>4.7284321511722675E-2</v>
      </c>
      <c r="L171">
        <v>159663.0589473038</v>
      </c>
      <c r="M171">
        <v>0.1054412197292072</v>
      </c>
      <c r="N171">
        <v>0.51870170961845652</v>
      </c>
      <c r="O171">
        <v>228.07038732960183</v>
      </c>
      <c r="P171">
        <v>1462.0279374368886</v>
      </c>
    </row>
    <row r="172" spans="1:16" x14ac:dyDescent="0.25">
      <c r="A172">
        <v>171</v>
      </c>
      <c r="B172">
        <v>1.185515784240025</v>
      </c>
      <c r="C172">
        <v>290.8698788299069</v>
      </c>
      <c r="D172">
        <v>36.317385658047421</v>
      </c>
      <c r="E172">
        <v>9.4827421570802831E-2</v>
      </c>
      <c r="F172">
        <v>100000</v>
      </c>
      <c r="G172">
        <v>3.8105736246341269</v>
      </c>
      <c r="H172">
        <v>0.48548712200464061</v>
      </c>
      <c r="I172">
        <v>798.59788974478363</v>
      </c>
      <c r="J172">
        <v>326.95291920884745</v>
      </c>
      <c r="K172">
        <v>4.7277936615324145E-2</v>
      </c>
      <c r="L172">
        <v>159859.46289517597</v>
      </c>
      <c r="M172">
        <v>0.10521665743076881</v>
      </c>
      <c r="N172">
        <v>0.51864295966360285</v>
      </c>
      <c r="O172">
        <v>228.07087338703775</v>
      </c>
      <c r="P172">
        <v>1464.1093041582296</v>
      </c>
    </row>
    <row r="173" spans="1:16" x14ac:dyDescent="0.25">
      <c r="A173">
        <v>172</v>
      </c>
      <c r="B173">
        <v>1.185523183559237</v>
      </c>
      <c r="C173">
        <v>290.8542826154391</v>
      </c>
      <c r="D173">
        <v>36.331633323953803</v>
      </c>
      <c r="E173">
        <v>9.4934418155934813E-2</v>
      </c>
      <c r="F173">
        <v>100000</v>
      </c>
      <c r="G173">
        <v>3.8420220309361017</v>
      </c>
      <c r="H173">
        <v>0.48543259554713625</v>
      </c>
      <c r="I173">
        <v>798.38669865136967</v>
      </c>
      <c r="J173">
        <v>324.67560367418105</v>
      </c>
      <c r="K173">
        <v>4.7219647472955921E-2</v>
      </c>
      <c r="L173">
        <v>159858.30835404122</v>
      </c>
      <c r="M173">
        <v>0.10529278505122214</v>
      </c>
      <c r="N173">
        <v>0.51864593264087089</v>
      </c>
      <c r="O173">
        <v>228.03984951450013</v>
      </c>
      <c r="P173">
        <v>1462.0465090075525</v>
      </c>
    </row>
    <row r="174" spans="1:16" x14ac:dyDescent="0.25">
      <c r="A174">
        <v>173</v>
      </c>
      <c r="B174">
        <v>1.1855178091729366</v>
      </c>
      <c r="C174">
        <v>290.84979564386106</v>
      </c>
      <c r="D174">
        <v>36.392145688591675</v>
      </c>
      <c r="E174">
        <v>9.4918929342469746E-2</v>
      </c>
      <c r="F174">
        <v>100000</v>
      </c>
      <c r="G174">
        <v>3.8121768295194882</v>
      </c>
      <c r="H174">
        <v>0.48534985101239059</v>
      </c>
      <c r="I174">
        <v>798.35318516895734</v>
      </c>
      <c r="J174">
        <v>324.90247305816331</v>
      </c>
      <c r="K174">
        <v>4.7090647198880044E-2</v>
      </c>
      <c r="L174">
        <v>159827.27723345341</v>
      </c>
      <c r="M174">
        <v>0.10538029449306954</v>
      </c>
      <c r="N174">
        <v>0.51867430973039008</v>
      </c>
      <c r="O174">
        <v>228.06865327921486</v>
      </c>
      <c r="P174">
        <v>1461.5574463878381</v>
      </c>
    </row>
    <row r="175" spans="1:16" x14ac:dyDescent="0.25">
      <c r="A175">
        <v>174</v>
      </c>
      <c r="B175">
        <v>1.1855328521819155</v>
      </c>
      <c r="C175">
        <v>290.86693891356327</v>
      </c>
      <c r="D175">
        <v>36.244673152148948</v>
      </c>
      <c r="E175">
        <v>9.4778489697059279E-2</v>
      </c>
      <c r="F175">
        <v>100000</v>
      </c>
      <c r="G175">
        <v>3.8254002565508558</v>
      </c>
      <c r="H175">
        <v>0.48553188281135423</v>
      </c>
      <c r="I175">
        <v>799.07688221485864</v>
      </c>
      <c r="J175">
        <v>326.72975513207336</v>
      </c>
      <c r="K175">
        <v>4.6988748248469075E-2</v>
      </c>
      <c r="L175">
        <v>159720.36098882195</v>
      </c>
      <c r="M175">
        <v>0.10524134241047303</v>
      </c>
      <c r="N175">
        <v>0.51862022509964623</v>
      </c>
      <c r="O175">
        <v>228.02922732503058</v>
      </c>
      <c r="P175">
        <v>1463.3362600791077</v>
      </c>
    </row>
    <row r="176" spans="1:16" x14ac:dyDescent="0.25">
      <c r="A176">
        <v>175</v>
      </c>
      <c r="B176">
        <v>1.1855150352915031</v>
      </c>
      <c r="C176">
        <v>290.82431113069867</v>
      </c>
      <c r="D176">
        <v>36.340083911168854</v>
      </c>
      <c r="E176">
        <v>9.4838359768365646E-2</v>
      </c>
      <c r="F176">
        <v>100000</v>
      </c>
      <c r="G176">
        <v>3.8237008968060802</v>
      </c>
      <c r="H176">
        <v>0.48557445234228896</v>
      </c>
      <c r="I176">
        <v>799.03174165262419</v>
      </c>
      <c r="J176">
        <v>326.06288848580255</v>
      </c>
      <c r="K176">
        <v>4.6830896657647461E-2</v>
      </c>
      <c r="L176">
        <v>159698.64144039148</v>
      </c>
      <c r="M176">
        <v>0.10512890617453459</v>
      </c>
      <c r="N176">
        <v>0.5186114525705765</v>
      </c>
      <c r="O176">
        <v>228.03484788673256</v>
      </c>
      <c r="P176">
        <v>1464.7250507085628</v>
      </c>
    </row>
    <row r="177" spans="1:16" x14ac:dyDescent="0.25">
      <c r="A177">
        <v>176</v>
      </c>
      <c r="B177">
        <v>1.1855464951332864</v>
      </c>
      <c r="C177">
        <v>290.8691551909144</v>
      </c>
      <c r="D177">
        <v>36.233082866478377</v>
      </c>
      <c r="E177">
        <v>9.4779500852809506E-2</v>
      </c>
      <c r="F177">
        <v>100000</v>
      </c>
      <c r="G177">
        <v>3.8283544030678236</v>
      </c>
      <c r="H177">
        <v>0.4854721623492233</v>
      </c>
      <c r="I177">
        <v>798.98406414417798</v>
      </c>
      <c r="J177">
        <v>325.14408468591864</v>
      </c>
      <c r="K177">
        <v>4.7002291577570153E-2</v>
      </c>
      <c r="L177">
        <v>159691.10581540607</v>
      </c>
      <c r="M177">
        <v>0.10535240884928888</v>
      </c>
      <c r="N177">
        <v>0.51865275577657366</v>
      </c>
      <c r="O177">
        <v>228.07373346365026</v>
      </c>
      <c r="P177">
        <v>1464.5729085461089</v>
      </c>
    </row>
    <row r="178" spans="1:16" x14ac:dyDescent="0.25">
      <c r="A178">
        <v>177</v>
      </c>
      <c r="B178">
        <v>1.1855294145285216</v>
      </c>
      <c r="C178">
        <v>290.83865444256418</v>
      </c>
      <c r="D178">
        <v>36.273541248674952</v>
      </c>
      <c r="E178">
        <v>9.4847187754250564E-2</v>
      </c>
      <c r="F178">
        <v>100000</v>
      </c>
      <c r="G178">
        <v>3.8210681496035992</v>
      </c>
      <c r="H178">
        <v>0.48540863829425651</v>
      </c>
      <c r="I178">
        <v>798.99350727057231</v>
      </c>
      <c r="J178">
        <v>326.3577983768547</v>
      </c>
      <c r="K178">
        <v>4.7241045190773191E-2</v>
      </c>
      <c r="L178">
        <v>159682.60415332555</v>
      </c>
      <c r="M178">
        <v>0.10531580848717727</v>
      </c>
      <c r="N178">
        <v>0.5186743860776365</v>
      </c>
      <c r="O178">
        <v>228.036119200672</v>
      </c>
      <c r="P178">
        <v>1464.8224704116017</v>
      </c>
    </row>
    <row r="179" spans="1:16" x14ac:dyDescent="0.25">
      <c r="A179">
        <v>178</v>
      </c>
      <c r="B179">
        <v>1.185536104596993</v>
      </c>
      <c r="C179">
        <v>290.82162775029343</v>
      </c>
      <c r="D179">
        <v>36.365723343360401</v>
      </c>
      <c r="E179">
        <v>9.4893913749867026E-2</v>
      </c>
      <c r="F179">
        <v>100000</v>
      </c>
      <c r="G179">
        <v>3.8276410625246529</v>
      </c>
      <c r="H179">
        <v>0.48546750503200087</v>
      </c>
      <c r="I179">
        <v>798.59359951579336</v>
      </c>
      <c r="J179">
        <v>326.40860553292646</v>
      </c>
      <c r="K179">
        <v>4.7093134318004159E-2</v>
      </c>
      <c r="L179">
        <v>159988.39787583545</v>
      </c>
      <c r="M179">
        <v>0.10534519774996561</v>
      </c>
      <c r="N179">
        <v>0.51867572189552824</v>
      </c>
      <c r="O179">
        <v>228.0362877034913</v>
      </c>
      <c r="P179">
        <v>1463.1562674729005</v>
      </c>
    </row>
    <row r="180" spans="1:16" x14ac:dyDescent="0.25">
      <c r="A180">
        <v>179</v>
      </c>
      <c r="B180">
        <v>1.1855396579208604</v>
      </c>
      <c r="C180">
        <v>290.8469130485326</v>
      </c>
      <c r="D180">
        <v>36.342268685081827</v>
      </c>
      <c r="E180">
        <v>9.4779489519273563E-2</v>
      </c>
      <c r="F180">
        <v>100000</v>
      </c>
      <c r="G180">
        <v>3.8115633091317331</v>
      </c>
      <c r="H180">
        <v>0.48543052388845082</v>
      </c>
      <c r="I180">
        <v>799.05359108204038</v>
      </c>
      <c r="J180">
        <v>324.92520159167117</v>
      </c>
      <c r="K180">
        <v>4.691780042557938E-2</v>
      </c>
      <c r="L180">
        <v>159724.47242973128</v>
      </c>
      <c r="M180">
        <v>0.10519037887184958</v>
      </c>
      <c r="N180">
        <v>0.51869838750543917</v>
      </c>
      <c r="O180">
        <v>228.06464802810228</v>
      </c>
      <c r="P180">
        <v>1463.2626075251244</v>
      </c>
    </row>
    <row r="181" spans="1:16" x14ac:dyDescent="0.25">
      <c r="A181">
        <v>180</v>
      </c>
      <c r="B181">
        <v>1.1855250189681608</v>
      </c>
      <c r="C181">
        <v>290.86398588008757</v>
      </c>
      <c r="D181">
        <v>36.246060573078708</v>
      </c>
      <c r="E181">
        <v>9.4911773500649832E-2</v>
      </c>
      <c r="F181">
        <v>100000</v>
      </c>
      <c r="G181">
        <v>3.8158989305315831</v>
      </c>
      <c r="H181">
        <v>0.4854319706828763</v>
      </c>
      <c r="I181">
        <v>798.88753957833262</v>
      </c>
      <c r="J181">
        <v>326.0637961019155</v>
      </c>
      <c r="K181">
        <v>4.6927561362151649E-2</v>
      </c>
      <c r="L181">
        <v>159861.28825995987</v>
      </c>
      <c r="M181">
        <v>0.10519292540368445</v>
      </c>
      <c r="N181">
        <v>0.51867640119164182</v>
      </c>
      <c r="O181">
        <v>228.06547925698447</v>
      </c>
      <c r="P181">
        <v>1461.9406914708177</v>
      </c>
    </row>
    <row r="182" spans="1:16" x14ac:dyDescent="0.25">
      <c r="A182">
        <v>181</v>
      </c>
      <c r="B182">
        <v>1.1855430903858866</v>
      </c>
      <c r="C182">
        <v>290.83330787069048</v>
      </c>
      <c r="D182">
        <v>36.337167574642734</v>
      </c>
      <c r="E182">
        <v>9.477869262714439E-2</v>
      </c>
      <c r="F182">
        <v>100000</v>
      </c>
      <c r="G182">
        <v>3.8166301013768478</v>
      </c>
      <c r="H182">
        <v>0.48544890116532075</v>
      </c>
      <c r="I182">
        <v>798.89344376890438</v>
      </c>
      <c r="J182">
        <v>326.36230272058555</v>
      </c>
      <c r="K182">
        <v>4.7129277711943432E-2</v>
      </c>
      <c r="L182">
        <v>159980.63956631042</v>
      </c>
      <c r="M182">
        <v>0.10535262812288687</v>
      </c>
      <c r="N182">
        <v>0.51866113847183071</v>
      </c>
      <c r="O182">
        <v>228.04052979683524</v>
      </c>
      <c r="P182">
        <v>1464.7054586103245</v>
      </c>
    </row>
    <row r="183" spans="1:16" x14ac:dyDescent="0.25">
      <c r="A183">
        <v>182</v>
      </c>
      <c r="B183">
        <v>1.185527651616519</v>
      </c>
      <c r="C183">
        <v>290.8423638579589</v>
      </c>
      <c r="D183">
        <v>36.253696102501245</v>
      </c>
      <c r="E183">
        <v>9.489999119659967E-2</v>
      </c>
      <c r="F183">
        <v>100000</v>
      </c>
      <c r="G183">
        <v>3.8335694885519551</v>
      </c>
      <c r="H183">
        <v>0.48539980212924227</v>
      </c>
      <c r="I183">
        <v>798.60374307162385</v>
      </c>
      <c r="J183">
        <v>324.79294793503038</v>
      </c>
      <c r="K183">
        <v>4.7155866686932661E-2</v>
      </c>
      <c r="L183">
        <v>159830.212136596</v>
      </c>
      <c r="M183">
        <v>0.10533479211382102</v>
      </c>
      <c r="N183">
        <v>0.51864449590878037</v>
      </c>
      <c r="O183">
        <v>228.05608333365205</v>
      </c>
      <c r="P183">
        <v>1461.9833722275334</v>
      </c>
    </row>
    <row r="184" spans="1:16" x14ac:dyDescent="0.25">
      <c r="A184">
        <v>183</v>
      </c>
      <c r="B184">
        <v>1.1855462437829478</v>
      </c>
      <c r="C184">
        <v>290.84358909821503</v>
      </c>
      <c r="D184">
        <v>36.317225201391082</v>
      </c>
      <c r="E184">
        <v>9.4830736441289393E-2</v>
      </c>
      <c r="F184">
        <v>100000</v>
      </c>
      <c r="G184">
        <v>3.8236597267312589</v>
      </c>
      <c r="H184">
        <v>0.48538005767588699</v>
      </c>
      <c r="I184">
        <v>798.75706163049756</v>
      </c>
      <c r="J184">
        <v>325.85668435191894</v>
      </c>
      <c r="K184">
        <v>4.7172397847941333E-2</v>
      </c>
      <c r="L184">
        <v>159975.61587233644</v>
      </c>
      <c r="M184">
        <v>0.10525585855491822</v>
      </c>
      <c r="N184">
        <v>0.51864280170264876</v>
      </c>
      <c r="O184">
        <v>228.05315438118151</v>
      </c>
      <c r="P184">
        <v>1462.6975397247982</v>
      </c>
    </row>
    <row r="185" spans="1:16" x14ac:dyDescent="0.25">
      <c r="A185">
        <v>184</v>
      </c>
      <c r="B185">
        <v>1.1855370762209145</v>
      </c>
      <c r="C185">
        <v>290.85785114285443</v>
      </c>
      <c r="D185">
        <v>36.306607441614062</v>
      </c>
      <c r="E185">
        <v>9.4909093688068352E-2</v>
      </c>
      <c r="F185">
        <v>100000</v>
      </c>
      <c r="G185">
        <v>3.8151806986807735</v>
      </c>
      <c r="H185">
        <v>0.48550969605130356</v>
      </c>
      <c r="I185">
        <v>798.99957124064497</v>
      </c>
      <c r="J185">
        <v>326.15658992471299</v>
      </c>
      <c r="K185">
        <v>4.7181389544238422E-2</v>
      </c>
      <c r="L185">
        <v>159843.08569403051</v>
      </c>
      <c r="M185">
        <v>0.10535069948128101</v>
      </c>
      <c r="N185">
        <v>0.51866783770991476</v>
      </c>
      <c r="O185">
        <v>228.06018476081894</v>
      </c>
      <c r="P185">
        <v>1462.178219619954</v>
      </c>
    </row>
    <row r="186" spans="1:16" x14ac:dyDescent="0.25">
      <c r="A186">
        <v>185</v>
      </c>
      <c r="B186">
        <v>1.1855340393804226</v>
      </c>
      <c r="C186">
        <v>290.86045028721043</v>
      </c>
      <c r="D186">
        <v>36.323905331945369</v>
      </c>
      <c r="E186">
        <v>9.4838899799754614E-2</v>
      </c>
      <c r="F186">
        <v>100000</v>
      </c>
      <c r="G186">
        <v>3.8210426928784527</v>
      </c>
      <c r="H186">
        <v>0.48557080243207718</v>
      </c>
      <c r="I186">
        <v>798.83094967418435</v>
      </c>
      <c r="J186">
        <v>325.33604631384554</v>
      </c>
      <c r="K186">
        <v>4.693316703569847E-2</v>
      </c>
      <c r="L186">
        <v>159780.42195232573</v>
      </c>
      <c r="M186">
        <v>0.10522398147111194</v>
      </c>
      <c r="N186">
        <v>0.51862475821096843</v>
      </c>
      <c r="O186">
        <v>228.06560085355804</v>
      </c>
      <c r="P186">
        <v>1463.7282250955186</v>
      </c>
    </row>
    <row r="187" spans="1:16" x14ac:dyDescent="0.25">
      <c r="A187">
        <v>186</v>
      </c>
      <c r="B187">
        <v>1.1855357590716122</v>
      </c>
      <c r="C187">
        <v>290.82236462039532</v>
      </c>
      <c r="D187">
        <v>36.308768875127619</v>
      </c>
      <c r="E187">
        <v>9.4812556834480352E-2</v>
      </c>
      <c r="F187">
        <v>100000</v>
      </c>
      <c r="G187">
        <v>3.8196645393936102</v>
      </c>
      <c r="H187">
        <v>0.48550759539990823</v>
      </c>
      <c r="I187">
        <v>798.82280465678184</v>
      </c>
      <c r="J187">
        <v>325.03409795656722</v>
      </c>
      <c r="K187">
        <v>4.7200245883336836E-2</v>
      </c>
      <c r="L187">
        <v>159982.59899706929</v>
      </c>
      <c r="M187">
        <v>0.10519452067982463</v>
      </c>
      <c r="N187">
        <v>0.51868972776766853</v>
      </c>
      <c r="O187">
        <v>228.05103797549071</v>
      </c>
      <c r="P187">
        <v>1464.8160045113943</v>
      </c>
    </row>
    <row r="188" spans="1:16" x14ac:dyDescent="0.25">
      <c r="A188">
        <v>187</v>
      </c>
      <c r="B188">
        <v>1.1855267721164173</v>
      </c>
      <c r="C188">
        <v>290.8223932448916</v>
      </c>
      <c r="D188">
        <v>36.357756333742834</v>
      </c>
      <c r="E188">
        <v>9.4903381925545496E-2</v>
      </c>
      <c r="F188">
        <v>100000</v>
      </c>
      <c r="G188">
        <v>3.8259097851847002</v>
      </c>
      <c r="H188">
        <v>0.48555278282689052</v>
      </c>
      <c r="I188">
        <v>799.04101292217365</v>
      </c>
      <c r="J188">
        <v>325.7444403362577</v>
      </c>
      <c r="K188">
        <v>4.7063447309727321E-2</v>
      </c>
      <c r="L188">
        <v>159899.69049008089</v>
      </c>
      <c r="M188">
        <v>0.10525530711161145</v>
      </c>
      <c r="N188">
        <v>0.5186397332032493</v>
      </c>
      <c r="O188">
        <v>228.06500122116216</v>
      </c>
      <c r="P188">
        <v>1463.5713249143855</v>
      </c>
    </row>
    <row r="189" spans="1:16" x14ac:dyDescent="0.25">
      <c r="A189">
        <v>188</v>
      </c>
      <c r="B189">
        <v>1.1855315625133709</v>
      </c>
      <c r="C189">
        <v>290.8434337827033</v>
      </c>
      <c r="D189">
        <v>36.312249221644556</v>
      </c>
      <c r="E189">
        <v>9.4840626546009416E-2</v>
      </c>
      <c r="F189">
        <v>100000</v>
      </c>
      <c r="G189">
        <v>3.812012211237835</v>
      </c>
      <c r="H189">
        <v>0.48547810068260272</v>
      </c>
      <c r="I189">
        <v>798.63708251033586</v>
      </c>
      <c r="J189">
        <v>325.77074312077764</v>
      </c>
      <c r="K189">
        <v>4.7166370995231799E-2</v>
      </c>
      <c r="L189">
        <v>159865.68716636978</v>
      </c>
      <c r="M189">
        <v>0.1053094557990594</v>
      </c>
      <c r="N189">
        <v>0.51863797866575245</v>
      </c>
      <c r="O189">
        <v>228.05548400751425</v>
      </c>
      <c r="P189">
        <v>1462.3766831418541</v>
      </c>
    </row>
    <row r="190" spans="1:16" x14ac:dyDescent="0.25">
      <c r="A190">
        <v>189</v>
      </c>
      <c r="B190">
        <v>1.1855364012423881</v>
      </c>
      <c r="C190">
        <v>290.83157062314461</v>
      </c>
      <c r="D190">
        <v>36.27868611128045</v>
      </c>
      <c r="E190">
        <v>9.4784568024957841E-2</v>
      </c>
      <c r="F190">
        <v>100000</v>
      </c>
      <c r="G190">
        <v>3.8309875393243145</v>
      </c>
      <c r="H190">
        <v>0.4854550450503361</v>
      </c>
      <c r="I190">
        <v>798.95184435991735</v>
      </c>
      <c r="J190">
        <v>326.20262179474412</v>
      </c>
      <c r="K190">
        <v>4.7058172094240534E-2</v>
      </c>
      <c r="L190">
        <v>159763.16201671405</v>
      </c>
      <c r="M190">
        <v>0.10533843624090314</v>
      </c>
      <c r="N190">
        <v>0.51867895335454006</v>
      </c>
      <c r="O190">
        <v>228.04071696472346</v>
      </c>
      <c r="P190">
        <v>1462.0878890487279</v>
      </c>
    </row>
    <row r="191" spans="1:16" x14ac:dyDescent="0.25">
      <c r="A191">
        <v>190</v>
      </c>
      <c r="B191">
        <v>1.185541439209358</v>
      </c>
      <c r="C191">
        <v>290.83688007748765</v>
      </c>
      <c r="D191">
        <v>36.30924560413758</v>
      </c>
      <c r="E191">
        <v>9.4858519111334458E-2</v>
      </c>
      <c r="F191">
        <v>100000</v>
      </c>
      <c r="G191">
        <v>3.824753647741812</v>
      </c>
      <c r="H191">
        <v>0.4855701439163681</v>
      </c>
      <c r="I191">
        <v>798.99636385462441</v>
      </c>
      <c r="J191">
        <v>325.62016216986814</v>
      </c>
      <c r="K191">
        <v>4.7170950366279163E-2</v>
      </c>
      <c r="L191">
        <v>159978.33539540929</v>
      </c>
      <c r="M191">
        <v>0.105251749574636</v>
      </c>
      <c r="N191">
        <v>0.51865553395734454</v>
      </c>
      <c r="O191">
        <v>228.05837432489869</v>
      </c>
      <c r="P191">
        <v>1464.0801232182775</v>
      </c>
    </row>
    <row r="192" spans="1:16" x14ac:dyDescent="0.25">
      <c r="A192">
        <v>191</v>
      </c>
      <c r="B192">
        <v>1.185530613655166</v>
      </c>
      <c r="C192">
        <v>290.84769646264726</v>
      </c>
      <c r="D192">
        <v>36.260795737334789</v>
      </c>
      <c r="E192">
        <v>9.4824200914983531E-2</v>
      </c>
      <c r="F192">
        <v>100000</v>
      </c>
      <c r="G192">
        <v>3.8208517470930361</v>
      </c>
      <c r="H192">
        <v>0.48553326533389546</v>
      </c>
      <c r="I192">
        <v>798.8625399000673</v>
      </c>
      <c r="J192">
        <v>325.73694877082062</v>
      </c>
      <c r="K192">
        <v>4.7006866358650166E-2</v>
      </c>
      <c r="L192">
        <v>159851.1440328584</v>
      </c>
      <c r="M192">
        <v>0.10529538459329986</v>
      </c>
      <c r="N192">
        <v>0.51863297626068472</v>
      </c>
      <c r="O192">
        <v>228.06104378017903</v>
      </c>
      <c r="P192">
        <v>1464.5559745076152</v>
      </c>
    </row>
    <row r="193" spans="1:16" x14ac:dyDescent="0.25">
      <c r="A193">
        <v>192</v>
      </c>
      <c r="B193">
        <v>1.1855368430064461</v>
      </c>
      <c r="C193">
        <v>290.8299984978064</v>
      </c>
      <c r="D193">
        <v>36.338672809999451</v>
      </c>
      <c r="E193">
        <v>9.4816938314075505E-2</v>
      </c>
      <c r="F193">
        <v>100000</v>
      </c>
      <c r="G193">
        <v>3.8277377302804259</v>
      </c>
      <c r="H193">
        <v>0.48538270045408366</v>
      </c>
      <c r="I193">
        <v>798.94465140746831</v>
      </c>
      <c r="J193">
        <v>326.08503123083949</v>
      </c>
      <c r="K193">
        <v>4.6981666779562344E-2</v>
      </c>
      <c r="L193">
        <v>159944.91659484169</v>
      </c>
      <c r="M193">
        <v>0.10530752476530983</v>
      </c>
      <c r="N193">
        <v>0.5186345428806457</v>
      </c>
      <c r="O193">
        <v>228.04724784293711</v>
      </c>
      <c r="P193">
        <v>1463.3786703494513</v>
      </c>
    </row>
    <row r="194" spans="1:16" x14ac:dyDescent="0.25">
      <c r="A194">
        <v>193</v>
      </c>
      <c r="B194">
        <v>1.185541653314061</v>
      </c>
      <c r="C194">
        <v>290.85221025118477</v>
      </c>
      <c r="D194">
        <v>36.266770193267789</v>
      </c>
      <c r="E194">
        <v>9.4856297075130547E-2</v>
      </c>
      <c r="F194">
        <v>100000</v>
      </c>
      <c r="G194">
        <v>3.8231692603916918</v>
      </c>
      <c r="H194">
        <v>0.48549877557373156</v>
      </c>
      <c r="I194">
        <v>799.02477537251741</v>
      </c>
      <c r="J194">
        <v>325.8441277910203</v>
      </c>
      <c r="K194">
        <v>4.6971629941310336E-2</v>
      </c>
      <c r="L194">
        <v>159881.53579759167</v>
      </c>
      <c r="M194">
        <v>0.10526805796454469</v>
      </c>
      <c r="N194">
        <v>0.51864229333893064</v>
      </c>
      <c r="O194">
        <v>228.06554420329925</v>
      </c>
      <c r="P194">
        <v>1462.8998149393815</v>
      </c>
    </row>
    <row r="195" spans="1:16" x14ac:dyDescent="0.25">
      <c r="A195">
        <v>194</v>
      </c>
      <c r="B195">
        <v>1.185530178556552</v>
      </c>
      <c r="C195">
        <v>290.8356224717536</v>
      </c>
      <c r="D195">
        <v>36.304425517705432</v>
      </c>
      <c r="E195">
        <v>9.4906743840575417E-2</v>
      </c>
      <c r="F195">
        <v>100000</v>
      </c>
      <c r="G195">
        <v>3.8266653877300407</v>
      </c>
      <c r="H195">
        <v>0.4854079849950822</v>
      </c>
      <c r="I195">
        <v>798.71215298440404</v>
      </c>
      <c r="J195">
        <v>325.44735165654959</v>
      </c>
      <c r="K195">
        <v>4.7018707617400124E-2</v>
      </c>
      <c r="L195">
        <v>159813.33621618274</v>
      </c>
      <c r="M195">
        <v>0.10529908254883123</v>
      </c>
      <c r="N195">
        <v>0.51867250581381974</v>
      </c>
      <c r="O195">
        <v>228.04822336709034</v>
      </c>
      <c r="P195">
        <v>1462.1976620921046</v>
      </c>
    </row>
    <row r="196" spans="1:16" x14ac:dyDescent="0.25">
      <c r="A196">
        <v>195</v>
      </c>
      <c r="B196">
        <v>1.1855280220599662</v>
      </c>
      <c r="C196">
        <v>290.85978957697546</v>
      </c>
      <c r="D196">
        <v>36.263303271798833</v>
      </c>
      <c r="E196">
        <v>9.4790752825016145E-2</v>
      </c>
      <c r="F196">
        <v>100000</v>
      </c>
      <c r="G196">
        <v>3.8245170731533991</v>
      </c>
      <c r="H196">
        <v>0.48553487008320423</v>
      </c>
      <c r="I196">
        <v>798.87757027196096</v>
      </c>
      <c r="J196">
        <v>325.77954450435675</v>
      </c>
      <c r="K196">
        <v>4.7032217386258457E-2</v>
      </c>
      <c r="L196">
        <v>159906.44662903104</v>
      </c>
      <c r="M196">
        <v>0.1052247985361741</v>
      </c>
      <c r="N196">
        <v>0.51867462846993273</v>
      </c>
      <c r="O196">
        <v>228.04430098583552</v>
      </c>
      <c r="P196">
        <v>1463.3765426961943</v>
      </c>
    </row>
    <row r="197" spans="1:16" x14ac:dyDescent="0.25">
      <c r="A197">
        <v>196</v>
      </c>
      <c r="B197">
        <v>1.1855389420750111</v>
      </c>
      <c r="C197">
        <v>290.85657987775801</v>
      </c>
      <c r="D197">
        <v>36.326044361371231</v>
      </c>
      <c r="E197">
        <v>9.4844848465072615E-2</v>
      </c>
      <c r="F197">
        <v>100000</v>
      </c>
      <c r="G197">
        <v>3.8253891622051226</v>
      </c>
      <c r="H197">
        <v>0.48539281631064363</v>
      </c>
      <c r="I197">
        <v>798.97643404003077</v>
      </c>
      <c r="J197">
        <v>325.44356592366836</v>
      </c>
      <c r="K197">
        <v>4.6974062781676366E-2</v>
      </c>
      <c r="L197">
        <v>159852.79453709675</v>
      </c>
      <c r="M197">
        <v>0.10524044620971597</v>
      </c>
      <c r="N197">
        <v>0.51867954041306741</v>
      </c>
      <c r="O197">
        <v>228.05855095173357</v>
      </c>
      <c r="P197">
        <v>1462.8887834068184</v>
      </c>
    </row>
    <row r="198" spans="1:16" x14ac:dyDescent="0.25">
      <c r="A198">
        <v>197</v>
      </c>
      <c r="B198">
        <v>1.1855359752707084</v>
      </c>
      <c r="C198">
        <v>290.82777061698579</v>
      </c>
      <c r="D198">
        <v>36.267951514979138</v>
      </c>
      <c r="E198">
        <v>9.4833266030974417E-2</v>
      </c>
      <c r="F198">
        <v>100000</v>
      </c>
      <c r="G198">
        <v>3.8227111018059432</v>
      </c>
      <c r="H198">
        <v>0.48553512510576396</v>
      </c>
      <c r="I198">
        <v>798.8414641868543</v>
      </c>
      <c r="J198">
        <v>325.46233691381889</v>
      </c>
      <c r="K198">
        <v>4.7092848555264868E-2</v>
      </c>
      <c r="L198">
        <v>159973.07687503248</v>
      </c>
      <c r="M198">
        <v>0.10523511994257242</v>
      </c>
      <c r="N198">
        <v>0.51863801538859677</v>
      </c>
      <c r="O198">
        <v>228.06437329232745</v>
      </c>
      <c r="P198">
        <v>1462.9247822282459</v>
      </c>
    </row>
    <row r="199" spans="1:16" x14ac:dyDescent="0.25">
      <c r="A199">
        <v>198</v>
      </c>
      <c r="B199">
        <v>1.1855348427532535</v>
      </c>
      <c r="C199">
        <v>290.85372816814163</v>
      </c>
      <c r="D199">
        <v>36.284634938787356</v>
      </c>
      <c r="E199">
        <v>9.4889744282799934E-2</v>
      </c>
      <c r="F199">
        <v>100000</v>
      </c>
      <c r="G199">
        <v>3.8132631906695105</v>
      </c>
      <c r="H199">
        <v>0.48551651045142585</v>
      </c>
      <c r="I199">
        <v>798.93213271889306</v>
      </c>
      <c r="J199">
        <v>326.18716718837067</v>
      </c>
      <c r="K199">
        <v>4.7051107718988468E-2</v>
      </c>
      <c r="L199">
        <v>159926.88492315152</v>
      </c>
      <c r="M199">
        <v>0.10530663026996603</v>
      </c>
      <c r="N199">
        <v>0.51866748489745795</v>
      </c>
      <c r="O199">
        <v>228.0528821047798</v>
      </c>
      <c r="P199">
        <v>1462.5243054464249</v>
      </c>
    </row>
    <row r="200" spans="1:16" x14ac:dyDescent="0.25">
      <c r="A200">
        <v>199</v>
      </c>
      <c r="B200">
        <v>1.1855363470968634</v>
      </c>
      <c r="C200">
        <v>290.83087229934898</v>
      </c>
      <c r="D200">
        <v>36.331071013451428</v>
      </c>
      <c r="E200">
        <v>9.489277627416863E-2</v>
      </c>
      <c r="F200">
        <v>100000</v>
      </c>
      <c r="G200">
        <v>3.8275206195466733</v>
      </c>
      <c r="H200">
        <v>0.48549675486492355</v>
      </c>
      <c r="I200">
        <v>798.75988858995606</v>
      </c>
      <c r="J200">
        <v>325.6568669807761</v>
      </c>
      <c r="K200">
        <v>4.7020590083288683E-2</v>
      </c>
      <c r="L200">
        <v>159882.53950237707</v>
      </c>
      <c r="M200">
        <v>0.10530738885673678</v>
      </c>
      <c r="N200">
        <v>0.5186399566189227</v>
      </c>
      <c r="O200">
        <v>228.05006714382603</v>
      </c>
      <c r="P200">
        <v>1463.3031006858707</v>
      </c>
    </row>
    <row r="201" spans="1:16" x14ac:dyDescent="0.25">
      <c r="A201">
        <v>200</v>
      </c>
      <c r="B201">
        <v>1.1855284146102589</v>
      </c>
      <c r="C201">
        <v>290.84660696934725</v>
      </c>
      <c r="D201">
        <v>36.265348916981054</v>
      </c>
      <c r="E201">
        <v>9.4811269035728854E-2</v>
      </c>
      <c r="F201">
        <v>100000</v>
      </c>
      <c r="G201">
        <v>3.8268187458457228</v>
      </c>
      <c r="H201">
        <v>0.48547708230736902</v>
      </c>
      <c r="I201">
        <v>798.92464600987103</v>
      </c>
      <c r="J201">
        <v>326.11960812649733</v>
      </c>
      <c r="K201">
        <v>4.7085717487389121E-2</v>
      </c>
      <c r="L201">
        <v>159851.89741414238</v>
      </c>
      <c r="M201">
        <v>0.10522938080791684</v>
      </c>
      <c r="N201">
        <v>0.51863741223608928</v>
      </c>
      <c r="O201">
        <v>228.04827128455418</v>
      </c>
      <c r="P201">
        <v>1463.0187069929755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C16"/>
  <sheetViews>
    <sheetView zoomScale="70" zoomScaleNormal="70" workbookViewId="0">
      <selection activeCell="P3" sqref="P3:HC16"/>
    </sheetView>
  </sheetViews>
  <sheetFormatPr defaultRowHeight="15" x14ac:dyDescent="0.25"/>
  <sheetData>
    <row r="1" spans="1:211" x14ac:dyDescent="0.25">
      <c r="P1" s="8" t="s">
        <v>0</v>
      </c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 t="s">
        <v>1</v>
      </c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 t="s">
        <v>21</v>
      </c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 t="s">
        <v>22</v>
      </c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 t="s">
        <v>25</v>
      </c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 t="s">
        <v>26</v>
      </c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 t="s">
        <v>27</v>
      </c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 t="s">
        <v>28</v>
      </c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 t="s">
        <v>29</v>
      </c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 t="s">
        <v>30</v>
      </c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 t="s">
        <v>31</v>
      </c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 t="s">
        <v>32</v>
      </c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 t="s">
        <v>33</v>
      </c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 t="s">
        <v>34</v>
      </c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</row>
    <row r="2" spans="1:211" x14ac:dyDescent="0.25"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69545.286151568886</v>
      </c>
      <c r="AE2">
        <v>29849.154602664948</v>
      </c>
      <c r="AF2">
        <v>95995.656835802554</v>
      </c>
      <c r="AG2">
        <v>43881.827877112388</v>
      </c>
      <c r="AH2">
        <v>198746.26403101493</v>
      </c>
      <c r="AI2">
        <v>26084.096235811234</v>
      </c>
      <c r="AJ2">
        <v>5777.1641219105722</v>
      </c>
      <c r="AK2">
        <v>69078.331462147718</v>
      </c>
      <c r="AL2">
        <v>109533.70694583083</v>
      </c>
      <c r="AM2">
        <v>184590.91248159789</v>
      </c>
      <c r="AN2">
        <v>107649.27041384745</v>
      </c>
      <c r="AO2">
        <v>81284.265498446461</v>
      </c>
      <c r="AP2">
        <v>169449.10410060643</v>
      </c>
      <c r="AQ2">
        <v>165245.10522625543</v>
      </c>
      <c r="AR2">
        <v>134485.52155292177</v>
      </c>
      <c r="AS2">
        <v>144379.02196208286</v>
      </c>
      <c r="AT2">
        <v>199354.27906711912</v>
      </c>
      <c r="AU2">
        <v>67961.221254451753</v>
      </c>
      <c r="AV2">
        <v>99042.264685129645</v>
      </c>
      <c r="AW2">
        <v>82593.564915068622</v>
      </c>
      <c r="AX2">
        <v>139056.3631593337</v>
      </c>
      <c r="AY2">
        <v>35817.86812429237</v>
      </c>
      <c r="AZ2">
        <v>84583.656636154657</v>
      </c>
      <c r="BA2">
        <v>108635.40538035297</v>
      </c>
      <c r="BB2">
        <v>162932.79080840253</v>
      </c>
      <c r="BC2">
        <v>108182.72004232024</v>
      </c>
      <c r="BD2">
        <v>85506.670286367895</v>
      </c>
      <c r="BE2">
        <v>101813.63021682262</v>
      </c>
      <c r="BF2">
        <v>45556.324937665464</v>
      </c>
      <c r="BG2">
        <v>123837.52173851585</v>
      </c>
      <c r="BH2">
        <v>97966.090945827964</v>
      </c>
      <c r="BI2">
        <v>136163.88099430178</v>
      </c>
      <c r="BJ2">
        <v>177320.01633764981</v>
      </c>
      <c r="BK2">
        <v>74103.07434129715</v>
      </c>
      <c r="BL2">
        <v>60499.51872928095</v>
      </c>
      <c r="BM2">
        <v>58573.370868552207</v>
      </c>
      <c r="BN2">
        <v>30062.265041070463</v>
      </c>
      <c r="BO2">
        <v>105964.2352525196</v>
      </c>
      <c r="BP2">
        <v>44652.360931160452</v>
      </c>
      <c r="BQ2">
        <v>116905.85945627307</v>
      </c>
      <c r="BR2">
        <v>72691.743697829719</v>
      </c>
      <c r="BS2">
        <v>175194.93202247619</v>
      </c>
      <c r="BT2">
        <v>95602.838400587556</v>
      </c>
      <c r="BU2">
        <v>38126.689710101127</v>
      </c>
      <c r="BV2">
        <v>136812.46295001745</v>
      </c>
      <c r="BW2">
        <v>149483.15822489737</v>
      </c>
      <c r="BX2">
        <v>122786.98991637086</v>
      </c>
      <c r="BY2">
        <v>156427.74279361058</v>
      </c>
      <c r="BZ2">
        <v>32348.746806910993</v>
      </c>
      <c r="CA2">
        <v>161555.95933195113</v>
      </c>
      <c r="CB2">
        <v>40523.666562006474</v>
      </c>
      <c r="CC2">
        <v>191352.48695631314</v>
      </c>
      <c r="CD2">
        <v>13170.214019975185</v>
      </c>
      <c r="CE2">
        <v>12304.456589242935</v>
      </c>
      <c r="CF2">
        <v>158639.51610067795</v>
      </c>
      <c r="CG2">
        <v>75920.944408658033</v>
      </c>
      <c r="CH2">
        <v>92716.805457862371</v>
      </c>
      <c r="CI2">
        <v>23908.812890815734</v>
      </c>
      <c r="CJ2">
        <v>23094.029350256442</v>
      </c>
      <c r="CK2">
        <v>34754.688197031974</v>
      </c>
      <c r="CL2">
        <v>9623.7854814124112</v>
      </c>
      <c r="CM2">
        <v>142963.26865415002</v>
      </c>
      <c r="CN2">
        <v>106604.47255830049</v>
      </c>
      <c r="CO2">
        <v>112201.86107875919</v>
      </c>
      <c r="CP2">
        <v>43346.709318652633</v>
      </c>
      <c r="CQ2">
        <v>93601.135695163728</v>
      </c>
      <c r="CR2">
        <v>149270.95377705622</v>
      </c>
      <c r="CS2">
        <v>150462.1763971014</v>
      </c>
      <c r="CT2">
        <v>79786.460439797884</v>
      </c>
      <c r="CU2">
        <v>180619.76510321235</v>
      </c>
      <c r="CV2">
        <v>149201.3832384572</v>
      </c>
      <c r="CW2">
        <v>17711.908956257819</v>
      </c>
      <c r="CX2">
        <v>126914.2299322505</v>
      </c>
      <c r="CY2">
        <v>142605.59311608886</v>
      </c>
      <c r="CZ2">
        <v>3136.4877291245461</v>
      </c>
      <c r="DA2">
        <v>86228.875896365163</v>
      </c>
      <c r="DB2">
        <v>80396.525875600331</v>
      </c>
      <c r="DC2">
        <v>55059.104995023728</v>
      </c>
      <c r="DD2">
        <v>197074.78296536685</v>
      </c>
      <c r="DE2">
        <v>160517.47956849766</v>
      </c>
      <c r="DF2">
        <v>139220.15671662474</v>
      </c>
      <c r="DG2">
        <v>83519.844899684904</v>
      </c>
      <c r="DH2">
        <v>146897.63996818018</v>
      </c>
      <c r="DI2">
        <v>55433.684409667017</v>
      </c>
      <c r="DJ2">
        <v>71317.260644288544</v>
      </c>
      <c r="DK2">
        <v>86691.431763177869</v>
      </c>
      <c r="DL2">
        <v>188994.20543824814</v>
      </c>
      <c r="DM2">
        <v>24309.999817822456</v>
      </c>
      <c r="DN2">
        <v>129190.26896474409</v>
      </c>
      <c r="DO2">
        <v>69566.541167045594</v>
      </c>
      <c r="DP2">
        <v>20886.464130941869</v>
      </c>
      <c r="DQ2">
        <v>37080.509026850697</v>
      </c>
      <c r="DR2">
        <v>15536.947476331234</v>
      </c>
      <c r="DS2">
        <v>86551.909216268541</v>
      </c>
      <c r="DT2">
        <v>191854.1792313199</v>
      </c>
      <c r="DU2">
        <v>108405.85598157597</v>
      </c>
      <c r="DV2">
        <v>98875.347844577307</v>
      </c>
      <c r="DW2">
        <v>194593.33441426468</v>
      </c>
      <c r="DX2">
        <v>43559.974729128364</v>
      </c>
      <c r="DY2">
        <v>75798.254212759974</v>
      </c>
      <c r="DZ2">
        <v>79168.860977197168</v>
      </c>
      <c r="EA2">
        <v>56300.693537889478</v>
      </c>
      <c r="EB2">
        <v>100674.23979380084</v>
      </c>
      <c r="EC2">
        <v>27746.469712101938</v>
      </c>
      <c r="ED2">
        <v>103451.17239909315</v>
      </c>
      <c r="EE2">
        <v>193072.89151243592</v>
      </c>
      <c r="EF2">
        <v>111500.20714945841</v>
      </c>
      <c r="EG2">
        <v>181840.82580723858</v>
      </c>
      <c r="EH2">
        <v>131451.28762735511</v>
      </c>
      <c r="EI2">
        <v>88222.937286634449</v>
      </c>
      <c r="EJ2">
        <v>138598.9094499097</v>
      </c>
      <c r="EK2">
        <v>12898.238036744118</v>
      </c>
      <c r="EL2">
        <v>151218.52354626035</v>
      </c>
      <c r="EM2">
        <v>140102.86570765305</v>
      </c>
      <c r="EN2">
        <v>99414.197653650757</v>
      </c>
      <c r="EO2">
        <v>31087.143025130274</v>
      </c>
      <c r="EP2">
        <v>44747.513782273767</v>
      </c>
      <c r="EQ2">
        <v>65228.80139609718</v>
      </c>
      <c r="ER2">
        <v>156897.72539886524</v>
      </c>
      <c r="ES2">
        <v>10052.56935784626</v>
      </c>
      <c r="ET2">
        <v>103603.18807904769</v>
      </c>
      <c r="EU2">
        <v>151405.90862100982</v>
      </c>
      <c r="EV2">
        <v>160133.97137842418</v>
      </c>
      <c r="EW2">
        <v>65041.094456278799</v>
      </c>
      <c r="EX2">
        <v>194545.80567242194</v>
      </c>
      <c r="EY2">
        <v>160853.43517487144</v>
      </c>
      <c r="EZ2">
        <v>134965.21971488619</v>
      </c>
      <c r="FA2">
        <v>181025.86345275212</v>
      </c>
      <c r="FB2">
        <v>175155.93866542386</v>
      </c>
      <c r="FC2">
        <v>83329.682248600002</v>
      </c>
      <c r="FD2">
        <v>24616.570335497378</v>
      </c>
      <c r="FE2">
        <v>190831.59006552791</v>
      </c>
      <c r="FF2">
        <v>159459.46140326833</v>
      </c>
      <c r="FG2">
        <v>139257.00430655098</v>
      </c>
      <c r="FH2">
        <v>80320.923347191332</v>
      </c>
      <c r="FI2">
        <v>3259.5474738054277</v>
      </c>
      <c r="FJ2">
        <v>33552.569848357678</v>
      </c>
      <c r="FK2">
        <v>32846.838961517336</v>
      </c>
      <c r="FL2">
        <v>101944.00941158914</v>
      </c>
      <c r="FM2">
        <v>81212.549192721373</v>
      </c>
      <c r="FN2">
        <v>21226.758955281734</v>
      </c>
      <c r="FO2">
        <v>55224.662849729539</v>
      </c>
      <c r="FP2">
        <v>128609.36211999941</v>
      </c>
      <c r="FQ2">
        <v>169819.99994834996</v>
      </c>
      <c r="FR2">
        <v>99593.846045817845</v>
      </c>
      <c r="FS2">
        <v>37555.033505855557</v>
      </c>
      <c r="FT2">
        <v>179323.32836841821</v>
      </c>
      <c r="FU2">
        <v>74562.8645527029</v>
      </c>
      <c r="FV2">
        <v>64710.968183930876</v>
      </c>
      <c r="FW2">
        <v>154166.55723800088</v>
      </c>
      <c r="FX2">
        <v>43600.07673252916</v>
      </c>
      <c r="FY2">
        <v>89398.650778729439</v>
      </c>
      <c r="FZ2">
        <v>47205.561550773142</v>
      </c>
      <c r="GA2">
        <v>175676.91900270843</v>
      </c>
      <c r="GB2">
        <v>122086.56384270334</v>
      </c>
      <c r="GC2">
        <v>74886.446235316282</v>
      </c>
      <c r="GD2">
        <v>77900.378819684513</v>
      </c>
      <c r="GE2">
        <v>172117.85427995873</v>
      </c>
      <c r="GF2">
        <v>117187.58675899934</v>
      </c>
      <c r="GG2">
        <v>186311.88924228764</v>
      </c>
      <c r="GH2">
        <v>103438.4885311923</v>
      </c>
      <c r="GI2">
        <v>66060.166948169703</v>
      </c>
      <c r="GJ2">
        <v>173690.73734616328</v>
      </c>
      <c r="GK2">
        <v>51812.201705405234</v>
      </c>
      <c r="GL2">
        <v>51908.272468011382</v>
      </c>
      <c r="GM2">
        <v>35738.71315919685</v>
      </c>
      <c r="GN2">
        <v>69391.43464862871</v>
      </c>
      <c r="GO2">
        <v>501.13999136829375</v>
      </c>
      <c r="GP2">
        <v>148468.41303004409</v>
      </c>
      <c r="GQ2">
        <v>168177.41521333312</v>
      </c>
      <c r="GR2">
        <v>55717.891265516759</v>
      </c>
      <c r="GS2">
        <v>140594.03180281352</v>
      </c>
      <c r="GT2">
        <v>80972.926609380243</v>
      </c>
      <c r="GU2">
        <v>162314.273434309</v>
      </c>
      <c r="GV2">
        <v>148356.141725636</v>
      </c>
      <c r="GW2">
        <v>87532.787053315158</v>
      </c>
      <c r="GX2">
        <v>15596.122965297222</v>
      </c>
      <c r="GY2">
        <v>82126.336044292446</v>
      </c>
      <c r="GZ2">
        <v>67875.044862482551</v>
      </c>
      <c r="HA2">
        <v>142110.85074238491</v>
      </c>
      <c r="HB2">
        <v>62457.626599259856</v>
      </c>
      <c r="HC2">
        <v>159754.70703888894</v>
      </c>
    </row>
    <row r="3" spans="1:211" x14ac:dyDescent="0.25">
      <c r="A3" t="s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8">
        <f>SQRT(SUMXMY2('Coordenadas dos Polos'!$B$3:$O$3,'Coordenadas dos Polos'!$P$2:$AC$2))</f>
        <v>0</v>
      </c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>
        <f>SQRT(SUMXMY2('Coordenadas dos Polos'!$B$3:$O$3,'Coordenadas dos Polos'!$AD$2:$AQ$2))</f>
        <v>426778.42928064667</v>
      </c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>
        <f>SQRT(SUMXMY2('Coordenadas dos Polos'!$B$3:$O$3,'Coordenadas dos Polos'!$AR$2:$BE$2))</f>
        <v>442071.51017467835</v>
      </c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>
        <f>SQRT(SUMXMY2('Coordenadas dos Polos'!$B$3:$O$3,'Coordenadas dos Polos'!$BF$2:$BS$2))</f>
        <v>391591.72540948092</v>
      </c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>
        <f>SQRT(SUMXMY2('Coordenadas dos Polos'!$B$3:$O$3,'Coordenadas dos Polos'!$BT$2:$CG$2))</f>
        <v>433431.36329475907</v>
      </c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>
        <f>SQRT(SUMXMY2('Coordenadas dos Polos'!$B$3:$O$3,'Coordenadas dos Polos'!$CH$2:$CU$2))</f>
        <v>387226.44191351382</v>
      </c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>
        <f>SQRT(SUMXMY2('Coordenadas dos Polos'!$B$3:$O$3,'Coordenadas dos Polos'!$CV$2:$DI$2))</f>
        <v>437690.14415150631</v>
      </c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>
        <f>SQRT(SUMXMY2('Coordenadas dos Polos'!$B$3:$O$3,'Coordenadas dos Polos'!$DJ$2:$DW$2))</f>
        <v>419747.02524422744</v>
      </c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>
        <f>SQRT(SUMXMY2('Coordenadas dos Polos'!$B$3:$O$3,'Coordenadas dos Polos'!$DX$2:$EK$2))</f>
        <v>407310.58306997269</v>
      </c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>
        <f>SQRT(SUMXMY2('Coordenadas dos Polos'!$B$3:$O$3,'Coordenadas dos Polos'!$EL$2:$EY$2))</f>
        <v>459970.68985118053</v>
      </c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>
        <f>SQRT(SUMXMY2('Coordenadas dos Polos'!$B$3:$O$3,'Coordenadas dos Polos'!$EZ$2:$FM$2))</f>
        <v>442839.40802277095</v>
      </c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>
        <f>SQRT(SUMXMY2('Coordenadas dos Polos'!$B$3:$O$3,'Coordenadas dos Polos'!$FN$2:$GA$2))</f>
        <v>410930.64841516269</v>
      </c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>
        <f>SQRT(SUMXMY2('Coordenadas dos Polos'!$B$3:$O$3,'Coordenadas dos Polos'!$GB$2:$GO$2))</f>
        <v>401689.89782084007</v>
      </c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>
        <f>SQRT(SUMXMY2('Coordenadas dos Polos'!$B$3:$O$3,'Coordenadas dos Polos'!$GP$2:$HC$2))</f>
        <v>443829.65304414794</v>
      </c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</row>
    <row r="4" spans="1:211" x14ac:dyDescent="0.25">
      <c r="A4" t="s">
        <v>1</v>
      </c>
      <c r="B4">
        <v>69545.286151568886</v>
      </c>
      <c r="C4">
        <v>29849.154602664948</v>
      </c>
      <c r="D4">
        <v>95995.656835802554</v>
      </c>
      <c r="E4">
        <v>43881.827877112388</v>
      </c>
      <c r="F4">
        <v>198746.26403101493</v>
      </c>
      <c r="G4">
        <v>26084.096235811234</v>
      </c>
      <c r="H4">
        <v>5777.1641219105722</v>
      </c>
      <c r="I4">
        <v>69078.331462147718</v>
      </c>
      <c r="J4">
        <v>109533.70694583083</v>
      </c>
      <c r="K4">
        <v>184590.91248159789</v>
      </c>
      <c r="L4">
        <v>107649.27041384745</v>
      </c>
      <c r="M4">
        <v>81284.265498446461</v>
      </c>
      <c r="N4">
        <v>169449.10410060643</v>
      </c>
      <c r="O4">
        <v>165245.10522625543</v>
      </c>
      <c r="P4" s="8">
        <f>SQRT(SUMXMY2('Coordenadas dos Polos'!$B$4:$O$4,'Coordenadas dos Polos'!$P$2:$AC$2))</f>
        <v>426778.42928064667</v>
      </c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>
        <f>SQRT(SUMXMY2('Coordenadas dos Polos'!$B$4:$O$4,'Coordenadas dos Polos'!$AD$2:$AQ$2))</f>
        <v>0</v>
      </c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>
        <f>SQRT(SUMXMY2('Coordenadas dos Polos'!$B$4:$O$4,'Coordenadas dos Polos'!$AR$2:$BE$2))</f>
        <v>286081.07293189561</v>
      </c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>
        <f>SQRT(SUMXMY2('Coordenadas dos Polos'!$B$4:$O$4,'Coordenadas dos Polos'!$BF$2:$BS$2))</f>
        <v>225821.38705360226</v>
      </c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>
        <f>SQRT(SUMXMY2('Coordenadas dos Polos'!$B$4:$O$4,'Coordenadas dos Polos'!$BT$2:$CG$2))</f>
        <v>268646.3623985062</v>
      </c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>
        <f>SQRT(SUMXMY2('Coordenadas dos Polos'!$B$4:$O$4,'Coordenadas dos Polos'!$CH$2:$CU$2))</f>
        <v>308022.0325851232</v>
      </c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>
        <f>SQRT(SUMXMY2('Coordenadas dos Polos'!$B$4:$O$4,'Coordenadas dos Polos'!$CV$2:$DI$2))</f>
        <v>294366.64043534297</v>
      </c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>
        <f>SQRT(SUMXMY2('Coordenadas dos Polos'!$B$4:$O$4,'Coordenadas dos Polos'!$DJ$2:$DW$2))</f>
        <v>228827.31444527523</v>
      </c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>
        <f>SQRT(SUMXMY2('Coordenadas dos Polos'!$B$4:$O$4,'Coordenadas dos Polos'!$DX$2:$EK$2))</f>
        <v>250094.15712537238</v>
      </c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>
        <f>SQRT(SUMXMY2('Coordenadas dos Polos'!$B$4:$O$4,'Coordenadas dos Polos'!$EL$2:$EY$2))</f>
        <v>274545.4565739152</v>
      </c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>
        <f>SQRT(SUMXMY2('Coordenadas dos Polos'!$B$4:$O$4,'Coordenadas dos Polos'!$EZ$2:$FM$2))</f>
        <v>417315.46134484571</v>
      </c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>
        <f>SQRT(SUMXMY2('Coordenadas dos Polos'!$B$4:$O$4,'Coordenadas dos Polos'!$FN$2:$GA$2))</f>
        <v>286651.31652217387</v>
      </c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>
        <f>SQRT(SUMXMY2('Coordenadas dos Polos'!$B$4:$O$4,'Coordenadas dos Polos'!$GB$2:$GO$2))</f>
        <v>357088.70917200105</v>
      </c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>
        <f>SQRT(SUMXMY2('Coordenadas dos Polos'!$B$4:$O$4,'Coordenadas dos Polos'!$GP$2:$HC$2))</f>
        <v>354288.17469597631</v>
      </c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</row>
    <row r="5" spans="1:211" x14ac:dyDescent="0.25">
      <c r="A5" t="s">
        <v>21</v>
      </c>
      <c r="B5">
        <v>134485.52155292177</v>
      </c>
      <c r="C5">
        <v>144379.02196208286</v>
      </c>
      <c r="D5">
        <v>199354.27906711912</v>
      </c>
      <c r="E5">
        <v>67961.221254451753</v>
      </c>
      <c r="F5">
        <v>99042.264685129645</v>
      </c>
      <c r="G5">
        <v>82593.564915068622</v>
      </c>
      <c r="H5">
        <v>139056.3631593337</v>
      </c>
      <c r="I5">
        <v>35817.86812429237</v>
      </c>
      <c r="J5">
        <v>84583.656636154657</v>
      </c>
      <c r="K5">
        <v>108635.40538035297</v>
      </c>
      <c r="L5">
        <v>162932.79080840253</v>
      </c>
      <c r="M5">
        <v>108182.72004232024</v>
      </c>
      <c r="N5">
        <v>85506.670286367895</v>
      </c>
      <c r="O5">
        <v>101813.63021682262</v>
      </c>
      <c r="P5" s="8">
        <f>SQRT(SUMXMY2('Coordenadas dos Polos'!$B$5:$O$5,'Coordenadas dos Polos'!$P$2:$AC$2))</f>
        <v>442071.51017467835</v>
      </c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>
        <f>SQRT(SUMXMY2('Coordenadas dos Polos'!$B$5:$O$5,'Coordenadas dos Polos'!$AD$2:$AQ$2))</f>
        <v>286081.07293189561</v>
      </c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>
        <f>SQRT(SUMXMY2('Coordenadas dos Polos'!$B$5:$O$5,'Coordenadas dos Polos'!$AR$2:$BE$2))</f>
        <v>0</v>
      </c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>
        <f>SQRT(SUMXMY2('Coordenadas dos Polos'!$B$5:$O$5,'Coordenadas dos Polos'!$BF$2:$BS$2))</f>
        <v>242373.91901098823</v>
      </c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>
        <f>SQRT(SUMXMY2('Coordenadas dos Polos'!$B$5:$O$5,'Coordenadas dos Polos'!$BT$2:$CG$2))</f>
        <v>320927.2819975625</v>
      </c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>
        <f>SQRT(SUMXMY2('Coordenadas dos Polos'!$B$5:$O$5,'Coordenadas dos Polos'!$CH$2:$CU$2))</f>
        <v>277668.31387093721</v>
      </c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>
        <f>SQRT(SUMXMY2('Coordenadas dos Polos'!$B$5:$O$5,'Coordenadas dos Polos'!$CV$2:$DI$2))</f>
        <v>250078.57245252497</v>
      </c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>
        <f>SQRT(SUMXMY2('Coordenadas dos Polos'!$B$5:$O$5,'Coordenadas dos Polos'!$DJ$2:$DW$2))</f>
        <v>198125.19454399234</v>
      </c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>
        <f>SQRT(SUMXMY2('Coordenadas dos Polos'!$B$5:$O$5,'Coordenadas dos Polos'!$DX$2:$EK$2))</f>
        <v>273416.83132307063</v>
      </c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>
        <f>SQRT(SUMXMY2('Coordenadas dos Polos'!$B$5:$O$5,'Coordenadas dos Polos'!$EL$2:$EY$2))</f>
        <v>187917.37436535844</v>
      </c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>
        <f>SQRT(SUMXMY2('Coordenadas dos Polos'!$B$5:$O$5,'Coordenadas dos Polos'!$EZ$2:$FM$2))</f>
        <v>254493.88065035551</v>
      </c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>
        <f>SQRT(SUMXMY2('Coordenadas dos Polos'!$B$5:$O$5,'Coordenadas dos Polos'!$FN$2:$GA$2))</f>
        <v>255521.7910803179</v>
      </c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>
        <f>SQRT(SUMXMY2('Coordenadas dos Polos'!$B$5:$O$5,'Coordenadas dos Polos'!$GB$2:$GO$2))</f>
        <v>288305.44059632061</v>
      </c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>
        <f>SQRT(SUMXMY2('Coordenadas dos Polos'!$B$5:$O$5,'Coordenadas dos Polos'!$GP$2:$HC$2))</f>
        <v>235900.7490135078</v>
      </c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</row>
    <row r="6" spans="1:211" x14ac:dyDescent="0.25">
      <c r="A6" t="s">
        <v>22</v>
      </c>
      <c r="B6">
        <v>45556.324937665464</v>
      </c>
      <c r="C6">
        <v>123837.52173851585</v>
      </c>
      <c r="D6">
        <v>97966.090945827964</v>
      </c>
      <c r="E6">
        <v>136163.88099430178</v>
      </c>
      <c r="F6">
        <v>177320.01633764981</v>
      </c>
      <c r="G6">
        <v>74103.07434129715</v>
      </c>
      <c r="H6">
        <v>60499.51872928095</v>
      </c>
      <c r="I6">
        <v>58573.370868552207</v>
      </c>
      <c r="J6">
        <v>30062.265041070463</v>
      </c>
      <c r="K6">
        <v>105964.2352525196</v>
      </c>
      <c r="L6">
        <v>44652.360931160452</v>
      </c>
      <c r="M6">
        <v>116905.85945627307</v>
      </c>
      <c r="N6">
        <v>72691.743697829719</v>
      </c>
      <c r="O6">
        <v>175194.93202247619</v>
      </c>
      <c r="P6" s="8">
        <f>SQRT(SUMXMY2('Coordenadas dos Polos'!$B$6:$O$6,'Coordenadas dos Polos'!$P$2:$AC$2))</f>
        <v>391591.72540948092</v>
      </c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>
        <f>SQRT(SUMXMY2('Coordenadas dos Polos'!$B$6:$O$6,'Coordenadas dos Polos'!$AD$2:$AQ$2))</f>
        <v>225821.38705360226</v>
      </c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>
        <f>SQRT(SUMXMY2('Coordenadas dos Polos'!$B$6:$O$6,'Coordenadas dos Polos'!$AR$2:$BE$2))</f>
        <v>242373.91901098823</v>
      </c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>
        <f>SQRT(SUMXMY2('Coordenadas dos Polos'!$B$6:$O$6,'Coordenadas dos Polos'!$BF$2:$BS$2))</f>
        <v>0</v>
      </c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>
        <f>SQRT(SUMXMY2('Coordenadas dos Polos'!$B$6:$O$6,'Coordenadas dos Polos'!$BT$2:$CG$2))</f>
        <v>263176.82876345015</v>
      </c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>
        <f>SQRT(SUMXMY2('Coordenadas dos Polos'!$B$6:$O$6,'Coordenadas dos Polos'!$CH$2:$CU$2))</f>
        <v>280080.53232230246</v>
      </c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>
        <f>SQRT(SUMXMY2('Coordenadas dos Polos'!$B$6:$O$6,'Coordenadas dos Polos'!$CV$2:$DI$2))</f>
        <v>338460.95035006723</v>
      </c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>
        <f>SQRT(SUMXMY2('Coordenadas dos Polos'!$B$6:$O$6,'Coordenadas dos Polos'!$DJ$2:$DW$2))</f>
        <v>224943.06803123903</v>
      </c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>
        <f>SQRT(SUMXMY2('Coordenadas dos Polos'!$B$6:$O$6,'Coordenadas dos Polos'!$DX$2:$EK$2))</f>
        <v>297374.89327438199</v>
      </c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>
        <f>SQRT(SUMXMY2('Coordenadas dos Polos'!$B$6:$O$6,'Coordenadas dos Polos'!$EL$2:$EY$2))</f>
        <v>300543.91239602916</v>
      </c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>
        <f>SQRT(SUMXMY2('Coordenadas dos Polos'!$B$6:$O$6,'Coordenadas dos Polos'!$EZ$2:$FM$2))</f>
        <v>321267.30778452195</v>
      </c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>
        <f>SQRT(SUMXMY2('Coordenadas dos Polos'!$B$6:$O$6,'Coordenadas dos Polos'!$FN$2:$GA$2))</f>
        <v>184539.43528981728</v>
      </c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>
        <f>SQRT(SUMXMY2('Coordenadas dos Polos'!$B$6:$O$6,'Coordenadas dos Polos'!$GB$2:$GO$2))</f>
        <v>297969.94551110832</v>
      </c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>
        <f>SQRT(SUMXMY2('Coordenadas dos Polos'!$B$6:$O$6,'Coordenadas dos Polos'!$GP$2:$HC$2))</f>
        <v>205616.41232202642</v>
      </c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</row>
    <row r="7" spans="1:211" x14ac:dyDescent="0.25">
      <c r="A7" t="s">
        <v>25</v>
      </c>
      <c r="B7">
        <v>95602.838400587556</v>
      </c>
      <c r="C7">
        <v>38126.689710101127</v>
      </c>
      <c r="D7">
        <v>136812.46295001745</v>
      </c>
      <c r="E7">
        <v>149483.15822489737</v>
      </c>
      <c r="F7">
        <v>122786.98991637086</v>
      </c>
      <c r="G7">
        <v>156427.74279361058</v>
      </c>
      <c r="H7">
        <v>32348.746806910993</v>
      </c>
      <c r="I7">
        <v>161555.95933195113</v>
      </c>
      <c r="J7">
        <v>40523.666562006474</v>
      </c>
      <c r="K7">
        <v>191352.48695631314</v>
      </c>
      <c r="L7">
        <v>13170.214019975185</v>
      </c>
      <c r="M7">
        <v>12304.456589242935</v>
      </c>
      <c r="N7">
        <v>158639.51610067795</v>
      </c>
      <c r="O7">
        <v>75920.944408658033</v>
      </c>
      <c r="P7" s="8">
        <f>SQRT(SUMXMY2('Coordenadas dos Polos'!$B$7:$O$7,'Coordenadas dos Polos'!$P$2:$AC$2))</f>
        <v>433431.36329475907</v>
      </c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>
        <f>SQRT(SUMXMY2('Coordenadas dos Polos'!$B$7:$O$7,'Coordenadas dos Polos'!$AD$2:$AQ$2))</f>
        <v>268646.3623985062</v>
      </c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>
        <f>SQRT(SUMXMY2('Coordenadas dos Polos'!$B$7:$O$7,'Coordenadas dos Polos'!$AR$2:$BE$2))</f>
        <v>320927.2819975625</v>
      </c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>
        <f>SQRT(SUMXMY2('Coordenadas dos Polos'!$B$7:$O$7,'Coordenadas dos Polos'!$BF$2:$BS$2))</f>
        <v>263176.82876345015</v>
      </c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>
        <f>SQRT(SUMXMY2('Coordenadas dos Polos'!$B$7:$O$7,'Coordenadas dos Polos'!$BT$2:$CG$2))</f>
        <v>0</v>
      </c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>
        <f>SQRT(SUMXMY2('Coordenadas dos Polos'!$B$7:$O$7,'Coordenadas dos Polos'!$CH$2:$CU$2))</f>
        <v>334059.62715720502</v>
      </c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>
        <f>SQRT(SUMXMY2('Coordenadas dos Polos'!$B$7:$O$7,'Coordenadas dos Polos'!$CV$2:$DI$2))</f>
        <v>288627.79602150974</v>
      </c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>
        <f>SQRT(SUMXMY2('Coordenadas dos Polos'!$B$7:$O$7,'Coordenadas dos Polos'!$DJ$2:$DW$2))</f>
        <v>339082.28624752269</v>
      </c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>
        <f>SQRT(SUMXMY2('Coordenadas dos Polos'!$B$7:$O$7,'Coordenadas dos Polos'!$DX$2:$EK$2))</f>
        <v>261697.79371220447</v>
      </c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>
        <f>SQRT(SUMXMY2('Coordenadas dos Polos'!$B$7:$O$7,'Coordenadas dos Polos'!$EL$2:$EY$2))</f>
        <v>346754.47694505053</v>
      </c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>
        <f>SQRT(SUMXMY2('Coordenadas dos Polos'!$B$7:$O$7,'Coordenadas dos Polos'!$EZ$2:$FM$2))</f>
        <v>310377.34384830302</v>
      </c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>
        <f>SQRT(SUMXMY2('Coordenadas dos Polos'!$B$7:$O$7,'Coordenadas dos Polos'!$FN$2:$GA$2))</f>
        <v>285217.60099816462</v>
      </c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>
        <f>SQRT(SUMXMY2('Coordenadas dos Polos'!$B$7:$O$7,'Coordenadas dos Polos'!$GB$2:$GO$2))</f>
        <v>272105.44324755453</v>
      </c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>
        <f>SQRT(SUMXMY2('Coordenadas dos Polos'!$B$7:$O$7,'Coordenadas dos Polos'!$GP$2:$HC$2))</f>
        <v>309445.67815931933</v>
      </c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</row>
    <row r="8" spans="1:211" x14ac:dyDescent="0.25">
      <c r="A8" t="s">
        <v>26</v>
      </c>
      <c r="B8">
        <v>92716.805457862371</v>
      </c>
      <c r="C8">
        <v>23908.812890815734</v>
      </c>
      <c r="D8">
        <v>23094.029350256442</v>
      </c>
      <c r="E8">
        <v>34754.688197031974</v>
      </c>
      <c r="F8">
        <v>9623.7854814124112</v>
      </c>
      <c r="G8">
        <v>142963.26865415002</v>
      </c>
      <c r="H8">
        <v>106604.47255830049</v>
      </c>
      <c r="I8">
        <v>112201.86107875919</v>
      </c>
      <c r="J8">
        <v>43346.709318652633</v>
      </c>
      <c r="K8">
        <v>93601.135695163728</v>
      </c>
      <c r="L8">
        <v>149270.95377705622</v>
      </c>
      <c r="M8">
        <v>150462.1763971014</v>
      </c>
      <c r="N8">
        <v>79786.460439797884</v>
      </c>
      <c r="O8">
        <v>180619.76510321235</v>
      </c>
      <c r="P8" s="8">
        <f>SQRT(SUMXMY2('Coordenadas dos Polos'!$B$8:$O$8,'Coordenadas dos Polos'!$P$2:$AC$2))</f>
        <v>387226.44191351382</v>
      </c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>
        <f>SQRT(SUMXMY2('Coordenadas dos Polos'!$B$8:$O$8,'Coordenadas dos Polos'!$AD$2:$AQ$2))</f>
        <v>308022.0325851232</v>
      </c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>
        <f>SQRT(SUMXMY2('Coordenadas dos Polos'!$B$8:$O$8,'Coordenadas dos Polos'!$AR$2:$BE$2))</f>
        <v>277668.31387093721</v>
      </c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>
        <f>SQRT(SUMXMY2('Coordenadas dos Polos'!$B$8:$O$8,'Coordenadas dos Polos'!$BF$2:$BS$2))</f>
        <v>280080.53232230246</v>
      </c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>
        <f>SQRT(SUMXMY2('Coordenadas dos Polos'!$B$8:$O$8,'Coordenadas dos Polos'!$BT$2:$CG$2))</f>
        <v>334059.62715720502</v>
      </c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>
        <f>SQRT(SUMXMY2('Coordenadas dos Polos'!$B$8:$O$8,'Coordenadas dos Polos'!$CH$2:$CU$2))</f>
        <v>0</v>
      </c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>
        <f>SQRT(SUMXMY2('Coordenadas dos Polos'!$B$8:$O$8,'Coordenadas dos Polos'!$CV$2:$DI$2))</f>
        <v>292780.23408612568</v>
      </c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>
        <f>SQRT(SUMXMY2('Coordenadas dos Polos'!$B$8:$O$8,'Coordenadas dos Polos'!$DJ$2:$DW$2))</f>
        <v>263951.43807074439</v>
      </c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>
        <f>SQRT(SUMXMY2('Coordenadas dos Polos'!$B$8:$O$8,'Coordenadas dos Polos'!$DX$2:$EK$2))</f>
        <v>291623.91608857916</v>
      </c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>
        <f>SQRT(SUMXMY2('Coordenadas dos Polos'!$B$8:$O$8,'Coordenadas dos Polos'!$EL$2:$EY$2))</f>
        <v>266363.20539964497</v>
      </c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>
        <f>SQRT(SUMXMY2('Coordenadas dos Polos'!$B$8:$O$8,'Coordenadas dos Polos'!$EZ$2:$FM$2))</f>
        <v>324222.76201024972</v>
      </c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>
        <f>SQRT(SUMXMY2('Coordenadas dos Polos'!$B$8:$O$8,'Coordenadas dos Polos'!$FN$2:$GA$2))</f>
        <v>285453.15542179975</v>
      </c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>
        <f>SQRT(SUMXMY2('Coordenadas dos Polos'!$B$8:$O$8,'Coordenadas dos Polos'!$GB$2:$GO$2))</f>
        <v>338894.45531103457</v>
      </c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>
        <f>SQRT(SUMXMY2('Coordenadas dos Polos'!$B$8:$O$8,'Coordenadas dos Polos'!$GP$2:$HC$2))</f>
        <v>228773.52257173404</v>
      </c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</row>
    <row r="9" spans="1:211" x14ac:dyDescent="0.25">
      <c r="A9" t="s">
        <v>27</v>
      </c>
      <c r="B9">
        <v>149201.3832384572</v>
      </c>
      <c r="C9">
        <v>17711.908956257819</v>
      </c>
      <c r="D9">
        <v>126914.2299322505</v>
      </c>
      <c r="E9">
        <v>142605.59311608886</v>
      </c>
      <c r="F9">
        <v>3136.4877291245461</v>
      </c>
      <c r="G9">
        <v>86228.875896365163</v>
      </c>
      <c r="H9">
        <v>80396.525875600331</v>
      </c>
      <c r="I9">
        <v>55059.104995023728</v>
      </c>
      <c r="J9">
        <v>197074.78296536685</v>
      </c>
      <c r="K9">
        <v>160517.47956849766</v>
      </c>
      <c r="L9">
        <v>139220.15671662474</v>
      </c>
      <c r="M9">
        <v>83519.844899684904</v>
      </c>
      <c r="N9">
        <v>146897.63996818018</v>
      </c>
      <c r="O9">
        <v>55433.684409667017</v>
      </c>
      <c r="P9" s="8">
        <f>SQRT(SUMXMY2('Coordenadas dos Polos'!$B$9:$O$9,'Coordenadas dos Polos'!$P$2:$AC$2))</f>
        <v>437690.14415150631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>
        <f>SQRT(SUMXMY2('Coordenadas dos Polos'!$B$9:$O$9,'Coordenadas dos Polos'!$AD$2:$AQ$2))</f>
        <v>294366.64043534297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>
        <f>SQRT(SUMXMY2('Coordenadas dos Polos'!$B$9:$O$9,'Coordenadas dos Polos'!$AR$2:$BE$2))</f>
        <v>250078.57245252497</v>
      </c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>
        <f>SQRT(SUMXMY2('Coordenadas dos Polos'!$B$9:$O$9,'Coordenadas dos Polos'!$BF$2:$BS$2))</f>
        <v>338460.95035006723</v>
      </c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>
        <f>SQRT(SUMXMY2('Coordenadas dos Polos'!$B$9:$O$9,'Coordenadas dos Polos'!$BT$2:$CG$2))</f>
        <v>288627.79602150974</v>
      </c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>
        <f>SQRT(SUMXMY2('Coordenadas dos Polos'!$B$9:$O$9,'Coordenadas dos Polos'!$CH$2:$CU$2))</f>
        <v>292780.23408612568</v>
      </c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>
        <f>SQRT(SUMXMY2('Coordenadas dos Polos'!$B$9:$O$9,'Coordenadas dos Polos'!$CV$2:$DI$2))</f>
        <v>0</v>
      </c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>
        <f>SQRT(SUMXMY2('Coordenadas dos Polos'!$B$9:$O$9,'Coordenadas dos Polos'!$DJ$2:$DW$2))</f>
        <v>334950.50725628727</v>
      </c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>
        <f>SQRT(SUMXMY2('Coordenadas dos Polos'!$B$9:$O$9,'Coordenadas dos Polos'!$DX$2:$EK$2))</f>
        <v>257902.52849333044</v>
      </c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>
        <f>SQRT(SUMXMY2('Coordenadas dos Polos'!$B$9:$O$9,'Coordenadas dos Polos'!$EL$2:$EY$2))</f>
        <v>247404.96602955699</v>
      </c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>
        <f>SQRT(SUMXMY2('Coordenadas dos Polos'!$B$9:$O$9,'Coordenadas dos Polos'!$EZ$2:$FM$2))</f>
        <v>335020.38758322067</v>
      </c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>
        <f>SQRT(SUMXMY2('Coordenadas dos Polos'!$B$9:$O$9,'Coordenadas dos Polos'!$FN$2:$GA$2))</f>
        <v>302495.45793207537</v>
      </c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>
        <f>SQRT(SUMXMY2('Coordenadas dos Polos'!$B$9:$O$9,'Coordenadas dos Polos'!$GB$2:$GO$2))</f>
        <v>249496.5720542713</v>
      </c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>
        <f>SQRT(SUMXMY2('Coordenadas dos Polos'!$B$9:$O$9,'Coordenadas dos Polos'!$GP$2:$HC$2))</f>
        <v>332940.86137887411</v>
      </c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</row>
    <row r="10" spans="1:211" x14ac:dyDescent="0.25">
      <c r="A10" t="s">
        <v>28</v>
      </c>
      <c r="B10">
        <v>71317.260644288544</v>
      </c>
      <c r="C10">
        <v>86691.431763177869</v>
      </c>
      <c r="D10">
        <v>188994.20543824814</v>
      </c>
      <c r="E10">
        <v>24309.999817822456</v>
      </c>
      <c r="F10">
        <v>129190.26896474409</v>
      </c>
      <c r="G10">
        <v>69566.541167045594</v>
      </c>
      <c r="H10">
        <v>20886.464130941869</v>
      </c>
      <c r="I10">
        <v>37080.509026850697</v>
      </c>
      <c r="J10">
        <v>15536.947476331234</v>
      </c>
      <c r="K10">
        <v>86551.909216268541</v>
      </c>
      <c r="L10">
        <v>191854.1792313199</v>
      </c>
      <c r="M10">
        <v>108405.85598157597</v>
      </c>
      <c r="N10">
        <v>98875.347844577307</v>
      </c>
      <c r="O10">
        <v>194593.33441426468</v>
      </c>
      <c r="P10" s="8">
        <f>SQRT(SUMXMY2('Coordenadas dos Polos'!$B$10:$O$10,'Coordenadas dos Polos'!$P$2:$AC$2))</f>
        <v>419747.02524422744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>
        <f>SQRT(SUMXMY2('Coordenadas dos Polos'!$B$10:$O$10,'Coordenadas dos Polos'!$AD$2:$AQ$2))</f>
        <v>228827.31444527523</v>
      </c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>
        <f>SQRT(SUMXMY2('Coordenadas dos Polos'!$B$10:$O$10,'Coordenadas dos Polos'!$AR$2:$BE$2))</f>
        <v>198125.19454399234</v>
      </c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>
        <f>SQRT(SUMXMY2('Coordenadas dos Polos'!$B$10:$O$10,'Coordenadas dos Polos'!$BF$2:$BS$2))</f>
        <v>224943.06803123903</v>
      </c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>
        <f>SQRT(SUMXMY2('Coordenadas dos Polos'!$B$10:$O$10,'Coordenadas dos Polos'!$BT$2:$CG$2))</f>
        <v>339082.28624752269</v>
      </c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>
        <f>SQRT(SUMXMY2('Coordenadas dos Polos'!$B$10:$O$10,'Coordenadas dos Polos'!$CH$2:$CU$2))</f>
        <v>263951.43807074439</v>
      </c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>
        <f>SQRT(SUMXMY2('Coordenadas dos Polos'!$B$10:$O$10,'Coordenadas dos Polos'!$CV$2:$DI$2))</f>
        <v>334950.50725628727</v>
      </c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>
        <f>SQRT(SUMXMY2('Coordenadas dos Polos'!$B$10:$O$10,'Coordenadas dos Polos'!$DJ$2:$DW$2))</f>
        <v>0</v>
      </c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>
        <f>SQRT(SUMXMY2('Coordenadas dos Polos'!$B$10:$O$10,'Coordenadas dos Polos'!$DX$2:$EK$2))</f>
        <v>323454.2154585378</v>
      </c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>
        <f>SQRT(SUMXMY2('Coordenadas dos Polos'!$B$10:$O$10,'Coordenadas dos Polos'!$EL$2:$EY$2))</f>
        <v>262347.21946379001</v>
      </c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>
        <f>SQRT(SUMXMY2('Coordenadas dos Polos'!$B$10:$O$10,'Coordenadas dos Polos'!$EZ$2:$FM$2))</f>
        <v>355915.7418679276</v>
      </c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>
        <f>SQRT(SUMXMY2('Coordenadas dos Polos'!$B$10:$O$10,'Coordenadas dos Polos'!$FN$2:$GA$2))</f>
        <v>298470.32084956591</v>
      </c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>
        <f>SQRT(SUMXMY2('Coordenadas dos Polos'!$B$10:$O$10,'Coordenadas dos Polos'!$GB$2:$GO$2))</f>
        <v>384655.68764068017</v>
      </c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>
        <f>SQRT(SUMXMY2('Coordenadas dos Polos'!$B$10:$O$10,'Coordenadas dos Polos'!$GP$2:$HC$2))</f>
        <v>304408.02362051274</v>
      </c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</row>
    <row r="11" spans="1:211" x14ac:dyDescent="0.25">
      <c r="A11" t="s">
        <v>29</v>
      </c>
      <c r="B11">
        <v>43559.974729128364</v>
      </c>
      <c r="C11">
        <v>75798.254212759974</v>
      </c>
      <c r="D11">
        <v>79168.860977197168</v>
      </c>
      <c r="E11">
        <v>56300.693537889478</v>
      </c>
      <c r="F11">
        <v>100674.23979380084</v>
      </c>
      <c r="G11">
        <v>27746.469712101938</v>
      </c>
      <c r="H11">
        <v>103451.17239909315</v>
      </c>
      <c r="I11">
        <v>193072.89151243592</v>
      </c>
      <c r="J11">
        <v>111500.20714945841</v>
      </c>
      <c r="K11">
        <v>181840.82580723858</v>
      </c>
      <c r="L11">
        <v>131451.28762735511</v>
      </c>
      <c r="M11">
        <v>88222.937286634449</v>
      </c>
      <c r="N11">
        <v>138598.9094499097</v>
      </c>
      <c r="O11">
        <v>12898.238036744118</v>
      </c>
      <c r="P11" s="8">
        <f>SQRT(SUMXMY2('Coordenadas dos Polos'!$B$11:$O$11,'Coordenadas dos Polos'!$P$2:$AC$2))</f>
        <v>407310.58306997269</v>
      </c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>
        <f>SQRT(SUMXMY2('Coordenadas dos Polos'!$B$11:$O$11,'Coordenadas dos Polos'!$AD$2:$AQ$2))</f>
        <v>250094.15712537238</v>
      </c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>
        <f>SQRT(SUMXMY2('Coordenadas dos Polos'!$B$11:$O$11,'Coordenadas dos Polos'!$AR$2:$BE$2))</f>
        <v>273416.83132307063</v>
      </c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>
        <f>SQRT(SUMXMY2('Coordenadas dos Polos'!$B$11:$O$11,'Coordenadas dos Polos'!$BF$2:$BS$2))</f>
        <v>297374.89327438199</v>
      </c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>
        <f>SQRT(SUMXMY2('Coordenadas dos Polos'!$B$11:$O$11,'Coordenadas dos Polos'!$BT$2:$CG$2))</f>
        <v>261697.79371220447</v>
      </c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>
        <f>SQRT(SUMXMY2('Coordenadas dos Polos'!$B$11:$O$11,'Coordenadas dos Polos'!$CH$2:$CU$2))</f>
        <v>291623.91608857916</v>
      </c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>
        <f>SQRT(SUMXMY2('Coordenadas dos Polos'!$B$11:$O$11,'Coordenadas dos Polos'!$CV$2:$DI$2))</f>
        <v>257902.52849333044</v>
      </c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>
        <f>SQRT(SUMXMY2('Coordenadas dos Polos'!$B$11:$O$11,'Coordenadas dos Polos'!$DJ$2:$DW$2))</f>
        <v>323454.2154585378</v>
      </c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>
        <f>SQRT(SUMXMY2('Coordenadas dos Polos'!$B$11:$O$11,'Coordenadas dos Polos'!$DX$2:$EK$2))</f>
        <v>0</v>
      </c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>
        <f>SQRT(SUMXMY2('Coordenadas dos Polos'!$B$11:$O$11,'Coordenadas dos Polos'!$EL$2:$EY$2))</f>
        <v>291592.6542886633</v>
      </c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>
        <f>SQRT(SUMXMY2('Coordenadas dos Polos'!$B$11:$O$11,'Coordenadas dos Polos'!$EZ$2:$FM$2))</f>
        <v>345414.20977113437</v>
      </c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>
        <f>SQRT(SUMXMY2('Coordenadas dos Polos'!$B$11:$O$11,'Coordenadas dos Polos'!$FN$2:$GA$2))</f>
        <v>285789.40775379457</v>
      </c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>
        <f>SQRT(SUMXMY2('Coordenadas dos Polos'!$B$11:$O$11,'Coordenadas dos Polos'!$GB$2:$GO$2))</f>
        <v>309726.57038912905</v>
      </c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>
        <f>SQRT(SUMXMY2('Coordenadas dos Polos'!$B$11:$O$11,'Coordenadas dos Polos'!$GP$2:$HC$2))</f>
        <v>335108.2605128666</v>
      </c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</row>
    <row r="12" spans="1:211" x14ac:dyDescent="0.25">
      <c r="A12" t="s">
        <v>30</v>
      </c>
      <c r="B12">
        <v>151218.52354626035</v>
      </c>
      <c r="C12">
        <v>140102.86570765305</v>
      </c>
      <c r="D12">
        <v>99414.197653650757</v>
      </c>
      <c r="E12">
        <v>31087.143025130274</v>
      </c>
      <c r="F12">
        <v>44747.513782273767</v>
      </c>
      <c r="G12">
        <v>65228.80139609718</v>
      </c>
      <c r="H12">
        <v>156897.72539886524</v>
      </c>
      <c r="I12">
        <v>10052.56935784626</v>
      </c>
      <c r="J12">
        <v>103603.18807904769</v>
      </c>
      <c r="K12">
        <v>151405.90862100982</v>
      </c>
      <c r="L12">
        <v>160133.97137842418</v>
      </c>
      <c r="M12">
        <v>65041.094456278799</v>
      </c>
      <c r="N12">
        <v>194545.80567242194</v>
      </c>
      <c r="O12">
        <v>160853.43517487144</v>
      </c>
      <c r="P12" s="8">
        <f>SQRT(SUMXMY2('Coordenadas dos Polos'!$B$12:$O$12,'Coordenadas dos Polos'!$P$2:$AC$2))</f>
        <v>459970.68985118053</v>
      </c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>
        <f>SQRT(SUMXMY2('Coordenadas dos Polos'!$B$12:$O$12,'Coordenadas dos Polos'!$AD$2:$AQ$2))</f>
        <v>274545.4565739152</v>
      </c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>
        <f>SQRT(SUMXMY2('Coordenadas dos Polos'!$B$12:$O$12,'Coordenadas dos Polos'!$AR$2:$BE$2))</f>
        <v>187917.37436535844</v>
      </c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>
        <f>SQRT(SUMXMY2('Coordenadas dos Polos'!$B$12:$O$12,'Coordenadas dos Polos'!$BF$2:$BS$2))</f>
        <v>300543.91239602916</v>
      </c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>
        <f>SQRT(SUMXMY2('Coordenadas dos Polos'!$B$12:$O$12,'Coordenadas dos Polos'!$BT$2:$CG$2))</f>
        <v>346754.47694505053</v>
      </c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>
        <f>SQRT(SUMXMY2('Coordenadas dos Polos'!$B$12:$O$12,'Coordenadas dos Polos'!$CH$2:$CU$2))</f>
        <v>266363.20539964497</v>
      </c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>
        <f>SQRT(SUMXMY2('Coordenadas dos Polos'!$B$12:$O$12,'Coordenadas dos Polos'!$CV$2:$DI$2))</f>
        <v>247404.96602955699</v>
      </c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>
        <f>SQRT(SUMXMY2('Coordenadas dos Polos'!$B$12:$O$12,'Coordenadas dos Polos'!$DJ$2:$DW$2))</f>
        <v>262347.21946379001</v>
      </c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>
        <f>SQRT(SUMXMY2('Coordenadas dos Polos'!$B$12:$O$12,'Coordenadas dos Polos'!$DX$2:$EK$2))</f>
        <v>291592.6542886633</v>
      </c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>
        <f>SQRT(SUMXMY2('Coordenadas dos Polos'!$B$12:$O$12,'Coordenadas dos Polos'!$EL$2:$EY$2))</f>
        <v>0</v>
      </c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>
        <f>SQRT(SUMXMY2('Coordenadas dos Polos'!$B$12:$O$12,'Coordenadas dos Polos'!$EZ$2:$FM$2))</f>
        <v>312654.94180708326</v>
      </c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>
        <f>SQRT(SUMXMY2('Coordenadas dos Polos'!$B$12:$O$12,'Coordenadas dos Polos'!$FN$2:$GA$2))</f>
        <v>300436.88714597654</v>
      </c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>
        <f>SQRT(SUMXMY2('Coordenadas dos Polos'!$B$12:$O$12,'Coordenadas dos Polos'!$GB$2:$GO$2))</f>
        <v>346607.63887016015</v>
      </c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>
        <f>SQRT(SUMXMY2('Coordenadas dos Polos'!$B$12:$O$12,'Coordenadas dos Polos'!$GP$2:$HC$2))</f>
        <v>275600.68090862076</v>
      </c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</row>
    <row r="13" spans="1:211" x14ac:dyDescent="0.25">
      <c r="A13" t="s">
        <v>31</v>
      </c>
      <c r="B13">
        <v>134965.21971488619</v>
      </c>
      <c r="C13">
        <v>181025.86345275212</v>
      </c>
      <c r="D13">
        <v>175155.93866542386</v>
      </c>
      <c r="E13">
        <v>83329.682248600002</v>
      </c>
      <c r="F13">
        <v>24616.570335497378</v>
      </c>
      <c r="G13">
        <v>190831.59006552791</v>
      </c>
      <c r="H13">
        <v>159459.46140326833</v>
      </c>
      <c r="I13">
        <v>139257.00430655098</v>
      </c>
      <c r="J13">
        <v>80320.923347191332</v>
      </c>
      <c r="K13">
        <v>3259.5474738054277</v>
      </c>
      <c r="L13">
        <v>33552.569848357678</v>
      </c>
      <c r="M13">
        <v>32846.838961517336</v>
      </c>
      <c r="N13">
        <v>101944.00941158914</v>
      </c>
      <c r="O13">
        <v>81212.549192721373</v>
      </c>
      <c r="P13" s="8">
        <f>SQRT(SUMXMY2('Coordenadas dos Polos'!$B$13:$O$13,'Coordenadas dos Polos'!$P$2:$AC$2))</f>
        <v>442839.40802277095</v>
      </c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>
        <f>SQRT(SUMXMY2('Coordenadas dos Polos'!$B$13:$O$13,'Coordenadas dos Polos'!$AD$2:$AQ$2))</f>
        <v>417315.46134484571</v>
      </c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>
        <f>SQRT(SUMXMY2('Coordenadas dos Polos'!$B$13:$O$13,'Coordenadas dos Polos'!$AR$2:$BE$2))</f>
        <v>254493.88065035551</v>
      </c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>
        <f>SQRT(SUMXMY2('Coordenadas dos Polos'!$B$13:$O$13,'Coordenadas dos Polos'!$BF$2:$BS$2))</f>
        <v>321267.30778452195</v>
      </c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>
        <f>SQRT(SUMXMY2('Coordenadas dos Polos'!$B$13:$O$13,'Coordenadas dos Polos'!$BT$2:$CG$2))</f>
        <v>310377.34384830302</v>
      </c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>
        <f>SQRT(SUMXMY2('Coordenadas dos Polos'!$B$13:$O$13,'Coordenadas dos Polos'!$CH$2:$CU$2))</f>
        <v>324222.76201024972</v>
      </c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>
        <f>SQRT(SUMXMY2('Coordenadas dos Polos'!$B$13:$O$13,'Coordenadas dos Polos'!$CV$2:$DI$2))</f>
        <v>335020.38758322067</v>
      </c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>
        <f>SQRT(SUMXMY2('Coordenadas dos Polos'!$B$13:$O$13,'Coordenadas dos Polos'!$DJ$2:$DW$2))</f>
        <v>355915.7418679276</v>
      </c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>
        <f>SQRT(SUMXMY2('Coordenadas dos Polos'!$B$13:$O$13,'Coordenadas dos Polos'!$DX$2:$EK$2))</f>
        <v>345414.20977113437</v>
      </c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>
        <f>SQRT(SUMXMY2('Coordenadas dos Polos'!$B$13:$O$13,'Coordenadas dos Polos'!$EL$2:$EY$2))</f>
        <v>312654.94180708326</v>
      </c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>
        <f>SQRT(SUMXMY2('Coordenadas dos Polos'!$B$13:$O$13,'Coordenadas dos Polos'!$EZ$2:$FM$2))</f>
        <v>0</v>
      </c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>
        <f>SQRT(SUMXMY2('Coordenadas dos Polos'!$B$13:$O$13,'Coordenadas dos Polos'!$FN$2:$GA$2))</f>
        <v>332174.96732059191</v>
      </c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>
        <f>SQRT(SUMXMY2('Coordenadas dos Polos'!$B$13:$O$13,'Coordenadas dos Polos'!$GB$2:$GO$2))</f>
        <v>254664.37738534046</v>
      </c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>
        <f>SQRT(SUMXMY2('Coordenadas dos Polos'!$B$13:$O$13,'Coordenadas dos Polos'!$GP$2:$HC$2))</f>
        <v>236503.6955720812</v>
      </c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</row>
    <row r="14" spans="1:211" x14ac:dyDescent="0.25">
      <c r="A14" t="s">
        <v>32</v>
      </c>
      <c r="B14">
        <v>21226.758955281734</v>
      </c>
      <c r="C14">
        <v>55224.662849729539</v>
      </c>
      <c r="D14">
        <v>128609.36211999941</v>
      </c>
      <c r="E14">
        <v>169819.99994834996</v>
      </c>
      <c r="F14">
        <v>99593.846045817845</v>
      </c>
      <c r="G14">
        <v>37555.033505855557</v>
      </c>
      <c r="H14">
        <v>179323.32836841821</v>
      </c>
      <c r="I14">
        <v>74562.8645527029</v>
      </c>
      <c r="J14">
        <v>64710.968183930876</v>
      </c>
      <c r="K14">
        <v>154166.55723800088</v>
      </c>
      <c r="L14">
        <v>43600.07673252916</v>
      </c>
      <c r="M14">
        <v>89398.650778729439</v>
      </c>
      <c r="N14">
        <v>47205.561550773142</v>
      </c>
      <c r="O14">
        <v>175676.91900270843</v>
      </c>
      <c r="P14" s="8">
        <f>SQRT(SUMXMY2('Coordenadas dos Polos'!$B$14:$O$14,'Coordenadas dos Polos'!$P$2:$AC$2))</f>
        <v>410930.64841516269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>
        <f>SQRT(SUMXMY2('Coordenadas dos Polos'!$B$14:$O$14,'Coordenadas dos Polos'!$AD$2:$AQ$2))</f>
        <v>286651.31652217387</v>
      </c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>
        <f>SQRT(SUMXMY2('Coordenadas dos Polos'!$B$14:$O$14,'Coordenadas dos Polos'!$AR$2:$BE$2))</f>
        <v>255521.7910803179</v>
      </c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>
        <f>SQRT(SUMXMY2('Coordenadas dos Polos'!$B$14:$O$14,'Coordenadas dos Polos'!$BF$2:$BS$2))</f>
        <v>184539.43528981728</v>
      </c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>
        <f>SQRT(SUMXMY2('Coordenadas dos Polos'!$B$14:$O$14,'Coordenadas dos Polos'!$BT$2:$CG$2))</f>
        <v>285217.60099816462</v>
      </c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>
        <f>SQRT(SUMXMY2('Coordenadas dos Polos'!$B$14:$O$14,'Coordenadas dos Polos'!$CH$2:$CU$2))</f>
        <v>285453.15542179975</v>
      </c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>
        <f>SQRT(SUMXMY2('Coordenadas dos Polos'!$B$14:$O$14,'Coordenadas dos Polos'!$CV$2:$DI$2))</f>
        <v>302495.45793207537</v>
      </c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>
        <f>SQRT(SUMXMY2('Coordenadas dos Polos'!$B$14:$O$14,'Coordenadas dos Polos'!$DJ$2:$DW$2))</f>
        <v>298470.32084956591</v>
      </c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>
        <f>SQRT(SUMXMY2('Coordenadas dos Polos'!$B$14:$O$14,'Coordenadas dos Polos'!$DX$2:$EK$2))</f>
        <v>285789.40775379457</v>
      </c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>
        <f>SQRT(SUMXMY2('Coordenadas dos Polos'!$B$14:$O$14,'Coordenadas dos Polos'!$EL$2:$EY$2))</f>
        <v>300436.88714597654</v>
      </c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>
        <f>SQRT(SUMXMY2('Coordenadas dos Polos'!$B$14:$O$14,'Coordenadas dos Polos'!$EZ$2:$FM$2))</f>
        <v>332174.96732059191</v>
      </c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>
        <f>SQRT(SUMXMY2('Coordenadas dos Polos'!$B$14:$O$14,'Coordenadas dos Polos'!$FN$2:$GA$2))</f>
        <v>0</v>
      </c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>
        <f>SQRT(SUMXMY2('Coordenadas dos Polos'!$B$14:$O$14,'Coordenadas dos Polos'!$GB$2:$GO$2))</f>
        <v>312865.94483334391</v>
      </c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>
        <f>SQRT(SUMXMY2('Coordenadas dos Polos'!$B$14:$O$14,'Coordenadas dos Polos'!$GP$2:$HC$2))</f>
        <v>252212.07857131833</v>
      </c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</row>
    <row r="15" spans="1:211" x14ac:dyDescent="0.25">
      <c r="A15" t="s">
        <v>33</v>
      </c>
      <c r="B15">
        <v>122086.56384270334</v>
      </c>
      <c r="C15">
        <v>74886.446235316282</v>
      </c>
      <c r="D15">
        <v>77900.378819684513</v>
      </c>
      <c r="E15">
        <v>172117.85427995873</v>
      </c>
      <c r="F15">
        <v>117187.58675899934</v>
      </c>
      <c r="G15">
        <v>186311.88924228764</v>
      </c>
      <c r="H15">
        <v>103438.4885311923</v>
      </c>
      <c r="I15">
        <v>66060.166948169703</v>
      </c>
      <c r="J15">
        <v>173690.73734616328</v>
      </c>
      <c r="K15">
        <v>51812.201705405234</v>
      </c>
      <c r="L15">
        <v>51908.272468011382</v>
      </c>
      <c r="M15">
        <v>35738.71315919685</v>
      </c>
      <c r="N15">
        <v>69391.43464862871</v>
      </c>
      <c r="O15">
        <v>501.13999136829375</v>
      </c>
      <c r="P15" s="8">
        <f>SQRT(SUMXMY2('Coordenadas dos Polos'!$B$15:$O$15,'Coordenadas dos Polos'!$P$2:$AC$2))</f>
        <v>401689.89782084007</v>
      </c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>
        <f>SQRT(SUMXMY2('Coordenadas dos Polos'!$B$15:$O$15,'Coordenadas dos Polos'!$AD$2:$AQ$2))</f>
        <v>357088.70917200105</v>
      </c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>
        <f>SQRT(SUMXMY2('Coordenadas dos Polos'!$B$15:$O$15,'Coordenadas dos Polos'!$AR$2:$BE$2))</f>
        <v>288305.44059632061</v>
      </c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>
        <f>SQRT(SUMXMY2('Coordenadas dos Polos'!$B$15:$O$15,'Coordenadas dos Polos'!$BF$2:$BS$2))</f>
        <v>297969.94551110832</v>
      </c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>
        <f>SQRT(SUMXMY2('Coordenadas dos Polos'!$B$15:$O$15,'Coordenadas dos Polos'!$BT$2:$CG$2))</f>
        <v>272105.44324755453</v>
      </c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>
        <f>SQRT(SUMXMY2('Coordenadas dos Polos'!$B$15:$O$15,'Coordenadas dos Polos'!$CH$2:$CU$2))</f>
        <v>338894.45531103457</v>
      </c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>
        <f>SQRT(SUMXMY2('Coordenadas dos Polos'!$B$15:$O$15,'Coordenadas dos Polos'!$CV$2:$DI$2))</f>
        <v>249496.5720542713</v>
      </c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>
        <f>SQRT(SUMXMY2('Coordenadas dos Polos'!$B$15:$O$15,'Coordenadas dos Polos'!$DJ$2:$DW$2))</f>
        <v>384655.68764068017</v>
      </c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>
        <f>SQRT(SUMXMY2('Coordenadas dos Polos'!$B$15:$O$15,'Coordenadas dos Polos'!$DX$2:$EK$2))</f>
        <v>309726.57038912905</v>
      </c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>
        <f>SQRT(SUMXMY2('Coordenadas dos Polos'!$B$15:$O$15,'Coordenadas dos Polos'!$EL$2:$EY$2))</f>
        <v>346607.63887016015</v>
      </c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>
        <f>SQRT(SUMXMY2('Coordenadas dos Polos'!$B$15:$O$15,'Coordenadas dos Polos'!$EZ$2:$FM$2))</f>
        <v>254664.37738534046</v>
      </c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>
        <f>SQRT(SUMXMY2('Coordenadas dos Polos'!$B$15:$O$15,'Coordenadas dos Polos'!$FN$2:$GA$2))</f>
        <v>312865.94483334391</v>
      </c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>
        <f>SQRT(SUMXMY2('Coordenadas dos Polos'!$B$15:$O$15,'Coordenadas dos Polos'!$GB$2:$GO$2))</f>
        <v>0</v>
      </c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>
        <f>SQRT(SUMXMY2('Coordenadas dos Polos'!$B$15:$O$15,'Coordenadas dos Polos'!$GP$2:$HC$2))</f>
        <v>279541.90522540134</v>
      </c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</row>
    <row r="16" spans="1:211" x14ac:dyDescent="0.25">
      <c r="A16" t="s">
        <v>34</v>
      </c>
      <c r="B16">
        <v>148468.41303004409</v>
      </c>
      <c r="C16">
        <v>168177.41521333312</v>
      </c>
      <c r="D16">
        <v>55717.891265516759</v>
      </c>
      <c r="E16">
        <v>140594.03180281352</v>
      </c>
      <c r="F16">
        <v>80972.926609380243</v>
      </c>
      <c r="G16">
        <v>162314.273434309</v>
      </c>
      <c r="H16">
        <v>148356.141725636</v>
      </c>
      <c r="I16">
        <v>87532.787053315158</v>
      </c>
      <c r="J16">
        <v>15596.122965297222</v>
      </c>
      <c r="K16">
        <v>82126.336044292446</v>
      </c>
      <c r="L16">
        <v>67875.044862482551</v>
      </c>
      <c r="M16">
        <v>142110.85074238491</v>
      </c>
      <c r="N16">
        <v>62457.626599259856</v>
      </c>
      <c r="O16">
        <v>159754.70703888894</v>
      </c>
      <c r="P16" s="8">
        <f>SQRT(SUMXMY2('Coordenadas dos Polos'!$B$16:$O$16,'Coordenadas dos Polos'!$P$2:$AC$2))</f>
        <v>443829.65304414794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>
        <f>SQRT(SUMXMY2('Coordenadas dos Polos'!$B$16:$O$16,'Coordenadas dos Polos'!$AD$2:$AQ$2))</f>
        <v>354288.17469597631</v>
      </c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>
        <f>SQRT(SUMXMY2('Coordenadas dos Polos'!$B$16:$O$16,'Coordenadas dos Polos'!$AR$2:$BE$2))</f>
        <v>235900.7490135078</v>
      </c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>
        <f>SQRT(SUMXMY2('Coordenadas dos Polos'!$B$16:$O$16,'Coordenadas dos Polos'!$BF$2:$BS$2))</f>
        <v>205616.41232202642</v>
      </c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>
        <f>SQRT(SUMXMY2('Coordenadas dos Polos'!$B$16:$O$16,'Coordenadas dos Polos'!$BT$2:$CG$2))</f>
        <v>309445.67815931933</v>
      </c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>
        <f>SQRT(SUMXMY2('Coordenadas dos Polos'!$B$16:$O$16,'Coordenadas dos Polos'!$CH$2:$CU$2))</f>
        <v>228773.52257173404</v>
      </c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>
        <f>SQRT(SUMXMY2('Coordenadas dos Polos'!$B$16:$O$16,'Coordenadas dos Polos'!$CV$2:$DI$2))</f>
        <v>332940.86137887411</v>
      </c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>
        <f>SQRT(SUMXMY2('Coordenadas dos Polos'!$B$16:$O$16,'Coordenadas dos Polos'!$DJ$2:$DW$2))</f>
        <v>304408.02362051274</v>
      </c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>
        <f>SQRT(SUMXMY2('Coordenadas dos Polos'!$B$16:$O$16,'Coordenadas dos Polos'!$DX$2:$EK$2))</f>
        <v>335108.2605128666</v>
      </c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>
        <f>SQRT(SUMXMY2('Coordenadas dos Polos'!$B$16:$O$16,'Coordenadas dos Polos'!$EL$2:$EY$2))</f>
        <v>275600.68090862076</v>
      </c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>
        <f>SQRT(SUMXMY2('Coordenadas dos Polos'!$B$16:$O$16,'Coordenadas dos Polos'!$EZ$2:$FM$2))</f>
        <v>236503.6955720812</v>
      </c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>
        <f>SQRT(SUMXMY2('Coordenadas dos Polos'!$B$16:$O$16,'Coordenadas dos Polos'!$FN$2:$GA$2))</f>
        <v>252212.07857131833</v>
      </c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>
        <f>SQRT(SUMXMY2('Coordenadas dos Polos'!$B$16:$O$16,'Coordenadas dos Polos'!$GB$2:$GO$2))</f>
        <v>279541.90522540134</v>
      </c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>
        <f>SQRT(SUMXMY2('Coordenadas dos Polos'!$B$16:$O$16,'Coordenadas dos Polos'!$GP$2:$HC$2))</f>
        <v>0</v>
      </c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</row>
  </sheetData>
  <mergeCells count="210">
    <mergeCell ref="GP1:HC1"/>
    <mergeCell ref="BT1:CG1"/>
    <mergeCell ref="CH1:CU1"/>
    <mergeCell ref="CV1:DI1"/>
    <mergeCell ref="DJ1:DW1"/>
    <mergeCell ref="DX1:EK1"/>
    <mergeCell ref="EL1:EY1"/>
    <mergeCell ref="EZ1:FM1"/>
    <mergeCell ref="FN1:GA1"/>
    <mergeCell ref="GB1:GO1"/>
    <mergeCell ref="P5:AC5"/>
    <mergeCell ref="P3:AC3"/>
    <mergeCell ref="AD3:AQ3"/>
    <mergeCell ref="AR3:BE3"/>
    <mergeCell ref="BF3:BS3"/>
    <mergeCell ref="P1:AC1"/>
    <mergeCell ref="AD1:AQ1"/>
    <mergeCell ref="AR1:BE1"/>
    <mergeCell ref="BF1:BS1"/>
    <mergeCell ref="EL8:EY8"/>
    <mergeCell ref="EZ8:FM8"/>
    <mergeCell ref="FN8:GA8"/>
    <mergeCell ref="GB8:GO8"/>
    <mergeCell ref="GP8:HC8"/>
    <mergeCell ref="P7:AC7"/>
    <mergeCell ref="AD7:AQ7"/>
    <mergeCell ref="AR7:BE7"/>
    <mergeCell ref="BF7:BS7"/>
    <mergeCell ref="BT7:CG7"/>
    <mergeCell ref="CH7:CU7"/>
    <mergeCell ref="CV7:DI7"/>
    <mergeCell ref="DJ7:DW7"/>
    <mergeCell ref="DX7:EK7"/>
    <mergeCell ref="EL7:EY7"/>
    <mergeCell ref="EZ7:FM7"/>
    <mergeCell ref="FN7:GA7"/>
    <mergeCell ref="GB7:GO7"/>
    <mergeCell ref="GP7:HC7"/>
    <mergeCell ref="P8:AC8"/>
    <mergeCell ref="AD8:AQ8"/>
    <mergeCell ref="AR8:BE8"/>
    <mergeCell ref="BF8:BS8"/>
    <mergeCell ref="BT8:CG8"/>
    <mergeCell ref="CH8:CU8"/>
    <mergeCell ref="CV8:DI8"/>
    <mergeCell ref="DJ8:DW8"/>
    <mergeCell ref="DX8:EK8"/>
    <mergeCell ref="EL10:EY10"/>
    <mergeCell ref="EZ10:FM10"/>
    <mergeCell ref="FN10:GA10"/>
    <mergeCell ref="GB10:GO10"/>
    <mergeCell ref="GP10:HC10"/>
    <mergeCell ref="P9:AC9"/>
    <mergeCell ref="AD9:AQ9"/>
    <mergeCell ref="AR9:BE9"/>
    <mergeCell ref="BF9:BS9"/>
    <mergeCell ref="BT9:CG9"/>
    <mergeCell ref="CH9:CU9"/>
    <mergeCell ref="CV9:DI9"/>
    <mergeCell ref="DJ9:DW9"/>
    <mergeCell ref="DX9:EK9"/>
    <mergeCell ref="EL9:EY9"/>
    <mergeCell ref="EZ9:FM9"/>
    <mergeCell ref="FN9:GA9"/>
    <mergeCell ref="GB9:GO9"/>
    <mergeCell ref="GP9:HC9"/>
    <mergeCell ref="P10:AC10"/>
    <mergeCell ref="AD10:AQ10"/>
    <mergeCell ref="AR10:BE10"/>
    <mergeCell ref="BF10:BS10"/>
    <mergeCell ref="BT10:CG10"/>
    <mergeCell ref="CH10:CU10"/>
    <mergeCell ref="CV10:DI10"/>
    <mergeCell ref="DJ10:DW10"/>
    <mergeCell ref="DX10:EK10"/>
    <mergeCell ref="EL12:EY12"/>
    <mergeCell ref="EZ12:FM12"/>
    <mergeCell ref="FN12:GA12"/>
    <mergeCell ref="GB12:GO12"/>
    <mergeCell ref="GP12:HC12"/>
    <mergeCell ref="P11:AC11"/>
    <mergeCell ref="AD11:AQ11"/>
    <mergeCell ref="AR11:BE11"/>
    <mergeCell ref="BF11:BS11"/>
    <mergeCell ref="BT11:CG11"/>
    <mergeCell ref="CH11:CU11"/>
    <mergeCell ref="CV11:DI11"/>
    <mergeCell ref="DJ11:DW11"/>
    <mergeCell ref="DX11:EK11"/>
    <mergeCell ref="EL11:EY11"/>
    <mergeCell ref="EZ11:FM11"/>
    <mergeCell ref="FN11:GA11"/>
    <mergeCell ref="GB11:GO11"/>
    <mergeCell ref="GP11:HC11"/>
    <mergeCell ref="P12:AC12"/>
    <mergeCell ref="AD12:AQ12"/>
    <mergeCell ref="AR12:BE12"/>
    <mergeCell ref="BF12:BS12"/>
    <mergeCell ref="BT12:CG12"/>
    <mergeCell ref="CH12:CU12"/>
    <mergeCell ref="CV12:DI12"/>
    <mergeCell ref="DJ12:DW12"/>
    <mergeCell ref="DX12:EK12"/>
    <mergeCell ref="DX14:EK14"/>
    <mergeCell ref="EL14:EY14"/>
    <mergeCell ref="EZ14:FM14"/>
    <mergeCell ref="FN14:GA14"/>
    <mergeCell ref="GB14:GO14"/>
    <mergeCell ref="GP14:HC14"/>
    <mergeCell ref="P13:AC13"/>
    <mergeCell ref="AD13:AQ13"/>
    <mergeCell ref="AR13:BE13"/>
    <mergeCell ref="BF13:BS13"/>
    <mergeCell ref="BT13:CG13"/>
    <mergeCell ref="CH13:CU13"/>
    <mergeCell ref="CV13:DI13"/>
    <mergeCell ref="DJ13:DW13"/>
    <mergeCell ref="DX13:EK13"/>
    <mergeCell ref="EL13:EY13"/>
    <mergeCell ref="EZ13:FM13"/>
    <mergeCell ref="FN13:GA13"/>
    <mergeCell ref="GB13:GO13"/>
    <mergeCell ref="GP13:HC13"/>
    <mergeCell ref="GP16:HC16"/>
    <mergeCell ref="P15:AC15"/>
    <mergeCell ref="AD15:AQ15"/>
    <mergeCell ref="AR15:BE15"/>
    <mergeCell ref="BF15:BS15"/>
    <mergeCell ref="BT15:CG15"/>
    <mergeCell ref="CH15:CU15"/>
    <mergeCell ref="CV15:DI15"/>
    <mergeCell ref="DJ15:DW15"/>
    <mergeCell ref="DX15:EK15"/>
    <mergeCell ref="EL15:EY15"/>
    <mergeCell ref="EZ15:FM15"/>
    <mergeCell ref="FN15:GA15"/>
    <mergeCell ref="GB15:GO15"/>
    <mergeCell ref="GP15:HC15"/>
    <mergeCell ref="EZ3:FM3"/>
    <mergeCell ref="FN3:GA3"/>
    <mergeCell ref="GB3:GO3"/>
    <mergeCell ref="P16:AC16"/>
    <mergeCell ref="AD16:AQ16"/>
    <mergeCell ref="AR16:BE16"/>
    <mergeCell ref="BF16:BS16"/>
    <mergeCell ref="BT16:CG16"/>
    <mergeCell ref="CH16:CU16"/>
    <mergeCell ref="CV16:DI16"/>
    <mergeCell ref="DJ16:DW16"/>
    <mergeCell ref="DX16:EK16"/>
    <mergeCell ref="EL16:EY16"/>
    <mergeCell ref="EZ16:FM16"/>
    <mergeCell ref="FN16:GA16"/>
    <mergeCell ref="GB16:GO16"/>
    <mergeCell ref="P14:AC14"/>
    <mergeCell ref="AD14:AQ14"/>
    <mergeCell ref="AR14:BE14"/>
    <mergeCell ref="BF14:BS14"/>
    <mergeCell ref="BT14:CG14"/>
    <mergeCell ref="CH14:CU14"/>
    <mergeCell ref="CV14:DI14"/>
    <mergeCell ref="DJ14:DW14"/>
    <mergeCell ref="DJ5:DW5"/>
    <mergeCell ref="DX5:EK5"/>
    <mergeCell ref="EL5:EY5"/>
    <mergeCell ref="GP3:HC3"/>
    <mergeCell ref="P4:AC4"/>
    <mergeCell ref="AD4:AQ4"/>
    <mergeCell ref="AR4:BE4"/>
    <mergeCell ref="BF4:BS4"/>
    <mergeCell ref="BT4:CG4"/>
    <mergeCell ref="CH4:CU4"/>
    <mergeCell ref="CV4:DI4"/>
    <mergeCell ref="DJ4:DW4"/>
    <mergeCell ref="DX4:EK4"/>
    <mergeCell ref="EL4:EY4"/>
    <mergeCell ref="EZ4:FM4"/>
    <mergeCell ref="FN4:GA4"/>
    <mergeCell ref="GB4:GO4"/>
    <mergeCell ref="GP4:HC4"/>
    <mergeCell ref="BT3:CG3"/>
    <mergeCell ref="CH3:CU3"/>
    <mergeCell ref="CV3:DI3"/>
    <mergeCell ref="DJ3:DW3"/>
    <mergeCell ref="DX3:EK3"/>
    <mergeCell ref="EL3:EY3"/>
    <mergeCell ref="EZ5:FM5"/>
    <mergeCell ref="FN5:GA5"/>
    <mergeCell ref="GB5:GO5"/>
    <mergeCell ref="GP5:HC5"/>
    <mergeCell ref="P6:AC6"/>
    <mergeCell ref="AD6:AQ6"/>
    <mergeCell ref="AR6:BE6"/>
    <mergeCell ref="BF6:BS6"/>
    <mergeCell ref="BT6:CG6"/>
    <mergeCell ref="CH6:CU6"/>
    <mergeCell ref="CV6:DI6"/>
    <mergeCell ref="DJ6:DW6"/>
    <mergeCell ref="DX6:EK6"/>
    <mergeCell ref="EL6:EY6"/>
    <mergeCell ref="EZ6:FM6"/>
    <mergeCell ref="FN6:GA6"/>
    <mergeCell ref="GB6:GO6"/>
    <mergeCell ref="GP6:HC6"/>
    <mergeCell ref="AD5:AQ5"/>
    <mergeCell ref="AR5:BE5"/>
    <mergeCell ref="BF5:BS5"/>
    <mergeCell ref="BT5:CG5"/>
    <mergeCell ref="CH5:CU5"/>
    <mergeCell ref="CV5:DI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5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2</v>
      </c>
      <c r="B1">
        <v>14</v>
      </c>
    </row>
    <row r="3" spans="1:2" x14ac:dyDescent="0.25">
      <c r="A3" t="s">
        <v>3</v>
      </c>
      <c r="B3">
        <f>MAX('Coordenadas dos Polos'!$P$3:$HC$16)</f>
        <v>459970.68985118053</v>
      </c>
    </row>
    <row r="5" spans="1:2" x14ac:dyDescent="0.25">
      <c r="A5" t="s">
        <v>4</v>
      </c>
      <c r="B5">
        <f>('Cálculos Diversos'!$B$3/SQRT(2*'Cálculos Diversos'!$B$1))^2</f>
        <v>7556179840.0775309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201"/>
  <sheetViews>
    <sheetView zoomScaleNormal="100" workbookViewId="0">
      <selection activeCell="B2" sqref="B2:P201"/>
    </sheetView>
  </sheetViews>
  <sheetFormatPr defaultRowHeight="15" x14ac:dyDescent="0.25"/>
  <cols>
    <col min="2" max="2" width="23.28515625" bestFit="1" customWidth="1"/>
    <col min="3" max="3" width="89.85546875" bestFit="1" customWidth="1"/>
  </cols>
  <sheetData>
    <row r="1" spans="1:16" x14ac:dyDescent="0.25">
      <c r="A1" t="s">
        <v>5</v>
      </c>
      <c r="B1" t="s">
        <v>6</v>
      </c>
    </row>
    <row r="2" spans="1:16" x14ac:dyDescent="0.25">
      <c r="A2">
        <v>1</v>
      </c>
      <c r="B2">
        <f>EXP(((-1)/(2*'Cálculos Diversos'!$B$5))*(SQRT(SUMXMY2('Tabela Entrada-Saída'!$B$2:$O$2,'Coordenadas dos Polos'!$P$2:$AC$2)))^2)</f>
        <v>3.6564547836699324E-2</v>
      </c>
      <c r="C2">
        <f>EXP(((-1)/(2*'Cálculos Diversos'!$B$5))*(SQRT(SUMXMY2('Tabela Entrada-Saída'!$B$2:$O$2,'Coordenadas dos Polos'!$AD$2:$AQ$2)))^2)</f>
        <v>5.25859691822275E-5</v>
      </c>
      <c r="D2">
        <f>EXP(((-1)/(2*'Cálculos Diversos'!$B$5))*(SQRT(SUMXMY2('Tabela Entrada-Saída'!$B$2:$O$2,'Coordenadas dos Polos'!$AR$2:$BE$2)))^2)</f>
        <v>2.5114914346807399E-5</v>
      </c>
      <c r="E2">
        <f>EXP(((-1)/(2*'Cálculos Diversos'!$B$5))*(SQRT(SUMXMY2('Tabela Entrada-Saída'!$B$2:$O$2,'Coordenadas dos Polos'!$BF$2:$BS$2)))^2)</f>
        <v>4.9888329332816451E-5</v>
      </c>
      <c r="F2">
        <f>EXP(((-1)/(2*'Cálculos Diversos'!$B$5))*(SQRT(SUMXMY2('Tabela Entrada-Saída'!$B$2:$O$2,'Coordenadas dos Polos'!$BT$2:$CG$2)))^2)</f>
        <v>1.0833969699870058E-6</v>
      </c>
      <c r="G2">
        <f>EXP(((-1)/(2*'Cálculos Diversos'!$B$5))*(SQRT(SUMXMY2('Tabela Entrada-Saída'!$B$2:$O$2,'Coordenadas dos Polos'!$CH$2:$CU$2)))^2)</f>
        <v>1.087194189802678E-4</v>
      </c>
      <c r="H2">
        <f>EXP(((-1)/(2*'Cálculos Diversos'!$B$5))*(SQRT(SUMXMY2('Tabela Entrada-Saída'!$B$2:$O$2,'Coordenadas dos Polos'!$CV$2:$DI$2)))^2)</f>
        <v>4.9088086341939537E-6</v>
      </c>
      <c r="I2">
        <f>EXP(((-1)/(2*'Cálculos Diversos'!$B$5))*(SQRT(SUMXMY2('Tabela Entrada-Saída'!$B$2:$O$2,'Coordenadas dos Polos'!$DJ$2:$DW$2)))^2)</f>
        <v>2.8514349087095555E-4</v>
      </c>
      <c r="J2">
        <f>EXP(((-1)/(2*'Cálculos Diversos'!$B$5))*(SQRT(SUMXMY2('Tabela Entrada-Saída'!$B$2:$O$2,'Coordenadas dos Polos'!$DX$2:$EK$2)))^2)</f>
        <v>8.0080710065154968E-5</v>
      </c>
      <c r="K2">
        <f>EXP(((-1)/(2*'Cálculos Diversos'!$B$5))*(SQRT(SUMXMY2('Tabela Entrada-Saída'!$B$2:$O$2,'Coordenadas dos Polos'!$EL$2:$EY$2)))^2)</f>
        <v>3.902660319989429E-6</v>
      </c>
      <c r="L2">
        <f>EXP(((-1)/(2*'Cálculos Diversos'!$B$5))*(SQRT(SUMXMY2('Tabela Entrada-Saída'!$B$2:$O$2,'Coordenadas dos Polos'!$EZ$2:$FM$2)))^2)</f>
        <v>2.9600514259009225E-7</v>
      </c>
      <c r="M2">
        <f>EXP(((-1)/(2*'Cálculos Diversos'!$B$5))*(SQRT(SUMXMY2('Tabela Entrada-Saída'!$B$2:$O$2,'Coordenadas dos Polos'!$FN$2:$GA$2)))^2)</f>
        <v>6.2358737204601357E-6</v>
      </c>
      <c r="N2">
        <f>EXP(((-1)/(2*'Cálculos Diversos'!$B$5))*(SQRT(SUMXMY2('Tabela Entrada-Saída'!$B$2:$O$2,'Coordenadas dos Polos'!$GB$2:$GO$2)))^2)</f>
        <v>1.624613878600414E-5</v>
      </c>
      <c r="O2">
        <f>EXP(((-1)/(2*'Cálculos Diversos'!$B$5))*(SQRT(SUMXMY2('Tabela Entrada-Saída'!$B$2:$O$2,'Coordenadas dos Polos'!$GP$2:$HC$2)))^2)</f>
        <v>1.4398641103629913E-6</v>
      </c>
      <c r="P2">
        <v>1</v>
      </c>
    </row>
    <row r="3" spans="1:16" x14ac:dyDescent="0.25">
      <c r="A3">
        <v>2</v>
      </c>
      <c r="B3">
        <f>EXP(((-1)/(2*'Cálculos Diversos'!$B$5))*(SQRT(SUMXMY2('Tabela Entrada-Saída'!$B$3:$O$3,'Coordenadas dos Polos'!$P$2:$AC$2)))^2)</f>
        <v>3.6565485828953845E-2</v>
      </c>
      <c r="C3">
        <f>EXP(((-1)/(2*'Cálculos Diversos'!$B$5))*(SQRT(SUMXMY2('Tabela Entrada-Saída'!$B$3:$O$3,'Coordenadas dos Polos'!$AD$2:$AQ$2)))^2)</f>
        <v>5.2450448592408758E-5</v>
      </c>
      <c r="D3">
        <f>EXP(((-1)/(2*'Cálculos Diversos'!$B$5))*(SQRT(SUMXMY2('Tabela Entrada-Saída'!$B$3:$O$3,'Coordenadas dos Polos'!$AR$2:$BE$2)))^2)</f>
        <v>2.5061572536082657E-5</v>
      </c>
      <c r="E3">
        <f>EXP(((-1)/(2*'Cálculos Diversos'!$B$5))*(SQRT(SUMXMY2('Tabela Entrada-Saída'!$B$3:$O$3,'Coordenadas dos Polos'!$BF$2:$BS$2)))^2)</f>
        <v>4.9894570890117915E-5</v>
      </c>
      <c r="F3">
        <f>EXP(((-1)/(2*'Cálculos Diversos'!$B$5))*(SQRT(SUMXMY2('Tabela Entrada-Saída'!$B$3:$O$3,'Coordenadas dos Polos'!$BT$2:$CG$2)))^2)</f>
        <v>1.0823097527096891E-6</v>
      </c>
      <c r="G3">
        <f>EXP(((-1)/(2*'Cálculos Diversos'!$B$5))*(SQRT(SUMXMY2('Tabela Entrada-Saída'!$B$3:$O$3,'Coordenadas dos Polos'!$CH$2:$CU$2)))^2)</f>
        <v>1.0868251164225753E-4</v>
      </c>
      <c r="H3">
        <f>EXP(((-1)/(2*'Cálculos Diversos'!$B$5))*(SQRT(SUMXMY2('Tabela Entrada-Saída'!$B$3:$O$3,'Coordenadas dos Polos'!$CV$2:$DI$2)))^2)</f>
        <v>4.8786351527634196E-6</v>
      </c>
      <c r="I3">
        <f>EXP(((-1)/(2*'Cálculos Diversos'!$B$5))*(SQRT(SUMXMY2('Tabela Entrada-Saída'!$B$3:$O$3,'Coordenadas dos Polos'!$DJ$2:$DW$2)))^2)</f>
        <v>2.8536017049941165E-4</v>
      </c>
      <c r="J3">
        <f>EXP(((-1)/(2*'Cálculos Diversos'!$B$5))*(SQRT(SUMXMY2('Tabela Entrada-Saída'!$B$3:$O$3,'Coordenadas dos Polos'!$DX$2:$EK$2)))^2)</f>
        <v>7.9775638136151249E-5</v>
      </c>
      <c r="K3">
        <f>EXP(((-1)/(2*'Cálculos Diversos'!$B$5))*(SQRT(SUMXMY2('Tabela Entrada-Saída'!$B$3:$O$3,'Coordenadas dos Polos'!$EL$2:$EY$2)))^2)</f>
        <v>3.8935712104435724E-6</v>
      </c>
      <c r="L3">
        <f>EXP(((-1)/(2*'Cálculos Diversos'!$B$5))*(SQRT(SUMXMY2('Tabela Entrada-Saída'!$B$3:$O$3,'Coordenadas dos Polos'!$EZ$2:$FM$2)))^2)</f>
        <v>2.9534094709953949E-7</v>
      </c>
      <c r="M3">
        <f>EXP(((-1)/(2*'Cálculos Diversos'!$B$5))*(SQRT(SUMXMY2('Tabela Entrada-Saída'!$B$3:$O$3,'Coordenadas dos Polos'!$FN$2:$GA$2)))^2)</f>
        <v>6.2294001313886778E-6</v>
      </c>
      <c r="N3">
        <f>EXP(((-1)/(2*'Cálculos Diversos'!$B$5))*(SQRT(SUMXMY2('Tabela Entrada-Saída'!$B$3:$O$3,'Coordenadas dos Polos'!$GB$2:$GO$2)))^2)</f>
        <v>1.615282307434221E-5</v>
      </c>
      <c r="O3">
        <f>EXP(((-1)/(2*'Cálculos Diversos'!$B$5))*(SQRT(SUMXMY2('Tabela Entrada-Saída'!$B$3:$O$3,'Coordenadas dos Polos'!$GP$2:$HC$2)))^2)</f>
        <v>1.4405439751473333E-6</v>
      </c>
      <c r="P3">
        <v>1</v>
      </c>
    </row>
    <row r="4" spans="1:16" x14ac:dyDescent="0.25">
      <c r="A4">
        <v>3</v>
      </c>
      <c r="B4">
        <f>EXP(((-1)/(2*'Cálculos Diversos'!$B$5))*(SQRT(SUMXMY2('Tabela Entrada-Saída'!$B$4:$O$4,'Coordenadas dos Polos'!$P$2:$AC$2)))^2)</f>
        <v>3.6566267372757262E-2</v>
      </c>
      <c r="C4">
        <f>EXP(((-1)/(2*'Cálculos Diversos'!$B$5))*(SQRT(SUMXMY2('Tabela Entrada-Saída'!$B$4:$O$4,'Coordenadas dos Polos'!$AD$2:$AQ$2)))^2)</f>
        <v>5.227802333272686E-5</v>
      </c>
      <c r="D4">
        <f>EXP(((-1)/(2*'Cálculos Diversos'!$B$5))*(SQRT(SUMXMY2('Tabela Entrada-Saída'!$B$4:$O$4,'Coordenadas dos Polos'!$AR$2:$BE$2)))^2)</f>
        <v>2.4999501322690997E-5</v>
      </c>
      <c r="E4">
        <f>EXP(((-1)/(2*'Cálculos Diversos'!$B$5))*(SQRT(SUMXMY2('Tabela Entrada-Saída'!$B$4:$O$4,'Coordenadas dos Polos'!$BF$2:$BS$2)))^2)</f>
        <v>4.982006794869806E-5</v>
      </c>
      <c r="F4">
        <f>EXP(((-1)/(2*'Cálculos Diversos'!$B$5))*(SQRT(SUMXMY2('Tabela Entrada-Saída'!$B$4:$O$4,'Coordenadas dos Polos'!$BT$2:$CG$2)))^2)</f>
        <v>1.0795393935784007E-6</v>
      </c>
      <c r="G4">
        <f>EXP(((-1)/(2*'Cálculos Diversos'!$B$5))*(SQRT(SUMXMY2('Tabela Entrada-Saída'!$B$4:$O$4,'Coordenadas dos Polos'!$CH$2:$CU$2)))^2)</f>
        <v>1.0844839887270432E-4</v>
      </c>
      <c r="H4">
        <f>EXP(((-1)/(2*'Cálculos Diversos'!$B$5))*(SQRT(SUMXMY2('Tabela Entrada-Saída'!$B$4:$O$4,'Coordenadas dos Polos'!$CV$2:$DI$2)))^2)</f>
        <v>4.854797312534322E-6</v>
      </c>
      <c r="I4">
        <f>EXP(((-1)/(2*'Cálculos Diversos'!$B$5))*(SQRT(SUMXMY2('Tabela Entrada-Saída'!$B$4:$O$4,'Coordenadas dos Polos'!$DJ$2:$DW$2)))^2)</f>
        <v>2.850361295185393E-4</v>
      </c>
      <c r="J4">
        <f>EXP(((-1)/(2*'Cálculos Diversos'!$B$5))*(SQRT(SUMXMY2('Tabela Entrada-Saída'!$B$4:$O$4,'Coordenadas dos Polos'!$DX$2:$EK$2)))^2)</f>
        <v>7.9436759186189191E-5</v>
      </c>
      <c r="K4">
        <f>EXP(((-1)/(2*'Cálculos Diversos'!$B$5))*(SQRT(SUMXMY2('Tabela Entrada-Saída'!$B$4:$O$4,'Coordenadas dos Polos'!$EL$2:$EY$2)))^2)</f>
        <v>3.8834466550327627E-6</v>
      </c>
      <c r="L4">
        <f>EXP(((-1)/(2*'Cálculos Diversos'!$B$5))*(SQRT(SUMXMY2('Tabela Entrada-Saída'!$B$4:$O$4,'Coordenadas dos Polos'!$EZ$2:$FM$2)))^2)</f>
        <v>2.943834623659559E-7</v>
      </c>
      <c r="M4">
        <f>EXP(((-1)/(2*'Cálculos Diversos'!$B$5))*(SQRT(SUMXMY2('Tabela Entrada-Saída'!$B$4:$O$4,'Coordenadas dos Polos'!$FN$2:$GA$2)))^2)</f>
        <v>6.2142556942168671E-6</v>
      </c>
      <c r="N4">
        <f>EXP(((-1)/(2*'Cálculos Diversos'!$B$5))*(SQRT(SUMXMY2('Tabela Entrada-Saída'!$B$4:$O$4,'Coordenadas dos Polos'!$GB$2:$GO$2)))^2)</f>
        <v>1.6083151010134293E-5</v>
      </c>
      <c r="O4">
        <f>EXP(((-1)/(2*'Cálculos Diversos'!$B$5))*(SQRT(SUMXMY2('Tabela Entrada-Saída'!$B$4:$O$4,'Coordenadas dos Polos'!$GP$2:$HC$2)))^2)</f>
        <v>1.438611008705931E-6</v>
      </c>
      <c r="P4">
        <v>1</v>
      </c>
    </row>
    <row r="5" spans="1:16" x14ac:dyDescent="0.25">
      <c r="A5">
        <v>4</v>
      </c>
      <c r="B5">
        <f>EXP(((-1)/(2*'Cálculos Diversos'!$B$5))*(SQRT(SUMXMY2('Tabela Entrada-Saída'!$B$5:$O$5,'Coordenadas dos Polos'!$P$2:$AC$2)))^2)</f>
        <v>3.656698510792266E-2</v>
      </c>
      <c r="C5">
        <f>EXP(((-1)/(2*'Cálculos Diversos'!$B$5))*(SQRT(SUMXMY2('Tabela Entrada-Saída'!$B$5:$O$5,'Coordenadas dos Polos'!$AD$2:$AQ$2)))^2)</f>
        <v>5.206090150324319E-5</v>
      </c>
      <c r="D5">
        <f>EXP(((-1)/(2*'Cálculos Diversos'!$B$5))*(SQRT(SUMXMY2('Tabela Entrada-Saída'!$B$5:$O$5,'Coordenadas dos Polos'!$AR$2:$BE$2)))^2)</f>
        <v>2.4926846127931468E-5</v>
      </c>
      <c r="E5">
        <f>EXP(((-1)/(2*'Cálculos Diversos'!$B$5))*(SQRT(SUMXMY2('Tabela Entrada-Saída'!$B$5:$O$5,'Coordenadas dos Polos'!$BF$2:$BS$2)))^2)</f>
        <v>4.967301370331112E-5</v>
      </c>
      <c r="F5">
        <f>EXP(((-1)/(2*'Cálculos Diversos'!$B$5))*(SQRT(SUMXMY2('Tabela Entrada-Saída'!$B$5:$O$5,'Coordenadas dos Polos'!$BT$2:$CG$2)))^2)</f>
        <v>1.0756473630227605E-6</v>
      </c>
      <c r="G5">
        <f>EXP(((-1)/(2*'Cálculos Diversos'!$B$5))*(SQRT(SUMXMY2('Tabela Entrada-Saída'!$B$5:$O$5,'Coordenadas dos Polos'!$CH$2:$CU$2)))^2)</f>
        <v>1.0803504616881644E-4</v>
      </c>
      <c r="H5">
        <f>EXP(((-1)/(2*'Cálculos Diversos'!$B$5))*(SQRT(SUMXMY2('Tabela Entrada-Saída'!$B$5:$O$5,'Coordenadas dos Polos'!$CV$2:$DI$2)))^2)</f>
        <v>4.8340053249535169E-6</v>
      </c>
      <c r="I5">
        <f>EXP(((-1)/(2*'Cálculos Diversos'!$B$5))*(SQRT(SUMXMY2('Tabela Entrada-Saída'!$B$5:$O$5,'Coordenadas dos Polos'!$DJ$2:$DW$2)))^2)</f>
        <v>2.8425113136645776E-4</v>
      </c>
      <c r="J5">
        <f>EXP(((-1)/(2*'Cálculos Diversos'!$B$5))*(SQRT(SUMXMY2('Tabela Entrada-Saída'!$B$5:$O$5,'Coordenadas dos Polos'!$DX$2:$EK$2)))^2)</f>
        <v>7.9088149297436446E-5</v>
      </c>
      <c r="K5">
        <f>EXP(((-1)/(2*'Cálculos Diversos'!$B$5))*(SQRT(SUMXMY2('Tabela Entrada-Saída'!$B$5:$O$5,'Coordenadas dos Polos'!$EL$2:$EY$2)))^2)</f>
        <v>3.8708061418480185E-6</v>
      </c>
      <c r="L5">
        <f>EXP(((-1)/(2*'Cálculos Diversos'!$B$5))*(SQRT(SUMXMY2('Tabela Entrada-Saída'!$B$5:$O$5,'Coordenadas dos Polos'!$EZ$2:$FM$2)))^2)</f>
        <v>2.9320691862744247E-7</v>
      </c>
      <c r="M5">
        <f>EXP(((-1)/(2*'Cálculos Diversos'!$B$5))*(SQRT(SUMXMY2('Tabela Entrada-Saída'!$B$5:$O$5,'Coordenadas dos Polos'!$FN$2:$GA$2)))^2)</f>
        <v>6.1911960256745478E-6</v>
      </c>
      <c r="N5">
        <f>EXP(((-1)/(2*'Cálculos Diversos'!$B$5))*(SQRT(SUMXMY2('Tabela Entrada-Saída'!$B$5:$O$5,'Coordenadas dos Polos'!$GB$2:$GO$2)))^2)</f>
        <v>1.602645524714829E-5</v>
      </c>
      <c r="O5">
        <f>EXP(((-1)/(2*'Cálculos Diversos'!$B$5))*(SQRT(SUMXMY2('Tabela Entrada-Saída'!$B$5:$O$5,'Coordenadas dos Polos'!$GP$2:$HC$2)))^2)</f>
        <v>1.4343926817080622E-6</v>
      </c>
      <c r="P5">
        <v>1</v>
      </c>
    </row>
    <row r="6" spans="1:16" x14ac:dyDescent="0.25">
      <c r="A6">
        <v>5</v>
      </c>
      <c r="B6">
        <f>EXP(((-1)/(2*'Cálculos Diversos'!$B$5))*(SQRT(SUMXMY2('Tabela Entrada-Saída'!$B$6:$O$6,'Coordenadas dos Polos'!$P$2:$AC$2)))^2)</f>
        <v>3.6566966560526756E-2</v>
      </c>
      <c r="C6">
        <f>EXP(((-1)/(2*'Cálculos Diversos'!$B$5))*(SQRT(SUMXMY2('Tabela Entrada-Saída'!$B$6:$O$6,'Coordenadas dos Polos'!$AD$2:$AQ$2)))^2)</f>
        <v>5.2149907064629819E-5</v>
      </c>
      <c r="D6">
        <f>EXP(((-1)/(2*'Cálculos Diversos'!$B$5))*(SQRT(SUMXMY2('Tabela Entrada-Saída'!$B$6:$O$6,'Coordenadas dos Polos'!$AR$2:$BE$2)))^2)</f>
        <v>2.4975967812228834E-5</v>
      </c>
      <c r="E6">
        <f>EXP(((-1)/(2*'Cálculos Diversos'!$B$5))*(SQRT(SUMXMY2('Tabela Entrada-Saída'!$B$6:$O$6,'Coordenadas dos Polos'!$BF$2:$BS$2)))^2)</f>
        <v>4.9696711801057583E-5</v>
      </c>
      <c r="F6">
        <f>EXP(((-1)/(2*'Cálculos Diversos'!$B$5))*(SQRT(SUMXMY2('Tabela Entrada-Saída'!$B$6:$O$6,'Coordenadas dos Polos'!$BT$2:$CG$2)))^2)</f>
        <v>1.0745420683555376E-6</v>
      </c>
      <c r="G6">
        <f>EXP(((-1)/(2*'Cálculos Diversos'!$B$5))*(SQRT(SUMXMY2('Tabela Entrada-Saída'!$B$6:$O$6,'Coordenadas dos Polos'!$CH$2:$CU$2)))^2)</f>
        <v>1.0799639249284359E-4</v>
      </c>
      <c r="H6">
        <f>EXP(((-1)/(2*'Cálculos Diversos'!$B$5))*(SQRT(SUMXMY2('Tabela Entrada-Saída'!$B$6:$O$6,'Coordenadas dos Polos'!$CV$2:$DI$2)))^2)</f>
        <v>4.8509308021101763E-6</v>
      </c>
      <c r="I6">
        <f>EXP(((-1)/(2*'Cálculos Diversos'!$B$5))*(SQRT(SUMXMY2('Tabela Entrada-Saída'!$B$6:$O$6,'Coordenadas dos Polos'!$DJ$2:$DW$2)))^2)</f>
        <v>2.8439849184770297E-4</v>
      </c>
      <c r="J6">
        <f>EXP(((-1)/(2*'Cálculos Diversos'!$B$5))*(SQRT(SUMXMY2('Tabela Entrada-Saída'!$B$6:$O$6,'Coordenadas dos Polos'!$DX$2:$EK$2)))^2)</f>
        <v>7.9088514591963048E-5</v>
      </c>
      <c r="K6">
        <f>EXP(((-1)/(2*'Cálculos Diversos'!$B$5))*(SQRT(SUMXMY2('Tabela Entrada-Saída'!$B$6:$O$6,'Coordenadas dos Polos'!$EL$2:$EY$2)))^2)</f>
        <v>3.8810301407406814E-6</v>
      </c>
      <c r="L6">
        <f>EXP(((-1)/(2*'Cálculos Diversos'!$B$5))*(SQRT(SUMXMY2('Tabela Entrada-Saída'!$B$6:$O$6,'Coordenadas dos Polos'!$EZ$2:$FM$2)))^2)</f>
        <v>2.9335128379500147E-7</v>
      </c>
      <c r="M6">
        <f>EXP(((-1)/(2*'Cálculos Diversos'!$B$5))*(SQRT(SUMXMY2('Tabela Entrada-Saída'!$B$6:$O$6,'Coordenadas dos Polos'!$FN$2:$GA$2)))^2)</f>
        <v>6.1964433879750938E-6</v>
      </c>
      <c r="N6">
        <f>EXP(((-1)/(2*'Cálculos Diversos'!$B$5))*(SQRT(SUMXMY2('Tabela Entrada-Saída'!$B$6:$O$6,'Coordenadas dos Polos'!$GB$2:$GO$2)))^2)</f>
        <v>1.6071982113622316E-5</v>
      </c>
      <c r="O6">
        <f>EXP(((-1)/(2*'Cálculos Diversos'!$B$5))*(SQRT(SUMXMY2('Tabela Entrada-Saída'!$B$6:$O$6,'Coordenadas dos Polos'!$GP$2:$HC$2)))^2)</f>
        <v>1.4340946522672987E-6</v>
      </c>
      <c r="P6">
        <v>1</v>
      </c>
    </row>
    <row r="7" spans="1:16" x14ac:dyDescent="0.25">
      <c r="A7">
        <v>6</v>
      </c>
      <c r="B7">
        <f>EXP(((-1)/(2*'Cálculos Diversos'!$B$5))*(SQRT(SUMXMY2('Tabela Entrada-Saída'!$B$7:$O$7,'Coordenadas dos Polos'!$P$2:$AC$2)))^2)</f>
        <v>3.6565967785274392E-2</v>
      </c>
      <c r="C7">
        <f>EXP(((-1)/(2*'Cálculos Diversos'!$B$5))*(SQRT(SUMXMY2('Tabela Entrada-Saída'!$B$7:$O$7,'Coordenadas dos Polos'!$AD$2:$AQ$2)))^2)</f>
        <v>5.2247948190502239E-5</v>
      </c>
      <c r="D7">
        <f>EXP(((-1)/(2*'Cálculos Diversos'!$B$5))*(SQRT(SUMXMY2('Tabela Entrada-Saída'!$B$7:$O$7,'Coordenadas dos Polos'!$AR$2:$BE$2)))^2)</f>
        <v>2.4988461756979345E-5</v>
      </c>
      <c r="E7">
        <f>EXP(((-1)/(2*'Cálculos Diversos'!$B$5))*(SQRT(SUMXMY2('Tabela Entrada-Saída'!$B$7:$O$7,'Coordenadas dos Polos'!$BF$2:$BS$2)))^2)</f>
        <v>4.9817874411302792E-5</v>
      </c>
      <c r="F7">
        <f>EXP(((-1)/(2*'Cálculos Diversos'!$B$5))*(SQRT(SUMXMY2('Tabela Entrada-Saída'!$B$7:$O$7,'Coordenadas dos Polos'!$BT$2:$CG$2)))^2)</f>
        <v>1.080813490359188E-6</v>
      </c>
      <c r="G7">
        <f>EXP(((-1)/(2*'Cálculos Diversos'!$B$5))*(SQRT(SUMXMY2('Tabela Entrada-Saída'!$B$7:$O$7,'Coordenadas dos Polos'!$CH$2:$CU$2)))^2)</f>
        <v>1.084788373025003E-4</v>
      </c>
      <c r="H7">
        <f>EXP(((-1)/(2*'Cálculos Diversos'!$B$5))*(SQRT(SUMXMY2('Tabela Entrada-Saída'!$B$7:$O$7,'Coordenadas dos Polos'!$CV$2:$DI$2)))^2)</f>
        <v>4.8501615341250477E-6</v>
      </c>
      <c r="I7">
        <f>EXP(((-1)/(2*'Cálculos Diversos'!$B$5))*(SQRT(SUMXMY2('Tabela Entrada-Saída'!$B$7:$O$7,'Coordenadas dos Polos'!$DJ$2:$DW$2)))^2)</f>
        <v>2.8489281653182693E-4</v>
      </c>
      <c r="J7">
        <f>EXP(((-1)/(2*'Cálculos Diversos'!$B$5))*(SQRT(SUMXMY2('Tabela Entrada-Saída'!$B$7:$O$7,'Coordenadas dos Polos'!$DX$2:$EK$2)))^2)</f>
        <v>7.9566860487573953E-5</v>
      </c>
      <c r="K7">
        <f>EXP(((-1)/(2*'Cálculos Diversos'!$B$5))*(SQRT(SUMXMY2('Tabela Entrada-Saída'!$B$7:$O$7,'Coordenadas dos Polos'!$EL$2:$EY$2)))^2)</f>
        <v>3.8797002336152311E-6</v>
      </c>
      <c r="L7">
        <f>EXP(((-1)/(2*'Cálculos Diversos'!$B$5))*(SQRT(SUMXMY2('Tabela Entrada-Saída'!$B$7:$O$7,'Coordenadas dos Polos'!$EZ$2:$FM$2)))^2)</f>
        <v>2.9466470272484588E-7</v>
      </c>
      <c r="M7">
        <f>EXP(((-1)/(2*'Cálculos Diversos'!$B$5))*(SQRT(SUMXMY2('Tabela Entrada-Saída'!$B$7:$O$7,'Coordenadas dos Polos'!$FN$2:$GA$2)))^2)</f>
        <v>6.2126099961060586E-6</v>
      </c>
      <c r="N7">
        <f>EXP(((-1)/(2*'Cálculos Diversos'!$B$5))*(SQRT(SUMXMY2('Tabela Entrada-Saída'!$B$7:$O$7,'Coordenadas dos Polos'!$GB$2:$GO$2)))^2)</f>
        <v>1.6078085074166327E-5</v>
      </c>
      <c r="O7">
        <f>EXP(((-1)/(2*'Cálculos Diversos'!$B$5))*(SQRT(SUMXMY2('Tabela Entrada-Saída'!$B$7:$O$7,'Coordenadas dos Polos'!$GP$2:$HC$2)))^2)</f>
        <v>1.4394201383348335E-6</v>
      </c>
      <c r="P7">
        <v>1</v>
      </c>
    </row>
    <row r="8" spans="1:16" x14ac:dyDescent="0.25">
      <c r="A8">
        <v>7</v>
      </c>
      <c r="B8">
        <f>EXP(((-1)/(2*'Cálculos Diversos'!$B$5))*(SQRT(SUMXMY2('Tabela Entrada-Saída'!$B$8:$O$8,'Coordenadas dos Polos'!$P$2:$AC$2)))^2)</f>
        <v>3.6566935452608793E-2</v>
      </c>
      <c r="C8">
        <f>EXP(((-1)/(2*'Cálculos Diversos'!$B$5))*(SQRT(SUMXMY2('Tabela Entrada-Saída'!$B$8:$O$8,'Coordenadas dos Polos'!$AD$2:$AQ$2)))^2)</f>
        <v>5.2018800985211543E-5</v>
      </c>
      <c r="D8">
        <f>EXP(((-1)/(2*'Cálculos Diversos'!$B$5))*(SQRT(SUMXMY2('Tabela Entrada-Saída'!$B$8:$O$8,'Coordenadas dos Polos'!$AR$2:$BE$2)))^2)</f>
        <v>2.4909300529075273E-5</v>
      </c>
      <c r="E8">
        <f>EXP(((-1)/(2*'Cálculos Diversos'!$B$5))*(SQRT(SUMXMY2('Tabela Entrada-Saída'!$B$8:$O$8,'Coordenadas dos Polos'!$BF$2:$BS$2)))^2)</f>
        <v>4.97102879907456E-5</v>
      </c>
      <c r="F8">
        <f>EXP(((-1)/(2*'Cálculos Diversos'!$B$5))*(SQRT(SUMXMY2('Tabela Entrada-Saída'!$B$8:$O$8,'Coordenadas dos Polos'!$BT$2:$CG$2)))^2)</f>
        <v>1.0762509673730734E-6</v>
      </c>
      <c r="G8">
        <f>EXP(((-1)/(2*'Cálculos Diversos'!$B$5))*(SQRT(SUMXMY2('Tabela Entrada-Saída'!$B$8:$O$8,'Coordenadas dos Polos'!$CH$2:$CU$2)))^2)</f>
        <v>1.0811254745954358E-4</v>
      </c>
      <c r="H8">
        <f>EXP(((-1)/(2*'Cálculos Diversos'!$B$5))*(SQRT(SUMXMY2('Tabela Entrada-Saída'!$B$8:$O$8,'Coordenadas dos Polos'!$CV$2:$DI$2)))^2)</f>
        <v>4.819905592929402E-6</v>
      </c>
      <c r="I8">
        <f>EXP(((-1)/(2*'Cálculos Diversos'!$B$5))*(SQRT(SUMXMY2('Tabela Entrada-Saída'!$B$8:$O$8,'Coordenadas dos Polos'!$DJ$2:$DW$2)))^2)</f>
        <v>2.8445448527715641E-4</v>
      </c>
      <c r="J8">
        <f>EXP(((-1)/(2*'Cálculos Diversos'!$B$5))*(SQRT(SUMXMY2('Tabela Entrada-Saída'!$B$8:$O$8,'Coordenadas dos Polos'!$DX$2:$EK$2)))^2)</f>
        <v>7.9049980103267556E-5</v>
      </c>
      <c r="K8">
        <f>EXP(((-1)/(2*'Cálculos Diversos'!$B$5))*(SQRT(SUMXMY2('Tabela Entrada-Saída'!$B$8:$O$8,'Coordenadas dos Polos'!$EL$2:$EY$2)))^2)</f>
        <v>3.8675690962375967E-6</v>
      </c>
      <c r="L8">
        <f>EXP(((-1)/(2*'Cálculos Diversos'!$B$5))*(SQRT(SUMXMY2('Tabela Entrada-Saída'!$B$8:$O$8,'Coordenadas dos Polos'!$EZ$2:$FM$2)))^2)</f>
        <v>2.9322848124096376E-7</v>
      </c>
      <c r="M8">
        <f>EXP(((-1)/(2*'Cálculos Diversos'!$B$5))*(SQRT(SUMXMY2('Tabela Entrada-Saída'!$B$8:$O$8,'Coordenadas dos Polos'!$FN$2:$GA$2)))^2)</f>
        <v>6.1915339734260587E-6</v>
      </c>
      <c r="N8">
        <f>EXP(((-1)/(2*'Cálculos Diversos'!$B$5))*(SQRT(SUMXMY2('Tabela Entrada-Saída'!$B$8:$O$8,'Coordenadas dos Polos'!$GB$2:$GO$2)))^2)</f>
        <v>1.5986793715648042E-5</v>
      </c>
      <c r="O8">
        <f>EXP(((-1)/(2*'Cálculos Diversos'!$B$5))*(SQRT(SUMXMY2('Tabela Entrada-Saída'!$B$8:$O$8,'Coordenadas dos Polos'!$GP$2:$HC$2)))^2)</f>
        <v>1.4362271020520196E-6</v>
      </c>
      <c r="P8">
        <v>1</v>
      </c>
    </row>
    <row r="9" spans="1:16" x14ac:dyDescent="0.25">
      <c r="A9">
        <v>8</v>
      </c>
      <c r="B9">
        <f>EXP(((-1)/(2*'Cálculos Diversos'!$B$5))*(SQRT(SUMXMY2('Tabela Entrada-Saída'!$B$9:$O$9,'Coordenadas dos Polos'!$P$2:$AC$2)))^2)</f>
        <v>3.6566366258565131E-2</v>
      </c>
      <c r="C9">
        <f>EXP(((-1)/(2*'Cálculos Diversos'!$B$5))*(SQRT(SUMXMY2('Tabela Entrada-Saída'!$B$9:$O$9,'Coordenadas dos Polos'!$AD$2:$AQ$2)))^2)</f>
        <v>5.2182978701047915E-5</v>
      </c>
      <c r="D9">
        <f>EXP(((-1)/(2*'Cálculos Diversos'!$B$5))*(SQRT(SUMXMY2('Tabela Entrada-Saída'!$B$9:$O$9,'Coordenadas dos Polos'!$AR$2:$BE$2)))^2)</f>
        <v>2.4978299587681459E-5</v>
      </c>
      <c r="E9">
        <f>EXP(((-1)/(2*'Cálculos Diversos'!$B$5))*(SQRT(SUMXMY2('Tabela Entrada-Saída'!$B$9:$O$9,'Coordenadas dos Polos'!$BF$2:$BS$2)))^2)</f>
        <v>4.9750593206652341E-5</v>
      </c>
      <c r="F9">
        <f>EXP(((-1)/(2*'Cálculos Diversos'!$B$5))*(SQRT(SUMXMY2('Tabela Entrada-Saída'!$B$9:$O$9,'Coordenadas dos Polos'!$BT$2:$CG$2)))^2)</f>
        <v>1.0787465155378746E-6</v>
      </c>
      <c r="G9">
        <f>EXP(((-1)/(2*'Cálculos Diversos'!$B$5))*(SQRT(SUMXMY2('Tabela Entrada-Saída'!$B$9:$O$9,'Coordenadas dos Polos'!$CH$2:$CU$2)))^2)</f>
        <v>1.0825820027202025E-4</v>
      </c>
      <c r="H9">
        <f>EXP(((-1)/(2*'Cálculos Diversos'!$B$5))*(SQRT(SUMXMY2('Tabela Entrada-Saída'!$B$9:$O$9,'Coordenadas dos Polos'!$CV$2:$DI$2)))^2)</f>
        <v>4.849271319122781E-6</v>
      </c>
      <c r="I9">
        <f>EXP(((-1)/(2*'Cálculos Diversos'!$B$5))*(SQRT(SUMXMY2('Tabela Entrada-Saída'!$B$9:$O$9,'Coordenadas dos Polos'!$DJ$2:$DW$2)))^2)</f>
        <v>2.8457443511536361E-4</v>
      </c>
      <c r="J9">
        <f>EXP(((-1)/(2*'Cálculos Diversos'!$B$5))*(SQRT(SUMXMY2('Tabela Entrada-Saída'!$B$9:$O$9,'Coordenadas dos Polos'!$DX$2:$EK$2)))^2)</f>
        <v>7.941332443507251E-5</v>
      </c>
      <c r="K9">
        <f>EXP(((-1)/(2*'Cálculos Diversos'!$B$5))*(SQRT(SUMXMY2('Tabela Entrada-Saída'!$B$9:$O$9,'Coordenadas dos Polos'!$EL$2:$EY$2)))^2)</f>
        <v>3.8777575318133708E-6</v>
      </c>
      <c r="L9">
        <f>EXP(((-1)/(2*'Cálculos Diversos'!$B$5))*(SQRT(SUMXMY2('Tabela Entrada-Saída'!$B$9:$O$9,'Coordenadas dos Polos'!$EZ$2:$FM$2)))^2)</f>
        <v>2.9422320991290346E-7</v>
      </c>
      <c r="M9">
        <f>EXP(((-1)/(2*'Cálculos Diversos'!$B$5))*(SQRT(SUMXMY2('Tabela Entrada-Saída'!$B$9:$O$9,'Coordenadas dos Polos'!$FN$2:$GA$2)))^2)</f>
        <v>6.2036869373424139E-6</v>
      </c>
      <c r="N9">
        <f>EXP(((-1)/(2*'Cálculos Diversos'!$B$5))*(SQRT(SUMXMY2('Tabela Entrada-Saída'!$B$9:$O$9,'Coordenadas dos Polos'!$GB$2:$GO$2)))^2)</f>
        <v>1.6076690547106879E-5</v>
      </c>
      <c r="O9">
        <f>EXP(((-1)/(2*'Cálculos Diversos'!$B$5))*(SQRT(SUMXMY2('Tabela Entrada-Saída'!$B$9:$O$9,'Coordenadas dos Polos'!$GP$2:$HC$2)))^2)</f>
        <v>1.4370476909366755E-6</v>
      </c>
      <c r="P9">
        <v>1</v>
      </c>
    </row>
    <row r="10" spans="1:16" x14ac:dyDescent="0.25">
      <c r="A10">
        <v>9</v>
      </c>
      <c r="B10">
        <f>EXP(((-1)/(2*'Cálculos Diversos'!$B$5))*(SQRT(SUMXMY2('Tabela Entrada-Saída'!$B$10:$O$10,'Coordenadas dos Polos'!$P$2:$AC$2)))^2)</f>
        <v>3.6565991934752233E-2</v>
      </c>
      <c r="C10">
        <f>EXP(((-1)/(2*'Cálculos Diversos'!$B$5))*(SQRT(SUMXMY2('Tabela Entrada-Saída'!$B$10:$O$10,'Coordenadas dos Polos'!$AD$2:$AQ$2)))^2)</f>
        <v>5.2379228035045939E-5</v>
      </c>
      <c r="D10">
        <f>EXP(((-1)/(2*'Cálculos Diversos'!$B$5))*(SQRT(SUMXMY2('Tabela Entrada-Saída'!$B$10:$O$10,'Coordenadas dos Polos'!$AR$2:$BE$2)))^2)</f>
        <v>2.5036047290088148E-5</v>
      </c>
      <c r="E10">
        <f>EXP(((-1)/(2*'Cálculos Diversos'!$B$5))*(SQRT(SUMXMY2('Tabela Entrada-Saída'!$B$10:$O$10,'Coordenadas dos Polos'!$BF$2:$BS$2)))^2)</f>
        <v>4.988848134379999E-5</v>
      </c>
      <c r="F10">
        <f>EXP(((-1)/(2*'Cálculos Diversos'!$B$5))*(SQRT(SUMXMY2('Tabela Entrada-Saída'!$B$10:$O$10,'Coordenadas dos Polos'!$BT$2:$CG$2)))^2)</f>
        <v>1.0802066576853493E-6</v>
      </c>
      <c r="G10">
        <f>EXP(((-1)/(2*'Cálculos Diversos'!$B$5))*(SQRT(SUMXMY2('Tabela Entrada-Saída'!$B$10:$O$10,'Coordenadas dos Polos'!$CH$2:$CU$2)))^2)</f>
        <v>1.085918505426513E-4</v>
      </c>
      <c r="H10">
        <f>EXP(((-1)/(2*'Cálculos Diversos'!$B$5))*(SQRT(SUMXMY2('Tabela Entrada-Saída'!$B$10:$O$10,'Coordenadas dos Polos'!$CV$2:$DI$2)))^2)</f>
        <v>4.8651768601188192E-6</v>
      </c>
      <c r="I10">
        <f>EXP(((-1)/(2*'Cálculos Diversos'!$B$5))*(SQRT(SUMXMY2('Tabela Entrada-Saída'!$B$10:$O$10,'Coordenadas dos Polos'!$DJ$2:$DW$2)))^2)</f>
        <v>2.8535319958976867E-4</v>
      </c>
      <c r="J10">
        <f>EXP(((-1)/(2*'Cálculos Diversos'!$B$5))*(SQRT(SUMXMY2('Tabela Entrada-Saída'!$B$10:$O$10,'Coordenadas dos Polos'!$DX$2:$EK$2)))^2)</f>
        <v>7.9539248943013595E-5</v>
      </c>
      <c r="K10">
        <f>EXP(((-1)/(2*'Cálculos Diversos'!$B$5))*(SQRT(SUMXMY2('Tabela Entrada-Saída'!$B$10:$O$10,'Coordenadas dos Polos'!$EL$2:$EY$2)))^2)</f>
        <v>3.8916423780802542E-6</v>
      </c>
      <c r="L10">
        <f>EXP(((-1)/(2*'Cálculos Diversos'!$B$5))*(SQRT(SUMXMY2('Tabela Entrada-Saída'!$B$10:$O$10,'Coordenadas dos Polos'!$EZ$2:$FM$2)))^2)</f>
        <v>2.9478339234377072E-7</v>
      </c>
      <c r="M10">
        <f>EXP(((-1)/(2*'Cálculos Diversos'!$B$5))*(SQRT(SUMXMY2('Tabela Entrada-Saída'!$B$10:$O$10,'Coordenadas dos Polos'!$FN$2:$GA$2)))^2)</f>
        <v>6.2238108778529029E-6</v>
      </c>
      <c r="N10">
        <f>EXP(((-1)/(2*'Cálculos Diversos'!$B$5))*(SQRT(SUMXMY2('Tabela Entrada-Saída'!$B$10:$O$10,'Coordenadas dos Polos'!$GB$2:$GO$2)))^2)</f>
        <v>1.6111206666744294E-5</v>
      </c>
      <c r="O10">
        <f>EXP(((-1)/(2*'Cálculos Diversos'!$B$5))*(SQRT(SUMXMY2('Tabela Entrada-Saída'!$B$10:$O$10,'Coordenadas dos Polos'!$GP$2:$HC$2)))^2)</f>
        <v>1.4404059774544287E-6</v>
      </c>
      <c r="P10">
        <v>1</v>
      </c>
    </row>
    <row r="11" spans="1:16" x14ac:dyDescent="0.25">
      <c r="A11">
        <v>10</v>
      </c>
      <c r="B11">
        <f>EXP(((-1)/(2*'Cálculos Diversos'!$B$5))*(SQRT(SUMXMY2('Tabela Entrada-Saída'!$B$11:$O$11,'Coordenadas dos Polos'!$P$2:$AC$2)))^2)</f>
        <v>0.26620919204488119</v>
      </c>
      <c r="C11">
        <f>EXP(((-1)/(2*'Cálculos Diversos'!$B$5))*(SQRT(SUMXMY2('Tabela Entrada-Saída'!$B$11:$O$11,'Coordenadas dos Polos'!$AD$2:$AQ$2)))^2)</f>
        <v>9.0818615386886519E-5</v>
      </c>
      <c r="D11">
        <f>EXP(((-1)/(2*'Cálculos Diversos'!$B$5))*(SQRT(SUMXMY2('Tabela Entrada-Saída'!$B$11:$O$11,'Coordenadas dos Polos'!$AR$2:$BE$2)))^2)</f>
        <v>2.0918266607432754E-5</v>
      </c>
      <c r="E11">
        <f>EXP(((-1)/(2*'Cálculos Diversos'!$B$5))*(SQRT(SUMXMY2('Tabela Entrada-Saída'!$B$11:$O$11,'Coordenadas dos Polos'!$BF$2:$BS$2)))^2)</f>
        <v>2.0032480676131079E-4</v>
      </c>
      <c r="F11">
        <f>EXP(((-1)/(2*'Cálculos Diversos'!$B$5))*(SQRT(SUMXMY2('Tabela Entrada-Saída'!$B$11:$O$11,'Coordenadas dos Polos'!$BT$2:$CG$2)))^2)</f>
        <v>6.5638289375312082E-6</v>
      </c>
      <c r="G11">
        <f>EXP(((-1)/(2*'Cálculos Diversos'!$B$5))*(SQRT(SUMXMY2('Tabela Entrada-Saída'!$B$11:$O$11,'Coordenadas dos Polos'!$CH$2:$CU$2)))^2)</f>
        <v>1.0907329866702463E-4</v>
      </c>
      <c r="H11">
        <f>EXP(((-1)/(2*'Cálculos Diversos'!$B$5))*(SQRT(SUMXMY2('Tabela Entrada-Saída'!$B$11:$O$11,'Coordenadas dos Polos'!$CV$2:$DI$2)))^2)</f>
        <v>5.5184541180464898E-6</v>
      </c>
      <c r="I11">
        <f>EXP(((-1)/(2*'Cálculos Diversos'!$B$5))*(SQRT(SUMXMY2('Tabela Entrada-Saída'!$B$11:$O$11,'Coordenadas dos Polos'!$DJ$2:$DW$2)))^2)</f>
        <v>1.6343864356982589E-4</v>
      </c>
      <c r="J11">
        <f>EXP(((-1)/(2*'Cálculos Diversos'!$B$5))*(SQRT(SUMXMY2('Tabela Entrada-Saída'!$B$11:$O$11,'Coordenadas dos Polos'!$DX$2:$EK$2)))^2)</f>
        <v>1.0049886417871002E-4</v>
      </c>
      <c r="K11">
        <f>EXP(((-1)/(2*'Cálculos Diversos'!$B$5))*(SQRT(SUMXMY2('Tabela Entrada-Saída'!$B$11:$O$11,'Coordenadas dos Polos'!$EL$2:$EY$2)))^2)</f>
        <v>3.3729179335185354E-6</v>
      </c>
      <c r="L11">
        <f>EXP(((-1)/(2*'Cálculos Diversos'!$B$5))*(SQRT(SUMXMY2('Tabela Entrada-Saída'!$B$11:$O$11,'Coordenadas dos Polos'!$EZ$2:$FM$2)))^2)</f>
        <v>1.3636157142058116E-6</v>
      </c>
      <c r="M11">
        <f>EXP(((-1)/(2*'Cálculos Diversos'!$B$5))*(SQRT(SUMXMY2('Tabela Entrada-Saída'!$B$11:$O$11,'Coordenadas dos Polos'!$FN$2:$GA$2)))^2)</f>
        <v>2.5264992765592692E-5</v>
      </c>
      <c r="N11">
        <f>EXP(((-1)/(2*'Cálculos Diversos'!$B$5))*(SQRT(SUMXMY2('Tabela Entrada-Saída'!$B$11:$O$11,'Coordenadas dos Polos'!$GB$2:$GO$2)))^2)</f>
        <v>5.8150098291269455E-5</v>
      </c>
      <c r="O11">
        <f>EXP(((-1)/(2*'Cálculos Diversos'!$B$5))*(SQRT(SUMXMY2('Tabela Entrada-Saída'!$B$11:$O$11,'Coordenadas dos Polos'!$GP$2:$HC$2)))^2)</f>
        <v>4.2577654073582336E-6</v>
      </c>
      <c r="P11">
        <v>1</v>
      </c>
    </row>
    <row r="12" spans="1:16" x14ac:dyDescent="0.25">
      <c r="A12">
        <v>11</v>
      </c>
      <c r="B12">
        <f>EXP(((-1)/(2*'Cálculos Diversos'!$B$5))*(SQRT(SUMXMY2('Tabela Entrada-Saída'!$B$12:$O$12,'Coordenadas dos Polos'!$P$2:$AC$2)))^2)</f>
        <v>4.4334233458823688E-2</v>
      </c>
      <c r="C12">
        <f>EXP(((-1)/(2*'Cálculos Diversos'!$B$5))*(SQRT(SUMXMY2('Tabela Entrada-Saída'!$B$12:$O$12,'Coordenadas dos Polos'!$AD$2:$AQ$2)))^2)</f>
        <v>5.7090295584237415E-5</v>
      </c>
      <c r="D12">
        <f>EXP(((-1)/(2*'Cálculos Diversos'!$B$5))*(SQRT(SUMXMY2('Tabela Entrada-Saída'!$B$12:$O$12,'Coordenadas dos Polos'!$AR$2:$BE$2)))^2)</f>
        <v>2.5852272684882713E-5</v>
      </c>
      <c r="E12">
        <f>EXP(((-1)/(2*'Cálculos Diversos'!$B$5))*(SQRT(SUMXMY2('Tabela Entrada-Saída'!$B$12:$O$12,'Coordenadas dos Polos'!$BF$2:$BS$2)))^2)</f>
        <v>5.7790564576862814E-5</v>
      </c>
      <c r="F12">
        <f>EXP(((-1)/(2*'Cálculos Diversos'!$B$5))*(SQRT(SUMXMY2('Tabela Entrada-Saída'!$B$12:$O$12,'Coordenadas dos Polos'!$BT$2:$CG$2)))^2)</f>
        <v>1.2889066614193016E-6</v>
      </c>
      <c r="G12">
        <f>EXP(((-1)/(2*'Cálculos Diversos'!$B$5))*(SQRT(SUMXMY2('Tabela Entrada-Saída'!$B$12:$O$12,'Coordenadas dos Polos'!$CH$2:$CU$2)))^2)</f>
        <v>1.1345239609337549E-4</v>
      </c>
      <c r="H12">
        <f>EXP(((-1)/(2*'Cálculos Diversos'!$B$5))*(SQRT(SUMXMY2('Tabela Entrada-Saída'!$B$12:$O$12,'Coordenadas dos Polos'!$CV$2:$DI$2)))^2)</f>
        <v>5.1492863548773976E-6</v>
      </c>
      <c r="I12">
        <f>EXP(((-1)/(2*'Cálculos Diversos'!$B$5))*(SQRT(SUMXMY2('Tabela Entrada-Saída'!$B$12:$O$12,'Coordenadas dos Polos'!$DJ$2:$DW$2)))^2)</f>
        <v>2.8611650192393432E-4</v>
      </c>
      <c r="J12">
        <f>EXP(((-1)/(2*'Cálculos Diversos'!$B$5))*(SQRT(SUMXMY2('Tabela Entrada-Saída'!$B$12:$O$12,'Coordenadas dos Polos'!$DX$2:$EK$2)))^2)</f>
        <v>8.4548698194317375E-5</v>
      </c>
      <c r="K12">
        <f>EXP(((-1)/(2*'Cálculos Diversos'!$B$5))*(SQRT(SUMXMY2('Tabela Entrada-Saída'!$B$12:$O$12,'Coordenadas dos Polos'!$EL$2:$EY$2)))^2)</f>
        <v>4.0319965316549876E-6</v>
      </c>
      <c r="L12">
        <f>EXP(((-1)/(2*'Cálculos Diversos'!$B$5))*(SQRT(SUMXMY2('Tabela Entrada-Saída'!$B$12:$O$12,'Coordenadas dos Polos'!$EZ$2:$FM$2)))^2)</f>
        <v>3.4494600612035983E-7</v>
      </c>
      <c r="M12">
        <f>EXP(((-1)/(2*'Cálculos Diversos'!$B$5))*(SQRT(SUMXMY2('Tabela Entrada-Saída'!$B$12:$O$12,'Coordenadas dos Polos'!$FN$2:$GA$2)))^2)</f>
        <v>7.2183784393183722E-6</v>
      </c>
      <c r="N12">
        <f>EXP(((-1)/(2*'Cálculos Diversos'!$B$5))*(SQRT(SUMXMY2('Tabela Entrada-Saída'!$B$12:$O$12,'Coordenadas dos Polos'!$GB$2:$GO$2)))^2)</f>
        <v>1.8571882925097301E-5</v>
      </c>
      <c r="O12">
        <f>EXP(((-1)/(2*'Cálculos Diversos'!$B$5))*(SQRT(SUMXMY2('Tabela Entrada-Saída'!$B$12:$O$12,'Coordenadas dos Polos'!$GP$2:$HC$2)))^2)</f>
        <v>1.6298771288518152E-6</v>
      </c>
      <c r="P12">
        <v>1</v>
      </c>
    </row>
    <row r="13" spans="1:16" x14ac:dyDescent="0.25">
      <c r="A13">
        <v>12</v>
      </c>
      <c r="B13">
        <f>EXP(((-1)/(2*'Cálculos Diversos'!$B$5))*(SQRT(SUMXMY2('Tabela Entrada-Saída'!$B$13:$O$13,'Coordenadas dos Polos'!$P$2:$AC$2)))^2)</f>
        <v>0.14803189754820295</v>
      </c>
      <c r="C13">
        <f>EXP(((-1)/(2*'Cálculos Diversos'!$B$5))*(SQRT(SUMXMY2('Tabela Entrada-Saída'!$B$13:$O$13,'Coordenadas dos Polos'!$AD$2:$AQ$2)))^2)</f>
        <v>8.6596379957871422E-5</v>
      </c>
      <c r="D13">
        <f>EXP(((-1)/(2*'Cálculos Diversos'!$B$5))*(SQRT(SUMXMY2('Tabela Entrada-Saída'!$B$13:$O$13,'Coordenadas dos Polos'!$AR$2:$BE$2)))^2)</f>
        <v>2.6214105553704534E-5</v>
      </c>
      <c r="E13">
        <f>EXP(((-1)/(2*'Cálculos Diversos'!$B$5))*(SQRT(SUMXMY2('Tabela Entrada-Saída'!$B$13:$O$13,'Coordenadas dos Polos'!$BF$2:$BS$2)))^2)</f>
        <v>1.3906520175477661E-4</v>
      </c>
      <c r="F13">
        <f>EXP(((-1)/(2*'Cálculos Diversos'!$B$5))*(SQRT(SUMXMY2('Tabela Entrada-Saída'!$B$13:$O$13,'Coordenadas dos Polos'!$BT$2:$CG$2)))^2)</f>
        <v>3.9065936767876868E-6</v>
      </c>
      <c r="G13">
        <f>EXP(((-1)/(2*'Cálculos Diversos'!$B$5))*(SQRT(SUMXMY2('Tabela Entrada-Saída'!$B$13:$O$13,'Coordenadas dos Polos'!$CH$2:$CU$2)))^2)</f>
        <v>1.2702999750548817E-4</v>
      </c>
      <c r="H13">
        <f>EXP(((-1)/(2*'Cálculos Diversos'!$B$5))*(SQRT(SUMXMY2('Tabela Entrada-Saída'!$B$13:$O$13,'Coordenadas dos Polos'!$CV$2:$DI$2)))^2)</f>
        <v>6.2000189566906754E-6</v>
      </c>
      <c r="I13">
        <f>EXP(((-1)/(2*'Cálculos Diversos'!$B$5))*(SQRT(SUMXMY2('Tabela Entrada-Saída'!$B$13:$O$13,'Coordenadas dos Polos'!$DJ$2:$DW$2)))^2)</f>
        <v>2.3488844330798173E-4</v>
      </c>
      <c r="J13">
        <f>EXP(((-1)/(2*'Cálculos Diversos'!$B$5))*(SQRT(SUMXMY2('Tabela Entrada-Saída'!$B$13:$O$13,'Coordenadas dos Polos'!$DX$2:$EK$2)))^2)</f>
        <v>1.0787177644644941E-4</v>
      </c>
      <c r="K13">
        <f>EXP(((-1)/(2*'Cálculos Diversos'!$B$5))*(SQRT(SUMXMY2('Tabela Entrada-Saída'!$B$13:$O$13,'Coordenadas dos Polos'!$EL$2:$EY$2)))^2)</f>
        <v>4.1685850133552676E-6</v>
      </c>
      <c r="L13">
        <f>EXP(((-1)/(2*'Cálculos Diversos'!$B$5))*(SQRT(SUMXMY2('Tabela Entrada-Saída'!$B$13:$O$13,'Coordenadas dos Polos'!$EZ$2:$FM$2)))^2)</f>
        <v>9.0053588515865016E-7</v>
      </c>
      <c r="M13">
        <f>EXP(((-1)/(2*'Cálculos Diversos'!$B$5))*(SQRT(SUMXMY2('Tabela Entrada-Saída'!$B$13:$O$13,'Coordenadas dos Polos'!$FN$2:$GA$2)))^2)</f>
        <v>1.7496483937070843E-5</v>
      </c>
      <c r="N13">
        <f>EXP(((-1)/(2*'Cálculos Diversos'!$B$5))*(SQRT(SUMXMY2('Tabela Entrada-Saída'!$B$13:$O$13,'Coordenadas dos Polos'!$GB$2:$GO$2)))^2)</f>
        <v>4.2355105033823155E-5</v>
      </c>
      <c r="O13">
        <f>EXP(((-1)/(2*'Cálculos Diversos'!$B$5))*(SQRT(SUMXMY2('Tabela Entrada-Saída'!$B$13:$O$13,'Coordenadas dos Polos'!$GP$2:$HC$2)))^2)</f>
        <v>3.3106586252895125E-6</v>
      </c>
      <c r="P13">
        <v>1</v>
      </c>
    </row>
    <row r="14" spans="1:16" x14ac:dyDescent="0.25">
      <c r="A14">
        <v>13</v>
      </c>
      <c r="B14">
        <f>EXP(((-1)/(2*'Cálculos Diversos'!$B$5))*(SQRT(SUMXMY2('Tabela Entrada-Saída'!$B$14:$O$14,'Coordenadas dos Polos'!$P$2:$AC$2)))^2)</f>
        <v>5.2951150792962164E-2</v>
      </c>
      <c r="C14">
        <f>EXP(((-1)/(2*'Cálculos Diversos'!$B$5))*(SQRT(SUMXMY2('Tabela Entrada-Saída'!$B$14:$O$14,'Coordenadas dos Polos'!$AD$2:$AQ$2)))^2)</f>
        <v>6.1527236287943959E-5</v>
      </c>
      <c r="D14">
        <f>EXP(((-1)/(2*'Cálculos Diversos'!$B$5))*(SQRT(SUMXMY2('Tabela Entrada-Saída'!$B$14:$O$14,'Coordenadas dos Polos'!$AR$2:$BE$2)))^2)</f>
        <v>2.6442951466129963E-5</v>
      </c>
      <c r="E14">
        <f>EXP(((-1)/(2*'Cálculos Diversos'!$B$5))*(SQRT(SUMXMY2('Tabela Entrada-Saída'!$B$14:$O$14,'Coordenadas dos Polos'!$BF$2:$BS$2)))^2)</f>
        <v>6.6174838484939148E-5</v>
      </c>
      <c r="F14">
        <f>EXP(((-1)/(2*'Cálculos Diversos'!$B$5))*(SQRT(SUMXMY2('Tabela Entrada-Saída'!$B$14:$O$14,'Coordenadas dos Polos'!$BT$2:$CG$2)))^2)</f>
        <v>1.5216314171081249E-6</v>
      </c>
      <c r="G14">
        <f>EXP(((-1)/(2*'Cálculos Diversos'!$B$5))*(SQRT(SUMXMY2('Tabela Entrada-Saída'!$B$14:$O$14,'Coordenadas dos Polos'!$CH$2:$CU$2)))^2)</f>
        <v>1.1783844965017328E-4</v>
      </c>
      <c r="H14">
        <f>EXP(((-1)/(2*'Cálculos Diversos'!$B$5))*(SQRT(SUMXMY2('Tabela Entrada-Saída'!$B$14:$O$14,'Coordenadas dos Polos'!$CV$2:$DI$2)))^2)</f>
        <v>5.3769911349197708E-6</v>
      </c>
      <c r="I14">
        <f>EXP(((-1)/(2*'Cálculos Diversos'!$B$5))*(SQRT(SUMXMY2('Tabela Entrada-Saída'!$B$14:$O$14,'Coordenadas dos Polos'!$DJ$2:$DW$2)))^2)</f>
        <v>2.8517473101331576E-4</v>
      </c>
      <c r="J14">
        <f>EXP(((-1)/(2*'Cálculos Diversos'!$B$5))*(SQRT(SUMXMY2('Tabela Entrada-Saída'!$B$14:$O$14,'Coordenadas dos Polos'!$DX$2:$EK$2)))^2)</f>
        <v>8.9255342951852774E-5</v>
      </c>
      <c r="K14">
        <f>EXP(((-1)/(2*'Cálculos Diversos'!$B$5))*(SQRT(SUMXMY2('Tabela Entrada-Saída'!$B$14:$O$14,'Coordenadas dos Polos'!$EL$2:$EY$2)))^2)</f>
        <v>4.1339727597683975E-6</v>
      </c>
      <c r="L14">
        <f>EXP(((-1)/(2*'Cálculos Diversos'!$B$5))*(SQRT(SUMXMY2('Tabela Entrada-Saída'!$B$14:$O$14,'Coordenadas dos Polos'!$EZ$2:$FM$2)))^2)</f>
        <v>3.9907277605636363E-7</v>
      </c>
      <c r="M14">
        <f>EXP(((-1)/(2*'Cálculos Diversos'!$B$5))*(SQRT(SUMXMY2('Tabela Entrada-Saída'!$B$14:$O$14,'Coordenadas dos Polos'!$FN$2:$GA$2)))^2)</f>
        <v>8.2683756255467592E-6</v>
      </c>
      <c r="N14">
        <f>EXP(((-1)/(2*'Cálculos Diversos'!$B$5))*(SQRT(SUMXMY2('Tabela Entrada-Saída'!$B$14:$O$14,'Coordenadas dos Polos'!$GB$2:$GO$2)))^2)</f>
        <v>2.1070509827677257E-5</v>
      </c>
      <c r="O14">
        <f>EXP(((-1)/(2*'Cálculos Diversos'!$B$5))*(SQRT(SUMXMY2('Tabela Entrada-Saída'!$B$14:$O$14,'Coordenadas dos Polos'!$GP$2:$HC$2)))^2)</f>
        <v>1.827746793544587E-6</v>
      </c>
      <c r="P14">
        <v>1</v>
      </c>
    </row>
    <row r="15" spans="1:16" x14ac:dyDescent="0.25">
      <c r="A15">
        <v>14</v>
      </c>
      <c r="B15">
        <f>EXP(((-1)/(2*'Cálculos Diversos'!$B$5))*(SQRT(SUMXMY2('Tabela Entrada-Saída'!$B$15:$O$15,'Coordenadas dos Polos'!$P$2:$AC$2)))^2)</f>
        <v>0.15719269121805443</v>
      </c>
      <c r="C15">
        <f>EXP(((-1)/(2*'Cálculos Diversos'!$B$5))*(SQRT(SUMXMY2('Tabela Entrada-Saída'!$B$15:$O$15,'Coordenadas dos Polos'!$AD$2:$AQ$2)))^2)</f>
        <v>8.7224648311304466E-5</v>
      </c>
      <c r="D15">
        <f>EXP(((-1)/(2*'Cálculos Diversos'!$B$5))*(SQRT(SUMXMY2('Tabela Entrada-Saída'!$B$15:$O$15,'Coordenadas dos Polos'!$AR$2:$BE$2)))^2)</f>
        <v>2.5762933130040669E-5</v>
      </c>
      <c r="E15">
        <f>EXP(((-1)/(2*'Cálculos Diversos'!$B$5))*(SQRT(SUMXMY2('Tabela Entrada-Saída'!$B$15:$O$15,'Coordenadas dos Polos'!$BF$2:$BS$2)))^2)</f>
        <v>1.4455700003895036E-4</v>
      </c>
      <c r="F15">
        <f>EXP(((-1)/(2*'Cálculos Diversos'!$B$5))*(SQRT(SUMXMY2('Tabela Entrada-Saída'!$B$15:$O$15,'Coordenadas dos Polos'!$BT$2:$CG$2)))^2)</f>
        <v>4.1115613453503934E-6</v>
      </c>
      <c r="G15">
        <f>EXP(((-1)/(2*'Cálculos Diversos'!$B$5))*(SQRT(SUMXMY2('Tabela Entrada-Saída'!$B$15:$O$15,'Coordenadas dos Polos'!$CH$2:$CU$2)))^2)</f>
        <v>1.2607341819514999E-4</v>
      </c>
      <c r="H15">
        <f>EXP(((-1)/(2*'Cálculos Diversos'!$B$5))*(SQRT(SUMXMY2('Tabela Entrada-Saída'!$B$15:$O$15,'Coordenadas dos Polos'!$CV$2:$DI$2)))^2)</f>
        <v>6.128410129465483E-6</v>
      </c>
      <c r="I15">
        <f>EXP(((-1)/(2*'Cálculos Diversos'!$B$5))*(SQRT(SUMXMY2('Tabela Entrada-Saída'!$B$15:$O$15,'Coordenadas dos Polos'!$DJ$2:$DW$2)))^2)</f>
        <v>2.287710883380073E-4</v>
      </c>
      <c r="J15">
        <f>EXP(((-1)/(2*'Cálculos Diversos'!$B$5))*(SQRT(SUMXMY2('Tabela Entrada-Saída'!$B$15:$O$15,'Coordenadas dos Polos'!$DX$2:$EK$2)))^2)</f>
        <v>1.074182720710634E-4</v>
      </c>
      <c r="K15">
        <f>EXP(((-1)/(2*'Cálculos Diversos'!$B$5))*(SQRT(SUMXMY2('Tabela Entrada-Saída'!$B$15:$O$15,'Coordenadas dos Polos'!$EL$2:$EY$2)))^2)</f>
        <v>4.1034315554640866E-6</v>
      </c>
      <c r="L15">
        <f>EXP(((-1)/(2*'Cálculos Diversos'!$B$5))*(SQRT(SUMXMY2('Tabela Entrada-Saída'!$B$15:$O$15,'Coordenadas dos Polos'!$EZ$2:$FM$2)))^2)</f>
        <v>9.3722245222309336E-7</v>
      </c>
      <c r="M15">
        <f>EXP(((-1)/(2*'Cálculos Diversos'!$B$5))*(SQRT(SUMXMY2('Tabela Entrada-Saída'!$B$15:$O$15,'Coordenadas dos Polos'!$FN$2:$GA$2)))^2)</f>
        <v>1.8162557048851799E-5</v>
      </c>
      <c r="N15">
        <f>EXP(((-1)/(2*'Cálculos Diversos'!$B$5))*(SQRT(SUMXMY2('Tabela Entrada-Saída'!$B$15:$O$15,'Coordenadas dos Polos'!$GB$2:$GO$2)))^2)</f>
        <v>4.3563480667597226E-5</v>
      </c>
      <c r="O15">
        <f>EXP(((-1)/(2*'Cálculos Diversos'!$B$5))*(SQRT(SUMXMY2('Tabela Entrada-Saída'!$B$15:$O$15,'Coordenadas dos Polos'!$GP$2:$HC$2)))^2)</f>
        <v>3.4090839465470042E-6</v>
      </c>
      <c r="P15">
        <v>1</v>
      </c>
    </row>
    <row r="16" spans="1:16" x14ac:dyDescent="0.25">
      <c r="A16">
        <v>15</v>
      </c>
      <c r="B16">
        <f>EXP(((-1)/(2*'Cálculos Diversos'!$B$5))*(SQRT(SUMXMY2('Tabela Entrada-Saída'!$B$16:$O$16,'Coordenadas dos Polos'!$P$2:$AC$2)))^2)</f>
        <v>0.24373652120443864</v>
      </c>
      <c r="C16">
        <f>EXP(((-1)/(2*'Cálculos Diversos'!$B$5))*(SQRT(SUMXMY2('Tabela Entrada-Saída'!$B$16:$O$16,'Coordenadas dos Polos'!$AD$2:$AQ$2)))^2)</f>
        <v>9.17124619149953E-5</v>
      </c>
      <c r="D16">
        <f>EXP(((-1)/(2*'Cálculos Diversos'!$B$5))*(SQRT(SUMXMY2('Tabela Entrada-Saída'!$B$16:$O$16,'Coordenadas dos Polos'!$AR$2:$BE$2)))^2)</f>
        <v>2.2122710241538463E-5</v>
      </c>
      <c r="E16">
        <f>EXP(((-1)/(2*'Cálculos Diversos'!$B$5))*(SQRT(SUMXMY2('Tabela Entrada-Saída'!$B$16:$O$16,'Coordenadas dos Polos'!$BF$2:$BS$2)))^2)</f>
        <v>1.9058660098957803E-4</v>
      </c>
      <c r="F16">
        <f>EXP(((-1)/(2*'Cálculos Diversos'!$B$5))*(SQRT(SUMXMY2('Tabela Entrada-Saída'!$B$16:$O$16,'Coordenadas dos Polos'!$BT$2:$CG$2)))^2)</f>
        <v>6.0898217715939776E-6</v>
      </c>
      <c r="G16">
        <f>EXP(((-1)/(2*'Cálculos Diversos'!$B$5))*(SQRT(SUMXMY2('Tabela Entrada-Saída'!$B$16:$O$16,'Coordenadas dos Polos'!$CH$2:$CU$2)))^2)</f>
        <v>1.1356649240878728E-4</v>
      </c>
      <c r="H16">
        <f>EXP(((-1)/(2*'Cálculos Diversos'!$B$5))*(SQRT(SUMXMY2('Tabela Entrada-Saída'!$B$16:$O$16,'Coordenadas dos Polos'!$CV$2:$DI$2)))^2)</f>
        <v>5.7682251112519875E-6</v>
      </c>
      <c r="I16">
        <f>EXP(((-1)/(2*'Cálculos Diversos'!$B$5))*(SQRT(SUMXMY2('Tabela Entrada-Saída'!$B$16:$O$16,'Coordenadas dos Polos'!$DJ$2:$DW$2)))^2)</f>
        <v>1.7612510838879128E-4</v>
      </c>
      <c r="J16">
        <f>EXP(((-1)/(2*'Cálculos Diversos'!$B$5))*(SQRT(SUMXMY2('Tabela Entrada-Saída'!$B$16:$O$16,'Coordenadas dos Polos'!$DX$2:$EK$2)))^2)</f>
        <v>1.0373890654263443E-4</v>
      </c>
      <c r="K16">
        <f>EXP(((-1)/(2*'Cálculos Diversos'!$B$5))*(SQRT(SUMXMY2('Tabela Entrada-Saída'!$B$16:$O$16,'Coordenadas dos Polos'!$EL$2:$EY$2)))^2)</f>
        <v>3.5610684577453914E-6</v>
      </c>
      <c r="L16">
        <f>EXP(((-1)/(2*'Cálculos Diversos'!$B$5))*(SQRT(SUMXMY2('Tabela Entrada-Saída'!$B$16:$O$16,'Coordenadas dos Polos'!$EZ$2:$FM$2)))^2)</f>
        <v>1.2909557708621411E-6</v>
      </c>
      <c r="M16">
        <f>EXP(((-1)/(2*'Cálculos Diversos'!$B$5))*(SQRT(SUMXMY2('Tabela Entrada-Saída'!$B$16:$O$16,'Coordenadas dos Polos'!$FN$2:$GA$2)))^2)</f>
        <v>2.4075269624204056E-5</v>
      </c>
      <c r="N16">
        <f>EXP(((-1)/(2*'Cálculos Diversos'!$B$5))*(SQRT(SUMXMY2('Tabela Entrada-Saída'!$B$16:$O$16,'Coordenadas dos Polos'!$GB$2:$GO$2)))^2)</f>
        <v>5.6349715438463178E-5</v>
      </c>
      <c r="O16">
        <f>EXP(((-1)/(2*'Cálculos Diversos'!$B$5))*(SQRT(SUMXMY2('Tabela Entrada-Saída'!$B$16:$O$16,'Coordenadas dos Polos'!$GP$2:$HC$2)))^2)</f>
        <v>4.1280886692085317E-6</v>
      </c>
      <c r="P16">
        <v>1</v>
      </c>
    </row>
    <row r="17" spans="1:16" x14ac:dyDescent="0.25">
      <c r="A17">
        <v>16</v>
      </c>
      <c r="B17">
        <f>EXP(((-1)/(2*'Cálculos Diversos'!$B$5))*(SQRT(SUMXMY2('Tabela Entrada-Saída'!$B$17:$O$17,'Coordenadas dos Polos'!$P$2:$AC$2)))^2)</f>
        <v>8.2113792851754755E-2</v>
      </c>
      <c r="C17">
        <f>EXP(((-1)/(2*'Cálculos Diversos'!$B$5))*(SQRT(SUMXMY2('Tabela Entrada-Saída'!$B$17:$O$17,'Coordenadas dos Polos'!$AD$2:$AQ$2)))^2)</f>
        <v>7.2431569231933804E-5</v>
      </c>
      <c r="D17">
        <f>EXP(((-1)/(2*'Cálculos Diversos'!$B$5))*(SQRT(SUMXMY2('Tabela Entrada-Saída'!$B$17:$O$17,'Coordenadas dos Polos'!$AR$2:$BE$2)))^2)</f>
        <v>2.7194467410275954E-5</v>
      </c>
      <c r="E17">
        <f>EXP(((-1)/(2*'Cálculos Diversos'!$B$5))*(SQRT(SUMXMY2('Tabela Entrada-Saída'!$B$17:$O$17,'Coordenadas dos Polos'!$BF$2:$BS$2)))^2)</f>
        <v>9.1545158522475818E-5</v>
      </c>
      <c r="F17">
        <f>EXP(((-1)/(2*'Cálculos Diversos'!$B$5))*(SQRT(SUMXMY2('Tabela Entrada-Saída'!$B$17:$O$17,'Coordenadas dos Polos'!$BT$2:$CG$2)))^2)</f>
        <v>2.275768774174423E-6</v>
      </c>
      <c r="G17">
        <f>EXP(((-1)/(2*'Cálculos Diversos'!$B$5))*(SQRT(SUMXMY2('Tabela Entrada-Saída'!$B$17:$O$17,'Coordenadas dos Polos'!$CH$2:$CU$2)))^2)</f>
        <v>1.2541171788433777E-4</v>
      </c>
      <c r="H17">
        <f>EXP(((-1)/(2*'Cálculos Diversos'!$B$5))*(SQRT(SUMXMY2('Tabela Entrada-Saída'!$B$17:$O$17,'Coordenadas dos Polos'!$CV$2:$DI$2)))^2)</f>
        <v>5.8292100579025775E-6</v>
      </c>
      <c r="I17">
        <f>EXP(((-1)/(2*'Cálculos Diversos'!$B$5))*(SQRT(SUMXMY2('Tabela Entrada-Saída'!$B$17:$O$17,'Coordenadas dos Polos'!$DJ$2:$DW$2)))^2)</f>
        <v>2.7371015315547944E-4</v>
      </c>
      <c r="J17">
        <f>EXP(((-1)/(2*'Cálculos Diversos'!$B$5))*(SQRT(SUMXMY2('Tabela Entrada-Saída'!$B$17:$O$17,'Coordenadas dos Polos'!$DX$2:$EK$2)))^2)</f>
        <v>9.9032894717336308E-5</v>
      </c>
      <c r="K17">
        <f>EXP(((-1)/(2*'Cálculos Diversos'!$B$5))*(SQRT(SUMXMY2('Tabela Entrada-Saída'!$B$17:$O$17,'Coordenadas dos Polos'!$EL$2:$EY$2)))^2)</f>
        <v>4.2736643212445925E-6</v>
      </c>
      <c r="L17">
        <f>EXP(((-1)/(2*'Cálculos Diversos'!$B$5))*(SQRT(SUMXMY2('Tabela Entrada-Saída'!$B$17:$O$17,'Coordenadas dos Polos'!$EZ$2:$FM$2)))^2)</f>
        <v>5.6625791507431327E-7</v>
      </c>
      <c r="M17">
        <f>EXP(((-1)/(2*'Cálculos Diversos'!$B$5))*(SQRT(SUMXMY2('Tabela Entrada-Saída'!$B$17:$O$17,'Coordenadas dos Polos'!$FN$2:$GA$2)))^2)</f>
        <v>1.1446549362633037E-5</v>
      </c>
      <c r="N17">
        <f>EXP(((-1)/(2*'Cálculos Diversos'!$B$5))*(SQRT(SUMXMY2('Tabela Entrada-Saída'!$B$17:$O$17,'Coordenadas dos Polos'!$GB$2:$GO$2)))^2)</f>
        <v>2.8433701671099394E-5</v>
      </c>
      <c r="O17">
        <f>EXP(((-1)/(2*'Cálculos Diversos'!$B$5))*(SQRT(SUMXMY2('Tabela Entrada-Saída'!$B$17:$O$17,'Coordenadas dos Polos'!$GP$2:$HC$2)))^2)</f>
        <v>2.3875182490821813E-6</v>
      </c>
      <c r="P17">
        <v>1</v>
      </c>
    </row>
    <row r="18" spans="1:16" x14ac:dyDescent="0.25">
      <c r="A18">
        <v>17</v>
      </c>
      <c r="B18">
        <f>EXP(((-1)/(2*'Cálculos Diversos'!$B$5))*(SQRT(SUMXMY2('Tabela Entrada-Saída'!$B$18:$O$18,'Coordenadas dos Polos'!$P$2:$AC$2)))^2)</f>
        <v>0.10748367410883711</v>
      </c>
      <c r="C18">
        <f>EXP(((-1)/(2*'Cálculos Diversos'!$B$5))*(SQRT(SUMXMY2('Tabela Entrada-Saída'!$B$18:$O$18,'Coordenadas dos Polos'!$AD$2:$AQ$2)))^2)</f>
        <v>7.9478310361553555E-5</v>
      </c>
      <c r="D18">
        <f>EXP(((-1)/(2*'Cálculos Diversos'!$B$5))*(SQRT(SUMXMY2('Tabela Entrada-Saída'!$B$18:$O$18,'Coordenadas dos Polos'!$AR$2:$BE$2)))^2)</f>
        <v>2.7145222205058785E-5</v>
      </c>
      <c r="E18">
        <f>EXP(((-1)/(2*'Cálculos Diversos'!$B$5))*(SQRT(SUMXMY2('Tabela Entrada-Saída'!$B$18:$O$18,'Coordenadas dos Polos'!$BF$2:$BS$2)))^2)</f>
        <v>1.1143598942046213E-4</v>
      </c>
      <c r="F18">
        <f>EXP(((-1)/(2*'Cálculos Diversos'!$B$5))*(SQRT(SUMXMY2('Tabela Entrada-Saída'!$B$18:$O$18,'Coordenadas dos Polos'!$BT$2:$CG$2)))^2)</f>
        <v>2.9196133417355668E-6</v>
      </c>
      <c r="G18">
        <f>EXP(((-1)/(2*'Cálculos Diversos'!$B$5))*(SQRT(SUMXMY2('Tabela Entrada-Saída'!$B$18:$O$18,'Coordenadas dos Polos'!$CH$2:$CU$2)))^2)</f>
        <v>1.2818642317061034E-4</v>
      </c>
      <c r="H18">
        <f>EXP(((-1)/(2*'Cálculos Diversos'!$B$5))*(SQRT(SUMXMY2('Tabela Entrada-Saída'!$B$18:$O$18,'Coordenadas dos Polos'!$CV$2:$DI$2)))^2)</f>
        <v>6.0726520020792218E-6</v>
      </c>
      <c r="I18">
        <f>EXP(((-1)/(2*'Cálculos Diversos'!$B$5))*(SQRT(SUMXMY2('Tabela Entrada-Saída'!$B$18:$O$18,'Coordenadas dos Polos'!$DJ$2:$DW$2)))^2)</f>
        <v>2.6002611206527433E-4</v>
      </c>
      <c r="J18">
        <f>EXP(((-1)/(2*'Cálculos Diversos'!$B$5))*(SQRT(SUMXMY2('Tabela Entrada-Saída'!$B$18:$O$18,'Coordenadas dos Polos'!$DX$2:$EK$2)))^2)</f>
        <v>1.0432795323290384E-4</v>
      </c>
      <c r="K18">
        <f>EXP(((-1)/(2*'Cálculos Diversos'!$B$5))*(SQRT(SUMXMY2('Tabela Entrada-Saída'!$B$18:$O$18,'Coordenadas dos Polos'!$EL$2:$EY$2)))^2)</f>
        <v>4.291859009178465E-6</v>
      </c>
      <c r="L18">
        <f>EXP(((-1)/(2*'Cálculos Diversos'!$B$5))*(SQRT(SUMXMY2('Tabela Entrada-Saída'!$B$18:$O$18,'Coordenadas dos Polos'!$EZ$2:$FM$2)))^2)</f>
        <v>7.0263432311441779E-7</v>
      </c>
      <c r="M18">
        <f>EXP(((-1)/(2*'Cálculos Diversos'!$B$5))*(SQRT(SUMXMY2('Tabela Entrada-Saída'!$B$18:$O$18,'Coordenadas dos Polos'!$FN$2:$GA$2)))^2)</f>
        <v>1.3970001523837512E-5</v>
      </c>
      <c r="N18">
        <f>EXP(((-1)/(2*'Cálculos Diversos'!$B$5))*(SQRT(SUMXMY2('Tabela Entrada-Saída'!$B$18:$O$18,'Coordenadas dos Polos'!$GB$2:$GO$2)))^2)</f>
        <v>3.427073552880918E-5</v>
      </c>
      <c r="O18">
        <f>EXP(((-1)/(2*'Cálculos Diversos'!$B$5))*(SQRT(SUMXMY2('Tabela Entrada-Saída'!$B$18:$O$18,'Coordenadas dos Polos'!$GP$2:$HC$2)))^2)</f>
        <v>2.7946012945709931E-6</v>
      </c>
      <c r="P18">
        <v>1</v>
      </c>
    </row>
    <row r="19" spans="1:16" x14ac:dyDescent="0.25">
      <c r="A19">
        <v>18</v>
      </c>
      <c r="B19">
        <f>EXP(((-1)/(2*'Cálculos Diversos'!$B$5))*(SQRT(SUMXMY2('Tabela Entrada-Saída'!$B$19:$O$19,'Coordenadas dos Polos'!$P$2:$AC$2)))^2)</f>
        <v>0.19956068123035267</v>
      </c>
      <c r="C19">
        <f>EXP(((-1)/(2*'Cálculos Diversos'!$B$5))*(SQRT(SUMXMY2('Tabela Entrada-Saída'!$B$19:$O$19,'Coordenadas dos Polos'!$AD$2:$AQ$2)))^2)</f>
        <v>9.0581845424803859E-5</v>
      </c>
      <c r="D19">
        <f>EXP(((-1)/(2*'Cálculos Diversos'!$B$5))*(SQRT(SUMXMY2('Tabela Entrada-Saída'!$B$19:$O$19,'Coordenadas dos Polos'!$AR$2:$BE$2)))^2)</f>
        <v>2.4119362293168384E-5</v>
      </c>
      <c r="E19">
        <f>EXP(((-1)/(2*'Cálculos Diversos'!$B$5))*(SQRT(SUMXMY2('Tabela Entrada-Saída'!$B$19:$O$19,'Coordenadas dos Polos'!$BF$2:$BS$2)))^2)</f>
        <v>1.6875396219652832E-4</v>
      </c>
      <c r="F19">
        <f>EXP(((-1)/(2*'Cálculos Diversos'!$B$5))*(SQRT(SUMXMY2('Tabela Entrada-Saída'!$B$19:$O$19,'Coordenadas dos Polos'!$BT$2:$CG$2)))^2)</f>
        <v>5.097263841933775E-6</v>
      </c>
      <c r="G19">
        <f>EXP(((-1)/(2*'Cálculos Diversos'!$B$5))*(SQRT(SUMXMY2('Tabela Entrada-Saída'!$B$19:$O$19,'Coordenadas dos Polos'!$CH$2:$CU$2)))^2)</f>
        <v>1.2089158828575055E-4</v>
      </c>
      <c r="H19">
        <f>EXP(((-1)/(2*'Cálculos Diversos'!$B$5))*(SQRT(SUMXMY2('Tabela Entrada-Saída'!$B$19:$O$19,'Coordenadas dos Polos'!$CV$2:$DI$2)))^2)</f>
        <v>6.0112758942586419E-6</v>
      </c>
      <c r="I19">
        <f>EXP(((-1)/(2*'Cálculos Diversos'!$B$5))*(SQRT(SUMXMY2('Tabela Entrada-Saída'!$B$19:$O$19,'Coordenadas dos Polos'!$DJ$2:$DW$2)))^2)</f>
        <v>2.0246510027305229E-4</v>
      </c>
      <c r="J19">
        <f>EXP(((-1)/(2*'Cálculos Diversos'!$B$5))*(SQRT(SUMXMY2('Tabela Entrada-Saída'!$B$19:$O$19,'Coordenadas dos Polos'!$DX$2:$EK$2)))^2)</f>
        <v>1.0677389728982008E-4</v>
      </c>
      <c r="K19">
        <f>EXP(((-1)/(2*'Cálculos Diversos'!$B$5))*(SQRT(SUMXMY2('Tabela Entrada-Saída'!$B$19:$O$19,'Coordenadas dos Polos'!$EL$2:$EY$2)))^2)</f>
        <v>3.8606690221977625E-6</v>
      </c>
      <c r="L19">
        <f>EXP(((-1)/(2*'Cálculos Diversos'!$B$5))*(SQRT(SUMXMY2('Tabela Entrada-Saída'!$B$19:$O$19,'Coordenadas dos Polos'!$EZ$2:$FM$2)))^2)</f>
        <v>1.1192361544541362E-6</v>
      </c>
      <c r="M19">
        <f>EXP(((-1)/(2*'Cálculos Diversos'!$B$5))*(SQRT(SUMXMY2('Tabela Entrada-Saída'!$B$19:$O$19,'Coordenadas dos Polos'!$FN$2:$GA$2)))^2)</f>
        <v>2.1259614204050749E-5</v>
      </c>
      <c r="N19">
        <f>EXP(((-1)/(2*'Cálculos Diversos'!$B$5))*(SQRT(SUMXMY2('Tabela Entrada-Saída'!$B$19:$O$19,'Coordenadas dos Polos'!$GB$2:$GO$2)))^2)</f>
        <v>5.0343932619509318E-5</v>
      </c>
      <c r="O19">
        <f>EXP(((-1)/(2*'Cálculos Diversos'!$B$5))*(SQRT(SUMXMY2('Tabela Entrada-Saída'!$B$19:$O$19,'Coordenadas dos Polos'!$GP$2:$HC$2)))^2)</f>
        <v>3.8087624745844662E-6</v>
      </c>
      <c r="P19">
        <v>1</v>
      </c>
    </row>
    <row r="20" spans="1:16" x14ac:dyDescent="0.25">
      <c r="A20">
        <v>19</v>
      </c>
      <c r="B20">
        <f>EXP(((-1)/(2*'Cálculos Diversos'!$B$5))*(SQRT(SUMXMY2('Tabela Entrada-Saída'!$B$20:$O$20,'Coordenadas dos Polos'!$P$2:$AC$2)))^2)</f>
        <v>3.6886096307686501E-2</v>
      </c>
      <c r="C20">
        <f>EXP(((-1)/(2*'Cálculos Diversos'!$B$5))*(SQRT(SUMXMY2('Tabela Entrada-Saída'!$B$20:$O$20,'Coordenadas dos Polos'!$AD$2:$AQ$2)))^2)</f>
        <v>5.2065721521474048E-5</v>
      </c>
      <c r="D20">
        <f>EXP(((-1)/(2*'Cálculos Diversos'!$B$5))*(SQRT(SUMXMY2('Tabela Entrada-Saída'!$B$20:$O$20,'Coordenadas dos Polos'!$AR$2:$BE$2)))^2)</f>
        <v>2.4870690328694437E-5</v>
      </c>
      <c r="E20">
        <f>EXP(((-1)/(2*'Cálculos Diversos'!$B$5))*(SQRT(SUMXMY2('Tabela Entrada-Saída'!$B$20:$O$20,'Coordenadas dos Polos'!$BF$2:$BS$2)))^2)</f>
        <v>4.9987904497003067E-5</v>
      </c>
      <c r="F20">
        <f>EXP(((-1)/(2*'Cálculos Diversos'!$B$5))*(SQRT(SUMXMY2('Tabela Entrada-Saída'!$B$20:$O$20,'Coordenadas dos Polos'!$BT$2:$CG$2)))^2)</f>
        <v>1.083745570548823E-6</v>
      </c>
      <c r="G20">
        <f>EXP(((-1)/(2*'Cálculos Diversos'!$B$5))*(SQRT(SUMXMY2('Tabela Entrada-Saída'!$B$20:$O$20,'Coordenadas dos Polos'!$CH$2:$CU$2)))^2)</f>
        <v>1.0825790350329268E-4</v>
      </c>
      <c r="H20">
        <f>EXP(((-1)/(2*'Cálculos Diversos'!$B$5))*(SQRT(SUMXMY2('Tabela Entrada-Saída'!$B$20:$O$20,'Coordenadas dos Polos'!$CV$2:$DI$2)))^2)</f>
        <v>4.8063285741391079E-6</v>
      </c>
      <c r="I20">
        <f>EXP(((-1)/(2*'Cálculos Diversos'!$B$5))*(SQRT(SUMXMY2('Tabela Entrada-Saída'!$B$20:$O$20,'Coordenadas dos Polos'!$DJ$2:$DW$2)))^2)</f>
        <v>2.8415824398251286E-4</v>
      </c>
      <c r="J20">
        <f>EXP(((-1)/(2*'Cálculos Diversos'!$B$5))*(SQRT(SUMXMY2('Tabela Entrada-Saída'!$B$20:$O$20,'Coordenadas dos Polos'!$DX$2:$EK$2)))^2)</f>
        <v>7.9083959941126414E-5</v>
      </c>
      <c r="K20">
        <f>EXP(((-1)/(2*'Cálculos Diversos'!$B$5))*(SQRT(SUMXMY2('Tabela Entrada-Saída'!$B$20:$O$20,'Coordenadas dos Polos'!$EL$2:$EY$2)))^2)</f>
        <v>3.8618093242886074E-6</v>
      </c>
      <c r="L20">
        <f>EXP(((-1)/(2*'Cálculos Diversos'!$B$5))*(SQRT(SUMXMY2('Tabela Entrada-Saída'!$B$20:$O$20,'Coordenadas dos Polos'!$EZ$2:$FM$2)))^2)</f>
        <v>2.9461829673111129E-7</v>
      </c>
      <c r="M20">
        <f>EXP(((-1)/(2*'Cálculos Diversos'!$B$5))*(SQRT(SUMXMY2('Tabela Entrada-Saída'!$B$20:$O$20,'Coordenadas dos Polos'!$FN$2:$GA$2)))^2)</f>
        <v>6.2203667739368848E-6</v>
      </c>
      <c r="N20">
        <f>EXP(((-1)/(2*'Cálculos Diversos'!$B$5))*(SQRT(SUMXMY2('Tabela Entrada-Saída'!$B$20:$O$20,'Coordenadas dos Polos'!$GB$2:$GO$2)))^2)</f>
        <v>1.6017388676824374E-5</v>
      </c>
      <c r="O20">
        <f>EXP(((-1)/(2*'Cálculos Diversos'!$B$5))*(SQRT(SUMXMY2('Tabela Entrada-Saída'!$B$20:$O$20,'Coordenadas dos Polos'!$GP$2:$HC$2)))^2)</f>
        <v>1.4438310302261927E-6</v>
      </c>
      <c r="P20">
        <v>1</v>
      </c>
    </row>
    <row r="21" spans="1:16" x14ac:dyDescent="0.25">
      <c r="A21">
        <v>20</v>
      </c>
      <c r="B21">
        <f>EXP(((-1)/(2*'Cálculos Diversos'!$B$5))*(SQRT(SUMXMY2('Tabela Entrada-Saída'!$B$21:$O$21,'Coordenadas dos Polos'!$P$2:$AC$2)))^2)</f>
        <v>0.10265919673251431</v>
      </c>
      <c r="C21">
        <f>EXP(((-1)/(2*'Cálculos Diversos'!$B$5))*(SQRT(SUMXMY2('Tabela Entrada-Saída'!$B$21:$O$21,'Coordenadas dos Polos'!$AD$2:$AQ$2)))^2)</f>
        <v>7.8246042369243093E-5</v>
      </c>
      <c r="D21">
        <f>EXP(((-1)/(2*'Cálculos Diversos'!$B$5))*(SQRT(SUMXMY2('Tabela Entrada-Saída'!$B$21:$O$21,'Coordenadas dos Polos'!$AR$2:$BE$2)))^2)</f>
        <v>2.7184236701749583E-5</v>
      </c>
      <c r="E21">
        <f>EXP(((-1)/(2*'Cálculos Diversos'!$B$5))*(SQRT(SUMXMY2('Tabela Entrada-Saída'!$B$21:$O$21,'Coordenadas dos Polos'!$BF$2:$BS$2)))^2)</f>
        <v>1.0781722194742066E-4</v>
      </c>
      <c r="F21">
        <f>EXP(((-1)/(2*'Cálculos Diversos'!$B$5))*(SQRT(SUMXMY2('Tabela Entrada-Saída'!$B$21:$O$21,'Coordenadas dos Polos'!$BT$2:$CG$2)))^2)</f>
        <v>2.800327410972336E-6</v>
      </c>
      <c r="G21">
        <f>EXP(((-1)/(2*'Cálculos Diversos'!$B$5))*(SQRT(SUMXMY2('Tabela Entrada-Saída'!$B$21:$O$21,'Coordenadas dos Polos'!$CH$2:$CU$2)))^2)</f>
        <v>1.2788704906735568E-4</v>
      </c>
      <c r="H21">
        <f>EXP(((-1)/(2*'Cálculos Diversos'!$B$5))*(SQRT(SUMXMY2('Tabela Entrada-Saída'!$B$21:$O$21,'Coordenadas dos Polos'!$CV$2:$DI$2)))^2)</f>
        <v>6.0260410599762355E-6</v>
      </c>
      <c r="I21">
        <f>EXP(((-1)/(2*'Cálculos Diversos'!$B$5))*(SQRT(SUMXMY2('Tabela Entrada-Saída'!$B$21:$O$21,'Coordenadas dos Polos'!$DJ$2:$DW$2)))^2)</f>
        <v>2.6294909274446343E-4</v>
      </c>
      <c r="J21">
        <f>EXP(((-1)/(2*'Cálculos Diversos'!$B$5))*(SQRT(SUMXMY2('Tabela Entrada-Saída'!$B$21:$O$21,'Coordenadas dos Polos'!$DX$2:$EK$2)))^2)</f>
        <v>1.0350202686820116E-4</v>
      </c>
      <c r="K21">
        <f>EXP(((-1)/(2*'Cálculos Diversos'!$B$5))*(SQRT(SUMXMY2('Tabela Entrada-Saída'!$B$21:$O$21,'Coordenadas dos Polos'!$EL$2:$EY$2)))^2)</f>
        <v>4.2902183302144656E-6</v>
      </c>
      <c r="L21">
        <f>EXP(((-1)/(2*'Cálculos Diversos'!$B$5))*(SQRT(SUMXMY2('Tabela Entrada-Saída'!$B$21:$O$21,'Coordenadas dos Polos'!$EZ$2:$FM$2)))^2)</f>
        <v>6.7741840052431022E-7</v>
      </c>
      <c r="M21">
        <f>EXP(((-1)/(2*'Cálculos Diversos'!$B$5))*(SQRT(SUMXMY2('Tabela Entrada-Saída'!$B$21:$O$21,'Coordenadas dos Polos'!$FN$2:$GA$2)))^2)</f>
        <v>1.3507821986074993E-5</v>
      </c>
      <c r="N21">
        <f>EXP(((-1)/(2*'Cálculos Diversos'!$B$5))*(SQRT(SUMXMY2('Tabela Entrada-Saída'!$B$21:$O$21,'Coordenadas dos Polos'!$GB$2:$GO$2)))^2)</f>
        <v>3.314569749126297E-5</v>
      </c>
      <c r="O21">
        <f>EXP(((-1)/(2*'Cálculos Diversos'!$B$5))*(SQRT(SUMXMY2('Tabela Entrada-Saída'!$B$21:$O$21,'Coordenadas dos Polos'!$GP$2:$HC$2)))^2)</f>
        <v>2.7227719494624387E-6</v>
      </c>
      <c r="P21">
        <v>1</v>
      </c>
    </row>
    <row r="22" spans="1:16" x14ac:dyDescent="0.25">
      <c r="A22">
        <v>21</v>
      </c>
      <c r="B22">
        <f>EXP(((-1)/(2*'Cálculos Diversos'!$B$5))*(SQRT(SUMXMY2('Tabela Entrada-Saída'!$B$22:$O$22,'Coordenadas dos Polos'!$P$2:$AC$2)))^2)</f>
        <v>0.12671264090154538</v>
      </c>
      <c r="C22">
        <f>EXP(((-1)/(2*'Cálculos Diversos'!$B$5))*(SQRT(SUMXMY2('Tabela Entrada-Saída'!$B$22:$O$22,'Coordenadas dos Polos'!$AD$2:$AQ$2)))^2)</f>
        <v>8.3068687131573156E-5</v>
      </c>
      <c r="D22">
        <f>EXP(((-1)/(2*'Cálculos Diversos'!$B$5))*(SQRT(SUMXMY2('Tabela Entrada-Saída'!$B$22:$O$22,'Coordenadas dos Polos'!$AR$2:$BE$2)))^2)</f>
        <v>2.6739242293718312E-5</v>
      </c>
      <c r="E22">
        <f>EXP(((-1)/(2*'Cálculos Diversos'!$B$5))*(SQRT(SUMXMY2('Tabela Entrada-Saída'!$B$22:$O$22,'Coordenadas dos Polos'!$BF$2:$BS$2)))^2)</f>
        <v>1.2490662673032322E-4</v>
      </c>
      <c r="F22">
        <f>EXP(((-1)/(2*'Cálculos Diversos'!$B$5))*(SQRT(SUMXMY2('Tabela Entrada-Saída'!$B$22:$O$22,'Coordenadas dos Polos'!$BT$2:$CG$2)))^2)</f>
        <v>3.3902393631207275E-6</v>
      </c>
      <c r="G22">
        <f>EXP(((-1)/(2*'Cálculos Diversos'!$B$5))*(SQRT(SUMXMY2('Tabela Entrada-Saída'!$B$22:$O$22,'Coordenadas dos Polos'!$CH$2:$CU$2)))^2)</f>
        <v>1.2798252900121131E-4</v>
      </c>
      <c r="H22">
        <f>EXP(((-1)/(2*'Cálculos Diversos'!$B$5))*(SQRT(SUMXMY2('Tabela Entrada-Saída'!$B$22:$O$22,'Coordenadas dos Polos'!$CV$2:$DI$2)))^2)</f>
        <v>6.131925404761624E-6</v>
      </c>
      <c r="I22">
        <f>EXP(((-1)/(2*'Cálculos Diversos'!$B$5))*(SQRT(SUMXMY2('Tabela Entrada-Saída'!$B$22:$O$22,'Coordenadas dos Polos'!$DJ$2:$DW$2)))^2)</f>
        <v>2.4811156634916919E-4</v>
      </c>
      <c r="J22">
        <f>EXP(((-1)/(2*'Cálculos Diversos'!$B$5))*(SQRT(SUMXMY2('Tabela Entrada-Saída'!$B$22:$O$22,'Coordenadas dos Polos'!$DX$2:$EK$2)))^2)</f>
        <v>1.0631190150016771E-4</v>
      </c>
      <c r="K22">
        <f>EXP(((-1)/(2*'Cálculos Diversos'!$B$5))*(SQRT(SUMXMY2('Tabela Entrada-Saída'!$B$22:$O$22,'Coordenadas dos Polos'!$EL$2:$EY$2)))^2)</f>
        <v>4.2351944898452478E-6</v>
      </c>
      <c r="L22">
        <f>EXP(((-1)/(2*'Cálculos Diversos'!$B$5))*(SQRT(SUMXMY2('Tabela Entrada-Saída'!$B$22:$O$22,'Coordenadas dos Polos'!$EZ$2:$FM$2)))^2)</f>
        <v>7.9760966412830189E-7</v>
      </c>
      <c r="M22">
        <f>EXP(((-1)/(2*'Cálculos Diversos'!$B$5))*(SQRT(SUMXMY2('Tabela Entrada-Saída'!$B$22:$O$22,'Coordenadas dos Polos'!$FN$2:$GA$2)))^2)</f>
        <v>1.5674468989484908E-5</v>
      </c>
      <c r="N22">
        <f>EXP(((-1)/(2*'Cálculos Diversos'!$B$5))*(SQRT(SUMXMY2('Tabela Entrada-Saída'!$B$22:$O$22,'Coordenadas dos Polos'!$GB$2:$GO$2)))^2)</f>
        <v>3.8099460213277611E-5</v>
      </c>
      <c r="O22">
        <f>EXP(((-1)/(2*'Cálculos Diversos'!$B$5))*(SQRT(SUMXMY2('Tabela Entrada-Saída'!$B$22:$O$22,'Coordenadas dos Polos'!$GP$2:$HC$2)))^2)</f>
        <v>3.0531057644396463E-6</v>
      </c>
      <c r="P22">
        <v>1</v>
      </c>
    </row>
    <row r="23" spans="1:16" x14ac:dyDescent="0.25">
      <c r="A23">
        <v>22</v>
      </c>
      <c r="B23">
        <f>EXP(((-1)/(2*'Cálculos Diversos'!$B$5))*(SQRT(SUMXMY2('Tabela Entrada-Saída'!$B$23:$O$23,'Coordenadas dos Polos'!$P$2:$AC$2)))^2)</f>
        <v>0.17478856364518405</v>
      </c>
      <c r="C23">
        <f>EXP(((-1)/(2*'Cálculos Diversos'!$B$5))*(SQRT(SUMXMY2('Tabela Entrada-Saída'!$B$23:$O$23,'Coordenadas dos Polos'!$AD$2:$AQ$2)))^2)</f>
        <v>8.9113367446605246E-5</v>
      </c>
      <c r="D23">
        <f>EXP(((-1)/(2*'Cálculos Diversos'!$B$5))*(SQRT(SUMXMY2('Tabela Entrada-Saída'!$B$23:$O$23,'Coordenadas dos Polos'!$AR$2:$BE$2)))^2)</f>
        <v>2.5155474020582679E-5</v>
      </c>
      <c r="E23">
        <f>EXP(((-1)/(2*'Cálculos Diversos'!$B$5))*(SQRT(SUMXMY2('Tabela Entrada-Saída'!$B$23:$O$23,'Coordenadas dos Polos'!$BF$2:$BS$2)))^2)</f>
        <v>1.5530375935212984E-4</v>
      </c>
      <c r="F23">
        <f>EXP(((-1)/(2*'Cálculos Diversos'!$B$5))*(SQRT(SUMXMY2('Tabela Entrada-Saída'!$B$23:$O$23,'Coordenadas dos Polos'!$BT$2:$CG$2)))^2)</f>
        <v>4.5386896496962131E-6</v>
      </c>
      <c r="G23">
        <f>EXP(((-1)/(2*'Cálculos Diversos'!$B$5))*(SQRT(SUMXMY2('Tabela Entrada-Saída'!$B$23:$O$23,'Coordenadas dos Polos'!$CH$2:$CU$2)))^2)</f>
        <v>1.245313191689755E-4</v>
      </c>
      <c r="H23">
        <f>EXP(((-1)/(2*'Cálculos Diversos'!$B$5))*(SQRT(SUMXMY2('Tabela Entrada-Saída'!$B$23:$O$23,'Coordenadas dos Polos'!$CV$2:$DI$2)))^2)</f>
        <v>6.1059216827876415E-6</v>
      </c>
      <c r="I23">
        <f>EXP(((-1)/(2*'Cálculos Diversos'!$B$5))*(SQRT(SUMXMY2('Tabela Entrada-Saída'!$B$23:$O$23,'Coordenadas dos Polos'!$DJ$2:$DW$2)))^2)</f>
        <v>2.180943126814759E-4</v>
      </c>
      <c r="J23">
        <f>EXP(((-1)/(2*'Cálculos Diversos'!$B$5))*(SQRT(SUMXMY2('Tabela Entrada-Saída'!$B$23:$O$23,'Coordenadas dos Polos'!$DX$2:$EK$2)))^2)</f>
        <v>1.0782528362967956E-4</v>
      </c>
      <c r="K23">
        <f>EXP(((-1)/(2*'Cálculos Diversos'!$B$5))*(SQRT(SUMXMY2('Tabela Entrada-Saída'!$B$23:$O$23,'Coordenadas dos Polos'!$EL$2:$EY$2)))^2)</f>
        <v>4.0142267364505165E-6</v>
      </c>
      <c r="L23">
        <f>EXP(((-1)/(2*'Cálculos Diversos'!$B$5))*(SQRT(SUMXMY2('Tabela Entrada-Saída'!$B$23:$O$23,'Coordenadas dos Polos'!$EZ$2:$FM$2)))^2)</f>
        <v>1.01784201876019E-6</v>
      </c>
      <c r="M23">
        <f>EXP(((-1)/(2*'Cálculos Diversos'!$B$5))*(SQRT(SUMXMY2('Tabela Entrada-Saída'!$B$23:$O$23,'Coordenadas dos Polos'!$FN$2:$GA$2)))^2)</f>
        <v>1.9540477456624885E-5</v>
      </c>
      <c r="N23">
        <f>EXP(((-1)/(2*'Cálculos Diversos'!$B$5))*(SQRT(SUMXMY2('Tabela Entrada-Saída'!$B$23:$O$23,'Coordenadas dos Polos'!$GB$2:$GO$2)))^2)</f>
        <v>4.657861310120716E-5</v>
      </c>
      <c r="O23">
        <f>EXP(((-1)/(2*'Cálculos Diversos'!$B$5))*(SQRT(SUMXMY2('Tabela Entrada-Saída'!$B$23:$O$23,'Coordenadas dos Polos'!$GP$2:$HC$2)))^2)</f>
        <v>3.5952084262525536E-6</v>
      </c>
      <c r="P23">
        <v>1</v>
      </c>
    </row>
    <row r="24" spans="1:16" x14ac:dyDescent="0.25">
      <c r="A24">
        <v>23</v>
      </c>
      <c r="B24">
        <f>EXP(((-1)/(2*'Cálculos Diversos'!$B$5))*(SQRT(SUMXMY2('Tabela Entrada-Saída'!$B$24:$O$24,'Coordenadas dos Polos'!$P$2:$AC$2)))^2)</f>
        <v>0.20458485496650625</v>
      </c>
      <c r="C24">
        <f>EXP(((-1)/(2*'Cálculos Diversos'!$B$5))*(SQRT(SUMXMY2('Tabela Entrada-Saída'!$B$24:$O$24,'Coordenadas dos Polos'!$AD$2:$AQ$2)))^2)</f>
        <v>9.1132214834084829E-5</v>
      </c>
      <c r="D24">
        <f>EXP(((-1)/(2*'Cálculos Diversos'!$B$5))*(SQRT(SUMXMY2('Tabela Entrada-Saída'!$B$24:$O$24,'Coordenadas dos Polos'!$AR$2:$BE$2)))^2)</f>
        <v>2.3950909808135493E-5</v>
      </c>
      <c r="E24">
        <f>EXP(((-1)/(2*'Cálculos Diversos'!$B$5))*(SQRT(SUMXMY2('Tabela Entrada-Saída'!$B$24:$O$24,'Coordenadas dos Polos'!$BF$2:$BS$2)))^2)</f>
        <v>1.7168757503213114E-4</v>
      </c>
      <c r="F24">
        <f>EXP(((-1)/(2*'Cálculos Diversos'!$B$5))*(SQRT(SUMXMY2('Tabela Entrada-Saída'!$B$24:$O$24,'Coordenadas dos Polos'!$BT$2:$CG$2)))^2)</f>
        <v>5.2282431057171906E-6</v>
      </c>
      <c r="G24">
        <f>EXP(((-1)/(2*'Cálculos Diversos'!$B$5))*(SQRT(SUMXMY2('Tabela Entrada-Saída'!$B$24:$O$24,'Coordenadas dos Polos'!$CH$2:$CU$2)))^2)</f>
        <v>1.2049194509946186E-4</v>
      </c>
      <c r="H24">
        <f>EXP(((-1)/(2*'Cálculos Diversos'!$B$5))*(SQRT(SUMXMY2('Tabela Entrada-Saída'!$B$24:$O$24,'Coordenadas dos Polos'!$CV$2:$DI$2)))^2)</f>
        <v>6.0169479507067165E-6</v>
      </c>
      <c r="I24">
        <f>EXP(((-1)/(2*'Cálculos Diversos'!$B$5))*(SQRT(SUMXMY2('Tabela Entrada-Saída'!$B$24:$O$24,'Coordenadas dos Polos'!$DJ$2:$DW$2)))^2)</f>
        <v>1.9956286203833283E-4</v>
      </c>
      <c r="J24">
        <f>EXP(((-1)/(2*'Cálculos Diversos'!$B$5))*(SQRT(SUMXMY2('Tabela Entrada-Saída'!$B$24:$O$24,'Coordenadas dos Polos'!$DX$2:$EK$2)))^2)</f>
        <v>1.0708149345434423E-4</v>
      </c>
      <c r="K24">
        <f>EXP(((-1)/(2*'Cálculos Diversos'!$B$5))*(SQRT(SUMXMY2('Tabela Entrada-Saída'!$B$24:$O$24,'Coordenadas dos Polos'!$EL$2:$EY$2)))^2)</f>
        <v>3.837530212435408E-6</v>
      </c>
      <c r="L24">
        <f>EXP(((-1)/(2*'Cálculos Diversos'!$B$5))*(SQRT(SUMXMY2('Tabela Entrada-Saída'!$B$24:$O$24,'Coordenadas dos Polos'!$EZ$2:$FM$2)))^2)</f>
        <v>1.1436704045039149E-6</v>
      </c>
      <c r="M24">
        <f>EXP(((-1)/(2*'Cálculos Diversos'!$B$5))*(SQRT(SUMXMY2('Tabela Entrada-Saída'!$B$24:$O$24,'Coordenadas dos Polos'!$FN$2:$GA$2)))^2)</f>
        <v>2.1655118813797246E-5</v>
      </c>
      <c r="N24">
        <f>EXP(((-1)/(2*'Cálculos Diversos'!$B$5))*(SQRT(SUMXMY2('Tabela Entrada-Saída'!$B$24:$O$24,'Coordenadas dos Polos'!$GB$2:$GO$2)))^2)</f>
        <v>5.1301086910129432E-5</v>
      </c>
      <c r="O24">
        <f>EXP(((-1)/(2*'Cálculos Diversos'!$B$5))*(SQRT(SUMXMY2('Tabela Entrada-Saída'!$B$24:$O$24,'Coordenadas dos Polos'!$GP$2:$HC$2)))^2)</f>
        <v>3.856925546896146E-6</v>
      </c>
      <c r="P24">
        <v>1</v>
      </c>
    </row>
    <row r="25" spans="1:16" x14ac:dyDescent="0.25">
      <c r="A25">
        <v>24</v>
      </c>
      <c r="B25">
        <f>EXP(((-1)/(2*'Cálculos Diversos'!$B$5))*(SQRT(SUMXMY2('Tabela Entrada-Saída'!$B$25:$O$25,'Coordenadas dos Polos'!$P$2:$AC$2)))^2)</f>
        <v>0.13739811943017724</v>
      </c>
      <c r="C25">
        <f>EXP(((-1)/(2*'Cálculos Diversos'!$B$5))*(SQRT(SUMXMY2('Tabela Entrada-Saída'!$B$25:$O$25,'Coordenadas dos Polos'!$AD$2:$AQ$2)))^2)</f>
        <v>8.4857085352848112E-5</v>
      </c>
      <c r="D25">
        <f>EXP(((-1)/(2*'Cálculos Diversos'!$B$5))*(SQRT(SUMXMY2('Tabela Entrada-Saída'!$B$25:$O$25,'Coordenadas dos Polos'!$AR$2:$BE$2)))^2)</f>
        <v>2.6458754195334718E-5</v>
      </c>
      <c r="E25">
        <f>EXP(((-1)/(2*'Cálculos Diversos'!$B$5))*(SQRT(SUMXMY2('Tabela Entrada-Saída'!$B$25:$O$25,'Coordenadas dos Polos'!$BF$2:$BS$2)))^2)</f>
        <v>1.3216249581517349E-4</v>
      </c>
      <c r="F25">
        <f>EXP(((-1)/(2*'Cálculos Diversos'!$B$5))*(SQRT(SUMXMY2('Tabela Entrada-Saída'!$B$25:$O$25,'Coordenadas dos Polos'!$BT$2:$CG$2)))^2)</f>
        <v>3.6523265205655387E-6</v>
      </c>
      <c r="G25">
        <f>EXP(((-1)/(2*'Cálculos Diversos'!$B$5))*(SQRT(SUMXMY2('Tabela Entrada-Saída'!$B$25:$O$25,'Coordenadas dos Polos'!$CH$2:$CU$2)))^2)</f>
        <v>1.277223577618311E-4</v>
      </c>
      <c r="H25">
        <f>EXP(((-1)/(2*'Cálculos Diversos'!$B$5))*(SQRT(SUMXMY2('Tabela Entrada-Saída'!$B$25:$O$25,'Coordenadas dos Polos'!$CV$2:$DI$2)))^2)</f>
        <v>6.1531364834340653E-6</v>
      </c>
      <c r="I25">
        <f>EXP(((-1)/(2*'Cálculos Diversos'!$B$5))*(SQRT(SUMXMY2('Tabela Entrada-Saída'!$B$25:$O$25,'Coordenadas dos Polos'!$DJ$2:$DW$2)))^2)</f>
        <v>2.4152575876676597E-4</v>
      </c>
      <c r="J25">
        <f>EXP(((-1)/(2*'Cálculos Diversos'!$B$5))*(SQRT(SUMXMY2('Tabela Entrada-Saída'!$B$25:$O$25,'Coordenadas dos Polos'!$DX$2:$EK$2)))^2)</f>
        <v>1.0718517916792752E-4</v>
      </c>
      <c r="K25">
        <f>EXP(((-1)/(2*'Cálculos Diversos'!$B$5))*(SQRT(SUMXMY2('Tabela Entrada-Saída'!$B$25:$O$25,'Coordenadas dos Polos'!$EL$2:$EY$2)))^2)</f>
        <v>4.1987683761197832E-6</v>
      </c>
      <c r="L25">
        <f>EXP(((-1)/(2*'Cálculos Diversos'!$B$5))*(SQRT(SUMXMY2('Tabela Entrada-Saída'!$B$25:$O$25,'Coordenadas dos Polos'!$EZ$2:$FM$2)))^2)</f>
        <v>8.494519521991409E-7</v>
      </c>
      <c r="M25">
        <f>EXP(((-1)/(2*'Cálculos Diversos'!$B$5))*(SQRT(SUMXMY2('Tabela Entrada-Saída'!$B$25:$O$25,'Coordenadas dos Polos'!$FN$2:$GA$2)))^2)</f>
        <v>1.6597439085603895E-5</v>
      </c>
      <c r="N25">
        <f>EXP(((-1)/(2*'Cálculos Diversos'!$B$5))*(SQRT(SUMXMY2('Tabela Entrada-Saída'!$B$25:$O$25,'Coordenadas dos Polos'!$GB$2:$GO$2)))^2)</f>
        <v>4.0158721723143682E-5</v>
      </c>
      <c r="O25">
        <f>EXP(((-1)/(2*'Cálculos Diversos'!$B$5))*(SQRT(SUMXMY2('Tabela Entrada-Saída'!$B$25:$O$25,'Coordenadas dos Polos'!$GP$2:$HC$2)))^2)</f>
        <v>3.188914985947276E-6</v>
      </c>
      <c r="P25">
        <v>1</v>
      </c>
    </row>
    <row r="26" spans="1:16" x14ac:dyDescent="0.25">
      <c r="A26">
        <v>25</v>
      </c>
      <c r="B26">
        <f>EXP(((-1)/(2*'Cálculos Diversos'!$B$5))*(SQRT(SUMXMY2('Tabela Entrada-Saída'!$B$26:$O$26,'Coordenadas dos Polos'!$P$2:$AC$2)))^2)</f>
        <v>9.1693218091996265E-2</v>
      </c>
      <c r="C26">
        <f>EXP(((-1)/(2*'Cálculos Diversos'!$B$5))*(SQRT(SUMXMY2('Tabela Entrada-Saída'!$B$26:$O$26,'Coordenadas dos Polos'!$AD$2:$AQ$2)))^2)</f>
        <v>7.5484289093434275E-5</v>
      </c>
      <c r="D26">
        <f>EXP(((-1)/(2*'Cálculos Diversos'!$B$5))*(SQRT(SUMXMY2('Tabela Entrada-Saída'!$B$26:$O$26,'Coordenadas dos Polos'!$AR$2:$BE$2)))^2)</f>
        <v>2.7289505373033961E-5</v>
      </c>
      <c r="E26">
        <f>EXP(((-1)/(2*'Cálculos Diversos'!$B$5))*(SQRT(SUMXMY2('Tabela Entrada-Saída'!$B$26:$O$26,'Coordenadas dos Polos'!$BF$2:$BS$2)))^2)</f>
        <v>9.9383448592068664E-5</v>
      </c>
      <c r="F26">
        <f>EXP(((-1)/(2*'Cálculos Diversos'!$B$5))*(SQRT(SUMXMY2('Tabela Entrada-Saída'!$B$26:$O$26,'Coordenadas dos Polos'!$BT$2:$CG$2)))^2)</f>
        <v>2.52054530480098E-6</v>
      </c>
      <c r="G26">
        <f>EXP(((-1)/(2*'Cálculos Diversos'!$B$5))*(SQRT(SUMXMY2('Tabela Entrada-Saída'!$B$26:$O$26,'Coordenadas dos Polos'!$CH$2:$CU$2)))^2)</f>
        <v>1.2687575453094094E-4</v>
      </c>
      <c r="H26">
        <f>EXP(((-1)/(2*'Cálculos Diversos'!$B$5))*(SQRT(SUMXMY2('Tabela Entrada-Saída'!$B$26:$O$26,'Coordenadas dos Polos'!$CV$2:$DI$2)))^2)</f>
        <v>5.9531556207218834E-6</v>
      </c>
      <c r="I26">
        <f>EXP(((-1)/(2*'Cálculos Diversos'!$B$5))*(SQRT(SUMXMY2('Tabela Entrada-Saída'!$B$26:$O$26,'Coordenadas dos Polos'!$DJ$2:$DW$2)))^2)</f>
        <v>2.6920666109654781E-4</v>
      </c>
      <c r="J26">
        <f>EXP(((-1)/(2*'Cálculos Diversos'!$B$5))*(SQRT(SUMXMY2('Tabela Entrada-Saída'!$B$26:$O$26,'Coordenadas dos Polos'!$DX$2:$EK$2)))^2)</f>
        <v>1.0136377017674491E-4</v>
      </c>
      <c r="K26">
        <f>EXP(((-1)/(2*'Cálculos Diversos'!$B$5))*(SQRT(SUMXMY2('Tabela Entrada-Saída'!$B$26:$O$26,'Coordenadas dos Polos'!$EL$2:$EY$2)))^2)</f>
        <v>4.3000840767472245E-6</v>
      </c>
      <c r="L26">
        <f>EXP(((-1)/(2*'Cálculos Diversos'!$B$5))*(SQRT(SUMXMY2('Tabela Entrada-Saída'!$B$26:$O$26,'Coordenadas dos Polos'!$EZ$2:$FM$2)))^2)</f>
        <v>6.1925500505893527E-7</v>
      </c>
      <c r="M26">
        <f>EXP(((-1)/(2*'Cálculos Diversos'!$B$5))*(SQRT(SUMXMY2('Tabela Entrada-Saída'!$B$26:$O$26,'Coordenadas dos Polos'!$FN$2:$GA$2)))^2)</f>
        <v>1.2444210936077585E-5</v>
      </c>
      <c r="N26">
        <f>EXP(((-1)/(2*'Cálculos Diversos'!$B$5))*(SQRT(SUMXMY2('Tabela Entrada-Saída'!$B$26:$O$26,'Coordenadas dos Polos'!$GB$2:$GO$2)))^2)</f>
        <v>3.0758163736119761E-5</v>
      </c>
      <c r="O26">
        <f>EXP(((-1)/(2*'Cálculos Diversos'!$B$5))*(SQRT(SUMXMY2('Tabela Entrada-Saída'!$B$26:$O$26,'Coordenadas dos Polos'!$GP$2:$HC$2)))^2)</f>
        <v>2.5498772718716805E-6</v>
      </c>
      <c r="P26">
        <v>1</v>
      </c>
    </row>
    <row r="27" spans="1:16" x14ac:dyDescent="0.25">
      <c r="A27">
        <v>26</v>
      </c>
      <c r="B27">
        <f>EXP(((-1)/(2*'Cálculos Diversos'!$B$5))*(SQRT(SUMXMY2('Tabela Entrada-Saída'!$B$27:$O$27,'Coordenadas dos Polos'!$P$2:$AC$2)))^2)</f>
        <v>0.17789460461252082</v>
      </c>
      <c r="C27">
        <f>EXP(((-1)/(2*'Cálculos Diversos'!$B$5))*(SQRT(SUMXMY2('Tabela Entrada-Saída'!$B$27:$O$27,'Coordenadas dos Polos'!$AD$2:$AQ$2)))^2)</f>
        <v>8.9488221652480964E-5</v>
      </c>
      <c r="D27">
        <f>EXP(((-1)/(2*'Cálculos Diversos'!$B$5))*(SQRT(SUMXMY2('Tabela Entrada-Saída'!$B$27:$O$27,'Coordenadas dos Polos'!$AR$2:$BE$2)))^2)</f>
        <v>2.5060911795564762E-5</v>
      </c>
      <c r="E27">
        <f>EXP(((-1)/(2*'Cálculos Diversos'!$B$5))*(SQRT(SUMXMY2('Tabela Entrada-Saída'!$B$27:$O$27,'Coordenadas dos Polos'!$BF$2:$BS$2)))^2)</f>
        <v>1.569867405073244E-4</v>
      </c>
      <c r="F27">
        <f>EXP(((-1)/(2*'Cálculos Diversos'!$B$5))*(SQRT(SUMXMY2('Tabela Entrada-Saída'!$B$27:$O$27,'Coordenadas dos Polos'!$BT$2:$CG$2)))^2)</f>
        <v>4.6064774644057494E-6</v>
      </c>
      <c r="G27">
        <f>EXP(((-1)/(2*'Cálculos Diversos'!$B$5))*(SQRT(SUMXMY2('Tabela Entrada-Saída'!$B$27:$O$27,'Coordenadas dos Polos'!$CH$2:$CU$2)))^2)</f>
        <v>1.2407007444224666E-4</v>
      </c>
      <c r="H27">
        <f>EXP(((-1)/(2*'Cálculos Diversos'!$B$5))*(SQRT(SUMXMY2('Tabela Entrada-Saída'!$B$27:$O$27,'Coordenadas dos Polos'!$CV$2:$DI$2)))^2)</f>
        <v>6.122859792719226E-6</v>
      </c>
      <c r="I27">
        <f>EXP(((-1)/(2*'Cálculos Diversos'!$B$5))*(SQRT(SUMXMY2('Tabela Entrada-Saída'!$B$27:$O$27,'Coordenadas dos Polos'!$DJ$2:$DW$2)))^2)</f>
        <v>2.1590408632872192E-4</v>
      </c>
      <c r="J27">
        <f>EXP(((-1)/(2*'Cálculos Diversos'!$B$5))*(SQRT(SUMXMY2('Tabela Entrada-Saída'!$B$27:$O$27,'Coordenadas dos Polos'!$DX$2:$EK$2)))^2)</f>
        <v>1.078921660011141E-4</v>
      </c>
      <c r="K27">
        <f>EXP(((-1)/(2*'Cálculos Diversos'!$B$5))*(SQRT(SUMXMY2('Tabela Entrada-Saída'!$B$27:$O$27,'Coordenadas dos Polos'!$EL$2:$EY$2)))^2)</f>
        <v>4.0035015900160232E-6</v>
      </c>
      <c r="L27">
        <f>EXP(((-1)/(2*'Cálculos Diversos'!$B$5))*(SQRT(SUMXMY2('Tabela Entrada-Saída'!$B$27:$O$27,'Coordenadas dos Polos'!$EZ$2:$FM$2)))^2)</f>
        <v>1.0314001323480599E-6</v>
      </c>
      <c r="M27">
        <f>EXP(((-1)/(2*'Cálculos Diversos'!$B$5))*(SQRT(SUMXMY2('Tabela Entrada-Saída'!$B$27:$O$27,'Coordenadas dos Polos'!$FN$2:$GA$2)))^2)</f>
        <v>1.9769735259446677E-5</v>
      </c>
      <c r="N27">
        <f>EXP(((-1)/(2*'Cálculos Diversos'!$B$5))*(SQRT(SUMXMY2('Tabela Entrada-Saída'!$B$27:$O$27,'Coordenadas dos Polos'!$GB$2:$GO$2)))^2)</f>
        <v>4.7256327274404913E-5</v>
      </c>
      <c r="O27">
        <f>EXP(((-1)/(2*'Cálculos Diversos'!$B$5))*(SQRT(SUMXMY2('Tabela Entrada-Saída'!$B$27:$O$27,'Coordenadas dos Polos'!$GP$2:$HC$2)))^2)</f>
        <v>3.6206873865856404E-6</v>
      </c>
      <c r="P27">
        <v>1</v>
      </c>
    </row>
    <row r="28" spans="1:16" x14ac:dyDescent="0.25">
      <c r="A28">
        <v>27</v>
      </c>
      <c r="B28">
        <f>EXP(((-1)/(2*'Cálculos Diversos'!$B$5))*(SQRT(SUMXMY2('Tabela Entrada-Saída'!$B$28:$O$28,'Coordenadas dos Polos'!$P$2:$AC$2)))^2)</f>
        <v>9.051403652021979E-2</v>
      </c>
      <c r="C28">
        <f>EXP(((-1)/(2*'Cálculos Diversos'!$B$5))*(SQRT(SUMXMY2('Tabela Entrada-Saída'!$B$28:$O$28,'Coordenadas dos Polos'!$AD$2:$AQ$2)))^2)</f>
        <v>7.5028755922818129E-5</v>
      </c>
      <c r="D28">
        <f>EXP(((-1)/(2*'Cálculos Diversos'!$B$5))*(SQRT(SUMXMY2('Tabela Entrada-Saída'!$B$28:$O$28,'Coordenadas dos Polos'!$AR$2:$BE$2)))^2)</f>
        <v>2.725419291967046E-5</v>
      </c>
      <c r="E28">
        <f>EXP(((-1)/(2*'Cálculos Diversos'!$B$5))*(SQRT(SUMXMY2('Tabela Entrada-Saída'!$B$28:$O$28,'Coordenadas dos Polos'!$BF$2:$BS$2)))^2)</f>
        <v>9.8343190790964343E-5</v>
      </c>
      <c r="F28">
        <f>EXP(((-1)/(2*'Cálculos Diversos'!$B$5))*(SQRT(SUMXMY2('Tabela Entrada-Saída'!$B$28:$O$28,'Coordenadas dos Polos'!$BT$2:$CG$2)))^2)</f>
        <v>2.4889173734863801E-6</v>
      </c>
      <c r="G28">
        <f>EXP(((-1)/(2*'Cálculos Diversos'!$B$5))*(SQRT(SUMXMY2('Tabela Entrada-Saída'!$B$28:$O$28,'Coordenadas dos Polos'!$CH$2:$CU$2)))^2)</f>
        <v>1.266079523084497E-4</v>
      </c>
      <c r="H28">
        <f>EXP(((-1)/(2*'Cálculos Diversos'!$B$5))*(SQRT(SUMXMY2('Tabela Entrada-Saída'!$B$28:$O$28,'Coordenadas dos Polos'!$CV$2:$DI$2)))^2)</f>
        <v>5.9313285098814041E-6</v>
      </c>
      <c r="I28">
        <f>EXP(((-1)/(2*'Cálculos Diversos'!$B$5))*(SQRT(SUMXMY2('Tabela Entrada-Saída'!$B$28:$O$28,'Coordenadas dos Polos'!$DJ$2:$DW$2)))^2)</f>
        <v>2.6948845043835227E-4</v>
      </c>
      <c r="J28">
        <f>EXP(((-1)/(2*'Cálculos Diversos'!$B$5))*(SQRT(SUMXMY2('Tabela Entrada-Saída'!$B$28:$O$28,'Coordenadas dos Polos'!$DX$2:$EK$2)))^2)</f>
        <v>1.0103509227896629E-4</v>
      </c>
      <c r="K28">
        <f>EXP(((-1)/(2*'Cálculos Diversos'!$B$5))*(SQRT(SUMXMY2('Tabela Entrada-Saída'!$B$28:$O$28,'Coordenadas dos Polos'!$EL$2:$EY$2)))^2)</f>
        <v>4.2924006332251996E-6</v>
      </c>
      <c r="L28">
        <f>EXP(((-1)/(2*'Cálculos Diversos'!$B$5))*(SQRT(SUMXMY2('Tabela Entrada-Saída'!$B$28:$O$28,'Coordenadas dos Polos'!$EZ$2:$FM$2)))^2)</f>
        <v>6.1228106445602769E-7</v>
      </c>
      <c r="M28">
        <f>EXP(((-1)/(2*'Cálculos Diversos'!$B$5))*(SQRT(SUMXMY2('Tabela Entrada-Saída'!$B$28:$O$28,'Coordenadas dos Polos'!$FN$2:$GA$2)))^2)</f>
        <v>1.2308754675052327E-5</v>
      </c>
      <c r="N28">
        <f>EXP(((-1)/(2*'Cálculos Diversos'!$B$5))*(SQRT(SUMXMY2('Tabela Entrada-Saída'!$B$28:$O$28,'Coordenadas dos Polos'!$GB$2:$GO$2)))^2)</f>
        <v>3.0450475034709663E-5</v>
      </c>
      <c r="O28">
        <f>EXP(((-1)/(2*'Cálculos Diversos'!$B$5))*(SQRT(SUMXMY2('Tabela Entrada-Saída'!$B$28:$O$28,'Coordenadas dos Polos'!$GP$2:$HC$2)))^2)</f>
        <v>2.5287186648147008E-6</v>
      </c>
      <c r="P28">
        <v>1</v>
      </c>
    </row>
    <row r="29" spans="1:16" x14ac:dyDescent="0.25">
      <c r="A29">
        <v>28</v>
      </c>
      <c r="B29">
        <f>EXP(((-1)/(2*'Cálculos Diversos'!$B$5))*(SQRT(SUMXMY2('Tabela Entrada-Saída'!$B$29:$O$29,'Coordenadas dos Polos'!$P$2:$AC$2)))^2)</f>
        <v>6.8127574352639178E-2</v>
      </c>
      <c r="C29">
        <f>EXP(((-1)/(2*'Cálculos Diversos'!$B$5))*(SQRT(SUMXMY2('Tabela Entrada-Saída'!$B$29:$O$29,'Coordenadas dos Polos'!$AD$2:$AQ$2)))^2)</f>
        <v>6.7680457384617881E-5</v>
      </c>
      <c r="D29">
        <f>EXP(((-1)/(2*'Cálculos Diversos'!$B$5))*(SQRT(SUMXMY2('Tabela Entrada-Saída'!$B$29:$O$29,'Coordenadas dos Polos'!$AR$2:$BE$2)))^2)</f>
        <v>2.6965418777503679E-5</v>
      </c>
      <c r="E29">
        <f>EXP(((-1)/(2*'Cálculos Diversos'!$B$5))*(SQRT(SUMXMY2('Tabela Entrada-Saída'!$B$29:$O$29,'Coordenadas dos Polos'!$BF$2:$BS$2)))^2)</f>
        <v>7.9820078288705601E-5</v>
      </c>
      <c r="F29">
        <f>EXP(((-1)/(2*'Cálculos Diversos'!$B$5))*(SQRT(SUMXMY2('Tabela Entrada-Saída'!$B$29:$O$29,'Coordenadas dos Polos'!$BT$2:$CG$2)))^2)</f>
        <v>1.9176128313759985E-6</v>
      </c>
      <c r="G29">
        <f>EXP(((-1)/(2*'Cálculos Diversos'!$B$5))*(SQRT(SUMXMY2('Tabela Entrada-Saída'!$B$29:$O$29,'Coordenadas dos Polos'!$CH$2:$CU$2)))^2)</f>
        <v>1.2270261334351062E-4</v>
      </c>
      <c r="H29">
        <f>EXP(((-1)/(2*'Cálculos Diversos'!$B$5))*(SQRT(SUMXMY2('Tabela Entrada-Saída'!$B$29:$O$29,'Coordenadas dos Polos'!$CV$2:$DI$2)))^2)</f>
        <v>5.6361222544109539E-6</v>
      </c>
      <c r="I29">
        <f>EXP(((-1)/(2*'Cálculos Diversos'!$B$5))*(SQRT(SUMXMY2('Tabela Entrada-Saída'!$B$29:$O$29,'Coordenadas dos Polos'!$DJ$2:$DW$2)))^2)</f>
        <v>2.8018927551825261E-4</v>
      </c>
      <c r="J29">
        <f>EXP(((-1)/(2*'Cálculos Diversos'!$B$5))*(SQRT(SUMXMY2('Tabela Entrada-Saída'!$B$29:$O$29,'Coordenadas dos Polos'!$DX$2:$EK$2)))^2)</f>
        <v>9.4999531888172574E-5</v>
      </c>
      <c r="K29">
        <f>EXP(((-1)/(2*'Cálculos Diversos'!$B$5))*(SQRT(SUMXMY2('Tabela Entrada-Saída'!$B$29:$O$29,'Coordenadas dos Polos'!$EL$2:$EY$2)))^2)</f>
        <v>4.2270719260160654E-6</v>
      </c>
      <c r="L29">
        <f>EXP(((-1)/(2*'Cálculos Diversos'!$B$5))*(SQRT(SUMXMY2('Tabela Entrada-Saída'!$B$29:$O$29,'Coordenadas dos Polos'!$EZ$2:$FM$2)))^2)</f>
        <v>4.8779563078099089E-7</v>
      </c>
      <c r="M29">
        <f>EXP(((-1)/(2*'Cálculos Diversos'!$B$5))*(SQRT(SUMXMY2('Tabela Entrada-Saída'!$B$29:$O$29,'Coordenadas dos Polos'!$FN$2:$GA$2)))^2)</f>
        <v>9.970230554999855E-6</v>
      </c>
      <c r="N29">
        <f>EXP(((-1)/(2*'Cálculos Diversos'!$B$5))*(SQRT(SUMXMY2('Tabela Entrada-Saída'!$B$29:$O$29,'Coordenadas dos Polos'!$GB$2:$GO$2)))^2)</f>
        <v>2.498857806609618E-5</v>
      </c>
      <c r="O29">
        <f>EXP(((-1)/(2*'Cálculos Diversos'!$B$5))*(SQRT(SUMXMY2('Tabela Entrada-Saída'!$B$29:$O$29,'Coordenadas dos Polos'!$GP$2:$HC$2)))^2)</f>
        <v>2.1358596896169804E-6</v>
      </c>
      <c r="P29">
        <v>1</v>
      </c>
    </row>
    <row r="30" spans="1:16" x14ac:dyDescent="0.25">
      <c r="A30">
        <v>29</v>
      </c>
      <c r="B30">
        <f>EXP(((-1)/(2*'Cálculos Diversos'!$B$5))*(SQRT(SUMXMY2('Tabela Entrada-Saída'!$B$30:$O$30,'Coordenadas dos Polos'!$P$2:$AC$2)))^2)</f>
        <v>5.7816491818483175E-2</v>
      </c>
      <c r="C30">
        <f>EXP(((-1)/(2*'Cálculos Diversos'!$B$5))*(SQRT(SUMXMY2('Tabela Entrada-Saída'!$B$30:$O$30,'Coordenadas dos Polos'!$AD$2:$AQ$2)))^2)</f>
        <v>6.3498652738833654E-5</v>
      </c>
      <c r="D30">
        <f>EXP(((-1)/(2*'Cálculos Diversos'!$B$5))*(SQRT(SUMXMY2('Tabela Entrada-Saída'!$B$30:$O$30,'Coordenadas dos Polos'!$AR$2:$BE$2)))^2)</f>
        <v>2.6615906526220892E-5</v>
      </c>
      <c r="E30">
        <f>EXP(((-1)/(2*'Cálculos Diversos'!$B$5))*(SQRT(SUMXMY2('Tabela Entrada-Saída'!$B$30:$O$30,'Coordenadas dos Polos'!$BF$2:$BS$2)))^2)</f>
        <v>7.0632171130563764E-5</v>
      </c>
      <c r="F30">
        <f>EXP(((-1)/(2*'Cálculos Diversos'!$B$5))*(SQRT(SUMXMY2('Tabela Entrada-Saída'!$B$30:$O$30,'Coordenadas dos Polos'!$BT$2:$CG$2)))^2)</f>
        <v>1.6477425160845303E-6</v>
      </c>
      <c r="G30">
        <f>EXP(((-1)/(2*'Cálculos Diversos'!$B$5))*(SQRT(SUMXMY2('Tabela Entrada-Saída'!$B$30:$O$30,'Coordenadas dos Polos'!$CH$2:$CU$2)))^2)</f>
        <v>1.1952765776093797E-4</v>
      </c>
      <c r="H30">
        <f>EXP(((-1)/(2*'Cálculos Diversos'!$B$5))*(SQRT(SUMXMY2('Tabela Entrada-Saída'!$B$30:$O$30,'Coordenadas dos Polos'!$CV$2:$DI$2)))^2)</f>
        <v>5.4458500764826144E-6</v>
      </c>
      <c r="I30">
        <f>EXP(((-1)/(2*'Cálculos Diversos'!$B$5))*(SQRT(SUMXMY2('Tabela Entrada-Saída'!$B$30:$O$30,'Coordenadas dos Polos'!$DJ$2:$DW$2)))^2)</f>
        <v>2.8395321822021152E-4</v>
      </c>
      <c r="J30">
        <f>EXP(((-1)/(2*'Cálculos Diversos'!$B$5))*(SQRT(SUMXMY2('Tabela Entrada-Saída'!$B$30:$O$30,'Coordenadas dos Polos'!$DX$2:$EK$2)))^2)</f>
        <v>9.1024413005638045E-5</v>
      </c>
      <c r="K30">
        <f>EXP(((-1)/(2*'Cálculos Diversos'!$B$5))*(SQRT(SUMXMY2('Tabela Entrada-Saída'!$B$30:$O$30,'Coordenadas dos Polos'!$EL$2:$EY$2)))^2)</f>
        <v>4.162345508092437E-6</v>
      </c>
      <c r="L30">
        <f>EXP(((-1)/(2*'Cálculos Diversos'!$B$5))*(SQRT(SUMXMY2('Tabela Entrada-Saída'!$B$30:$O$30,'Coordenadas dos Polos'!$EZ$2:$FM$2)))^2)</f>
        <v>4.2724643573786883E-7</v>
      </c>
      <c r="M30">
        <f>EXP(((-1)/(2*'Cálculos Diversos'!$B$5))*(SQRT(SUMXMY2('Tabela Entrada-Saída'!$B$30:$O$30,'Coordenadas dos Polos'!$FN$2:$GA$2)))^2)</f>
        <v>8.8167392561886113E-6</v>
      </c>
      <c r="N30">
        <f>EXP(((-1)/(2*'Cálculos Diversos'!$B$5))*(SQRT(SUMXMY2('Tabela Entrada-Saída'!$B$30:$O$30,'Coordenadas dos Polos'!$GB$2:$GO$2)))^2)</f>
        <v>2.2270059017809979E-5</v>
      </c>
      <c r="O30">
        <f>EXP(((-1)/(2*'Cálculos Diversos'!$B$5))*(SQRT(SUMXMY2('Tabela Entrada-Saída'!$B$30:$O$30,'Coordenadas dos Polos'!$GP$2:$HC$2)))^2)</f>
        <v>1.9301294162418431E-6</v>
      </c>
      <c r="P30">
        <v>1</v>
      </c>
    </row>
    <row r="31" spans="1:16" x14ac:dyDescent="0.25">
      <c r="A31">
        <v>30</v>
      </c>
      <c r="B31">
        <f>EXP(((-1)/(2*'Cálculos Diversos'!$B$5))*(SQRT(SUMXMY2('Tabela Entrada-Saída'!$B$31:$O$31,'Coordenadas dos Polos'!$P$2:$AC$2)))^2)</f>
        <v>7.1550038220541692E-2</v>
      </c>
      <c r="C31">
        <f>EXP(((-1)/(2*'Cálculos Diversos'!$B$5))*(SQRT(SUMXMY2('Tabela Entrada-Saída'!$B$31:$O$31,'Coordenadas dos Polos'!$AD$2:$AQ$2)))^2)</f>
        <v>6.9200221740103521E-5</v>
      </c>
      <c r="D31">
        <f>EXP(((-1)/(2*'Cálculos Diversos'!$B$5))*(SQRT(SUMXMY2('Tabela Entrada-Saída'!$B$31:$O$31,'Coordenadas dos Polos'!$AR$2:$BE$2)))^2)</f>
        <v>2.7133533825561151E-5</v>
      </c>
      <c r="E31">
        <f>EXP(((-1)/(2*'Cálculos Diversos'!$B$5))*(SQRT(SUMXMY2('Tabela Entrada-Saída'!$B$31:$O$31,'Coordenadas dos Polos'!$BF$2:$BS$2)))^2)</f>
        <v>8.283343392695803E-5</v>
      </c>
      <c r="F31">
        <f>EXP(((-1)/(2*'Cálculos Diversos'!$B$5))*(SQRT(SUMXMY2('Tabela Entrada-Saída'!$B$31:$O$31,'Coordenadas dos Polos'!$BT$2:$CG$2)))^2)</f>
        <v>2.006332482641907E-6</v>
      </c>
      <c r="G31">
        <f>EXP(((-1)/(2*'Cálculos Diversos'!$B$5))*(SQRT(SUMXMY2('Tabela Entrada-Saída'!$B$31:$O$31,'Coordenadas dos Polos'!$CH$2:$CU$2)))^2)</f>
        <v>1.2359783958682604E-4</v>
      </c>
      <c r="H31">
        <f>EXP(((-1)/(2*'Cálculos Diversos'!$B$5))*(SQRT(SUMXMY2('Tabela Entrada-Saída'!$B$31:$O$31,'Coordenadas dos Polos'!$CV$2:$DI$2)))^2)</f>
        <v>5.7313674957445075E-6</v>
      </c>
      <c r="I31">
        <f>EXP(((-1)/(2*'Cálculos Diversos'!$B$5))*(SQRT(SUMXMY2('Tabela Entrada-Saída'!$B$31:$O$31,'Coordenadas dos Polos'!$DJ$2:$DW$2)))^2)</f>
        <v>2.7892338410152585E-4</v>
      </c>
      <c r="J31">
        <f>EXP(((-1)/(2*'Cálculos Diversos'!$B$5))*(SQRT(SUMXMY2('Tabela Entrada-Saída'!$B$31:$O$31,'Coordenadas dos Polos'!$DX$2:$EK$2)))^2)</f>
        <v>9.6351516885588462E-5</v>
      </c>
      <c r="K31">
        <f>EXP(((-1)/(2*'Cálculos Diversos'!$B$5))*(SQRT(SUMXMY2('Tabela Entrada-Saída'!$B$31:$O$31,'Coordenadas dos Polos'!$EL$2:$EY$2)))^2)</f>
        <v>4.2601386928320018E-6</v>
      </c>
      <c r="L31">
        <f>EXP(((-1)/(2*'Cálculos Diversos'!$B$5))*(SQRT(SUMXMY2('Tabela Entrada-Saída'!$B$31:$O$31,'Coordenadas dos Polos'!$EZ$2:$FM$2)))^2)</f>
        <v>5.0833427540589215E-7</v>
      </c>
      <c r="M31">
        <f>EXP(((-1)/(2*'Cálculos Diversos'!$B$5))*(SQRT(SUMXMY2('Tabela Entrada-Saída'!$B$31:$O$31,'Coordenadas dos Polos'!$FN$2:$GA$2)))^2)</f>
        <v>1.0362466440587435E-5</v>
      </c>
      <c r="N31">
        <f>EXP(((-1)/(2*'Cálculos Diversos'!$B$5))*(SQRT(SUMXMY2('Tabela Entrada-Saída'!$B$31:$O$31,'Coordenadas dos Polos'!$GB$2:$GO$2)))^2)</f>
        <v>2.601289937202218E-5</v>
      </c>
      <c r="O31">
        <f>EXP(((-1)/(2*'Cálculos Diversos'!$B$5))*(SQRT(SUMXMY2('Tabela Entrada-Saída'!$B$31:$O$31,'Coordenadas dos Polos'!$GP$2:$HC$2)))^2)</f>
        <v>2.1997506744378721E-6</v>
      </c>
      <c r="P31">
        <v>1</v>
      </c>
    </row>
    <row r="32" spans="1:16" x14ac:dyDescent="0.25">
      <c r="A32">
        <v>31</v>
      </c>
      <c r="B32">
        <f>EXP(((-1)/(2*'Cálculos Diversos'!$B$5))*(SQRT(SUMXMY2('Tabela Entrada-Saída'!$B$32:$O$32,'Coordenadas dos Polos'!$P$2:$AC$2)))^2)</f>
        <v>0.16402581843021843</v>
      </c>
      <c r="C32">
        <f>EXP(((-1)/(2*'Cálculos Diversos'!$B$5))*(SQRT(SUMXMY2('Tabela Entrada-Saída'!$B$32:$O$32,'Coordenadas dos Polos'!$AD$2:$AQ$2)))^2)</f>
        <v>8.8003259698363309E-5</v>
      </c>
      <c r="D32">
        <f>EXP(((-1)/(2*'Cálculos Diversos'!$B$5))*(SQRT(SUMXMY2('Tabela Entrada-Saída'!$B$32:$O$32,'Coordenadas dos Polos'!$AR$2:$BE$2)))^2)</f>
        <v>2.5551967442032189E-5</v>
      </c>
      <c r="E32">
        <f>EXP(((-1)/(2*'Cálculos Diversos'!$B$5))*(SQRT(SUMXMY2('Tabela Entrada-Saída'!$B$32:$O$32,'Coordenadas dos Polos'!$BF$2:$BS$2)))^2)</f>
        <v>1.4882760020548075E-4</v>
      </c>
      <c r="F32">
        <f>EXP(((-1)/(2*'Cálculos Diversos'!$B$5))*(SQRT(SUMXMY2('Tabela Entrada-Saída'!$B$32:$O$32,'Coordenadas dos Polos'!$BT$2:$CG$2)))^2)</f>
        <v>4.2797834464647657E-6</v>
      </c>
      <c r="G32">
        <f>EXP(((-1)/(2*'Cálculos Diversos'!$B$5))*(SQRT(SUMXMY2('Tabela Entrada-Saída'!$B$32:$O$32,'Coordenadas dos Polos'!$CH$2:$CU$2)))^2)</f>
        <v>1.2549255664385668E-4</v>
      </c>
      <c r="H32">
        <f>EXP(((-1)/(2*'Cálculos Diversos'!$B$5))*(SQRT(SUMXMY2('Tabela Entrada-Saída'!$B$32:$O$32,'Coordenadas dos Polos'!$CV$2:$DI$2)))^2)</f>
        <v>6.1218463099679822E-6</v>
      </c>
      <c r="I32">
        <f>EXP(((-1)/(2*'Cálculos Diversos'!$B$5))*(SQRT(SUMXMY2('Tabela Entrada-Saída'!$B$32:$O$32,'Coordenadas dos Polos'!$DJ$2:$DW$2)))^2)</f>
        <v>2.2478285676456305E-4</v>
      </c>
      <c r="J32">
        <f>EXP(((-1)/(2*'Cálculos Diversos'!$B$5))*(SQRT(SUMXMY2('Tabela Entrada-Saída'!$B$32:$O$32,'Coordenadas dos Polos'!$DX$2:$EK$2)))^2)</f>
        <v>1.0762892388437403E-4</v>
      </c>
      <c r="K32">
        <f>EXP(((-1)/(2*'Cálculos Diversos'!$B$5))*(SQRT(SUMXMY2('Tabela Entrada-Saída'!$B$32:$O$32,'Coordenadas dos Polos'!$EL$2:$EY$2)))^2)</f>
        <v>4.0699794056200075E-6</v>
      </c>
      <c r="L32">
        <f>EXP(((-1)/(2*'Cálculos Diversos'!$B$5))*(SQRT(SUMXMY2('Tabela Entrada-Saída'!$B$32:$O$32,'Coordenadas dos Polos'!$EZ$2:$FM$2)))^2)</f>
        <v>9.6935422467090955E-7</v>
      </c>
      <c r="M32">
        <f>EXP(((-1)/(2*'Cálculos Diversos'!$B$5))*(SQRT(SUMXMY2('Tabela Entrada-Saída'!$B$32:$O$32,'Coordenadas dos Polos'!$FN$2:$GA$2)))^2)</f>
        <v>1.8709836737130287E-5</v>
      </c>
      <c r="N32">
        <f>EXP(((-1)/(2*'Cálculos Diversos'!$B$5))*(SQRT(SUMXMY2('Tabela Entrada-Saída'!$B$32:$O$32,'Coordenadas dos Polos'!$GB$2:$GO$2)))^2)</f>
        <v>4.4744336454869103E-5</v>
      </c>
      <c r="O32">
        <f>EXP(((-1)/(2*'Cálculos Diversos'!$B$5))*(SQRT(SUMXMY2('Tabela Entrada-Saída'!$B$32:$O$32,'Coordenadas dos Polos'!$GP$2:$HC$2)))^2)</f>
        <v>3.4835830461582021E-6</v>
      </c>
      <c r="P32">
        <v>1</v>
      </c>
    </row>
    <row r="33" spans="1:16" x14ac:dyDescent="0.25">
      <c r="A33">
        <v>32</v>
      </c>
      <c r="B33">
        <f>EXP(((-1)/(2*'Cálculos Diversos'!$B$5))*(SQRT(SUMXMY2('Tabela Entrada-Saída'!$B$33:$O$33,'Coordenadas dos Polos'!$P$2:$AC$2)))^2)</f>
        <v>0.12884196539610634</v>
      </c>
      <c r="C33">
        <f>EXP(((-1)/(2*'Cálculos Diversos'!$B$5))*(SQRT(SUMXMY2('Tabela Entrada-Saída'!$B$33:$O$33,'Coordenadas dos Polos'!$AD$2:$AQ$2)))^2)</f>
        <v>8.377422042485529E-5</v>
      </c>
      <c r="D33">
        <f>EXP(((-1)/(2*'Cálculos Diversos'!$B$5))*(SQRT(SUMXMY2('Tabela Entrada-Saída'!$B$33:$O$33,'Coordenadas dos Polos'!$AR$2:$BE$2)))^2)</f>
        <v>2.6766827217347444E-5</v>
      </c>
      <c r="E33">
        <f>EXP(((-1)/(2*'Cálculos Diversos'!$B$5))*(SQRT(SUMXMY2('Tabela Entrada-Saída'!$B$33:$O$33,'Coordenadas dos Polos'!$BF$2:$BS$2)))^2)</f>
        <v>1.2655852572277229E-4</v>
      </c>
      <c r="F33">
        <f>EXP(((-1)/(2*'Cálculos Diversos'!$B$5))*(SQRT(SUMXMY2('Tabela Entrada-Saída'!$B$33:$O$33,'Coordenadas dos Polos'!$BT$2:$CG$2)))^2)</f>
        <v>3.4458366657735499E-6</v>
      </c>
      <c r="G33">
        <f>EXP(((-1)/(2*'Cálculos Diversos'!$B$5))*(SQRT(SUMXMY2('Tabela Entrada-Saída'!$B$33:$O$33,'Coordenadas dos Polos'!$CH$2:$CU$2)))^2)</f>
        <v>1.2816382773672946E-4</v>
      </c>
      <c r="H33">
        <f>EXP(((-1)/(2*'Cálculos Diversos'!$B$5))*(SQRT(SUMXMY2('Tabela Entrada-Saída'!$B$33:$O$33,'Coordenadas dos Polos'!$CV$2:$DI$2)))^2)</f>
        <v>6.176085708398985E-6</v>
      </c>
      <c r="I33">
        <f>EXP(((-1)/(2*'Cálculos Diversos'!$B$5))*(SQRT(SUMXMY2('Tabela Entrada-Saída'!$B$33:$O$33,'Coordenadas dos Polos'!$DJ$2:$DW$2)))^2)</f>
        <v>2.4709753360683395E-4</v>
      </c>
      <c r="J33">
        <f>EXP(((-1)/(2*'Cálculos Diversos'!$B$5))*(SQRT(SUMXMY2('Tabela Entrada-Saída'!$B$33:$O$33,'Coordenadas dos Polos'!$DX$2:$EK$2)))^2)</f>
        <v>1.0681098156920629E-4</v>
      </c>
      <c r="K33">
        <f>EXP(((-1)/(2*'Cálculos Diversos'!$B$5))*(SQRT(SUMXMY2('Tabela Entrada-Saída'!$B$33:$O$33,'Coordenadas dos Polos'!$EL$2:$EY$2)))^2)</f>
        <v>4.2452400390578004E-6</v>
      </c>
      <c r="L33">
        <f>EXP(((-1)/(2*'Cálculos Diversos'!$B$5))*(SQRT(SUMXMY2('Tabela Entrada-Saída'!$B$33:$O$33,'Coordenadas dos Polos'!$EZ$2:$FM$2)))^2)</f>
        <v>8.0989900604138546E-7</v>
      </c>
      <c r="M33">
        <f>EXP(((-1)/(2*'Cálculos Diversos'!$B$5))*(SQRT(SUMXMY2('Tabela Entrada-Saída'!$B$33:$O$33,'Coordenadas dos Polos'!$FN$2:$GA$2)))^2)</f>
        <v>1.5901235430287488E-5</v>
      </c>
      <c r="N33">
        <f>EXP(((-1)/(2*'Cálculos Diversos'!$B$5))*(SQRT(SUMXMY2('Tabela Entrada-Saída'!$B$33:$O$33,'Coordenadas dos Polos'!$GB$2:$GO$2)))^2)</f>
        <v>3.8717591949743124E-5</v>
      </c>
      <c r="O33">
        <f>EXP(((-1)/(2*'Cálculos Diversos'!$B$5))*(SQRT(SUMXMY2('Tabela Entrada-Saída'!$B$33:$O$33,'Coordenadas dos Polos'!$GP$2:$HC$2)))^2)</f>
        <v>3.0831809563151047E-6</v>
      </c>
      <c r="P33">
        <v>1</v>
      </c>
    </row>
    <row r="34" spans="1:16" x14ac:dyDescent="0.25">
      <c r="A34">
        <v>33</v>
      </c>
      <c r="B34">
        <f>EXP(((-1)/(2*'Cálculos Diversos'!$B$5))*(SQRT(SUMXMY2('Tabela Entrada-Saída'!$B$34:$O$34,'Coordenadas dos Polos'!$P$2:$AC$2)))^2)</f>
        <v>6.4186166282325249E-2</v>
      </c>
      <c r="C34">
        <f>EXP(((-1)/(2*'Cálculos Diversos'!$B$5))*(SQRT(SUMXMY2('Tabela Entrada-Saída'!$B$34:$O$34,'Coordenadas dos Polos'!$AD$2:$AQ$2)))^2)</f>
        <v>6.6214482520342651E-5</v>
      </c>
      <c r="D34">
        <f>EXP(((-1)/(2*'Cálculos Diversos'!$B$5))*(SQRT(SUMXMY2('Tabela Entrada-Saída'!$B$34:$O$34,'Coordenadas dos Polos'!$AR$2:$BE$2)))^2)</f>
        <v>2.6892517012192209E-5</v>
      </c>
      <c r="E34">
        <f>EXP(((-1)/(2*'Cálculos Diversos'!$B$5))*(SQRT(SUMXMY2('Tabela Entrada-Saída'!$B$34:$O$34,'Coordenadas dos Polos'!$BF$2:$BS$2)))^2)</f>
        <v>7.6372956515281524E-5</v>
      </c>
      <c r="F34">
        <f>EXP(((-1)/(2*'Cálculos Diversos'!$B$5))*(SQRT(SUMXMY2('Tabela Entrada-Saída'!$B$34:$O$34,'Coordenadas dos Polos'!$BT$2:$CG$2)))^2)</f>
        <v>1.8135014064807029E-6</v>
      </c>
      <c r="G34">
        <f>EXP(((-1)/(2*'Cálculos Diversos'!$B$5))*(SQRT(SUMXMY2('Tabela Entrada-Saída'!$B$34:$O$34,'Coordenadas dos Polos'!$CH$2:$CU$2)))^2)</f>
        <v>1.2152627999473156E-4</v>
      </c>
      <c r="H34">
        <f>EXP(((-1)/(2*'Cálculos Diversos'!$B$5))*(SQRT(SUMXMY2('Tabela Entrada-Saída'!$B$34:$O$34,'Coordenadas dos Polos'!$CV$2:$DI$2)))^2)</f>
        <v>5.5805962251283489E-6</v>
      </c>
      <c r="I34">
        <f>EXP(((-1)/(2*'Cálculos Diversos'!$B$5))*(SQRT(SUMXMY2('Tabela Entrada-Saída'!$B$34:$O$34,'Coordenadas dos Polos'!$DJ$2:$DW$2)))^2)</f>
        <v>2.8193924676529373E-4</v>
      </c>
      <c r="J34">
        <f>EXP(((-1)/(2*'Cálculos Diversos'!$B$5))*(SQRT(SUMXMY2('Tabela Entrada-Saída'!$B$34:$O$34,'Coordenadas dos Polos'!$DX$2:$EK$2)))^2)</f>
        <v>9.3532293575628947E-5</v>
      </c>
      <c r="K34">
        <f>EXP(((-1)/(2*'Cálculos Diversos'!$B$5))*(SQRT(SUMXMY2('Tabela Entrada-Saída'!$B$34:$O$34,'Coordenadas dos Polos'!$EL$2:$EY$2)))^2)</f>
        <v>4.2120882082019567E-6</v>
      </c>
      <c r="L34">
        <f>EXP(((-1)/(2*'Cálculos Diversos'!$B$5))*(SQRT(SUMXMY2('Tabela Entrada-Saída'!$B$34:$O$34,'Coordenadas dos Polos'!$EZ$2:$FM$2)))^2)</f>
        <v>4.6494404273675109E-7</v>
      </c>
      <c r="M34">
        <f>EXP(((-1)/(2*'Cálculos Diversos'!$B$5))*(SQRT(SUMXMY2('Tabela Entrada-Saída'!$B$34:$O$34,'Coordenadas dos Polos'!$FN$2:$GA$2)))^2)</f>
        <v>9.5406392623598697E-6</v>
      </c>
      <c r="N34">
        <f>EXP(((-1)/(2*'Cálculos Diversos'!$B$5))*(SQRT(SUMXMY2('Tabela Entrada-Saída'!$B$34:$O$34,'Coordenadas dos Polos'!$GB$2:$GO$2)))^2)</f>
        <v>2.4002472894966707E-5</v>
      </c>
      <c r="O34">
        <f>EXP(((-1)/(2*'Cálculos Diversos'!$B$5))*(SQRT(SUMXMY2('Tabela Entrada-Saída'!$B$34:$O$34,'Coordenadas dos Polos'!$GP$2:$HC$2)))^2)</f>
        <v>2.0580186704890021E-6</v>
      </c>
      <c r="P34">
        <v>1</v>
      </c>
    </row>
    <row r="35" spans="1:16" x14ac:dyDescent="0.25">
      <c r="A35">
        <v>34</v>
      </c>
      <c r="B35">
        <f>EXP(((-1)/(2*'Cálculos Diversos'!$B$5))*(SQRT(SUMXMY2('Tabela Entrada-Saída'!$B$35:$O$35,'Coordenadas dos Polos'!$P$2:$AC$2)))^2)</f>
        <v>0.10946754474838043</v>
      </c>
      <c r="C35">
        <f>EXP(((-1)/(2*'Cálculos Diversos'!$B$5))*(SQRT(SUMXMY2('Tabela Entrada-Saída'!$B$35:$O$35,'Coordenadas dos Polos'!$AD$2:$AQ$2)))^2)</f>
        <v>7.9755015417450544E-5</v>
      </c>
      <c r="D35">
        <f>EXP(((-1)/(2*'Cálculos Diversos'!$B$5))*(SQRT(SUMXMY2('Tabela Entrada-Saída'!$B$35:$O$35,'Coordenadas dos Polos'!$AR$2:$BE$2)))^2)</f>
        <v>2.7071059491455394E-5</v>
      </c>
      <c r="E35">
        <f>EXP(((-1)/(2*'Cálculos Diversos'!$B$5))*(SQRT(SUMXMY2('Tabela Entrada-Saída'!$B$35:$O$35,'Coordenadas dos Polos'!$BF$2:$BS$2)))^2)</f>
        <v>1.1276847174621E-4</v>
      </c>
      <c r="F35">
        <f>EXP(((-1)/(2*'Cálculos Diversos'!$B$5))*(SQRT(SUMXMY2('Tabela Entrada-Saída'!$B$35:$O$35,'Coordenadas dos Polos'!$BT$2:$CG$2)))^2)</f>
        <v>2.9670915695487178E-6</v>
      </c>
      <c r="G35">
        <f>EXP(((-1)/(2*'Cálculos Diversos'!$B$5))*(SQRT(SUMXMY2('Tabela Entrada-Saída'!$B$35:$O$35,'Coordenadas dos Polos'!$CH$2:$CU$2)))^2)</f>
        <v>1.2811068068248408E-4</v>
      </c>
      <c r="H35">
        <f>EXP(((-1)/(2*'Cálculos Diversos'!$B$5))*(SQRT(SUMXMY2('Tabela Entrada-Saída'!$B$35:$O$35,'Coordenadas dos Polos'!$CV$2:$DI$2)))^2)</f>
        <v>6.066318929528027E-6</v>
      </c>
      <c r="I35">
        <f>EXP(((-1)/(2*'Cálculos Diversos'!$B$5))*(SQRT(SUMXMY2('Tabela Entrada-Saída'!$B$35:$O$35,'Coordenadas dos Polos'!$DJ$2:$DW$2)))^2)</f>
        <v>2.5856437881271121E-4</v>
      </c>
      <c r="J35">
        <f>EXP(((-1)/(2*'Cálculos Diversos'!$B$5))*(SQRT(SUMXMY2('Tabela Entrada-Saída'!$B$35:$O$35,'Coordenadas dos Polos'!$DX$2:$EK$2)))^2)</f>
        <v>1.0448920515549832E-4</v>
      </c>
      <c r="K35">
        <f>EXP(((-1)/(2*'Cálculos Diversos'!$B$5))*(SQRT(SUMXMY2('Tabela Entrada-Saída'!$B$35:$O$35,'Coordenadas dos Polos'!$EL$2:$EY$2)))^2)</f>
        <v>4.2795103872689287E-6</v>
      </c>
      <c r="L35">
        <f>EXP(((-1)/(2*'Cálculos Diversos'!$B$5))*(SQRT(SUMXMY2('Tabela Entrada-Saída'!$B$35:$O$35,'Coordenadas dos Polos'!$EZ$2:$FM$2)))^2)</f>
        <v>7.1184968131834814E-7</v>
      </c>
      <c r="M35">
        <f>EXP(((-1)/(2*'Cálculos Diversos'!$B$5))*(SQRT(SUMXMY2('Tabela Entrada-Saída'!$B$35:$O$35,'Coordenadas dos Polos'!$FN$2:$GA$2)))^2)</f>
        <v>1.4133306096623536E-5</v>
      </c>
      <c r="N35">
        <f>EXP(((-1)/(2*'Cálculos Diversos'!$B$5))*(SQRT(SUMXMY2('Tabela Entrada-Saída'!$B$35:$O$35,'Coordenadas dos Polos'!$GB$2:$GO$2)))^2)</f>
        <v>3.4610913845096054E-5</v>
      </c>
      <c r="O35">
        <f>EXP(((-1)/(2*'Cálculos Diversos'!$B$5))*(SQRT(SUMXMY2('Tabela Entrada-Saída'!$B$35:$O$35,'Coordenadas dos Polos'!$GP$2:$HC$2)))^2)</f>
        <v>2.8210382075726451E-6</v>
      </c>
      <c r="P35">
        <v>1</v>
      </c>
    </row>
    <row r="36" spans="1:16" x14ac:dyDescent="0.25">
      <c r="A36">
        <v>35</v>
      </c>
      <c r="B36">
        <f>EXP(((-1)/(2*'Cálculos Diversos'!$B$5))*(SQRT(SUMXMY2('Tabela Entrada-Saída'!$B$36:$O$36,'Coordenadas dos Polos'!$P$2:$AC$2)))^2)</f>
        <v>0.11533528226942488</v>
      </c>
      <c r="C36">
        <f>EXP(((-1)/(2*'Cálculos Diversos'!$B$5))*(SQRT(SUMXMY2('Tabela Entrada-Saída'!$B$36:$O$36,'Coordenadas dos Polos'!$AD$2:$AQ$2)))^2)</f>
        <v>8.0958296278083291E-5</v>
      </c>
      <c r="D36">
        <f>EXP(((-1)/(2*'Cálculos Diversos'!$B$5))*(SQRT(SUMXMY2('Tabela Entrada-Saída'!$B$36:$O$36,'Coordenadas dos Polos'!$AR$2:$BE$2)))^2)</f>
        <v>2.6986299621881998E-5</v>
      </c>
      <c r="E36">
        <f>EXP(((-1)/(2*'Cálculos Diversos'!$B$5))*(SQRT(SUMXMY2('Tabela Entrada-Saída'!$B$36:$O$36,'Coordenadas dos Polos'!$BF$2:$BS$2)))^2)</f>
        <v>1.1696004798804559E-4</v>
      </c>
      <c r="F36">
        <f>EXP(((-1)/(2*'Cálculos Diversos'!$B$5))*(SQRT(SUMXMY2('Tabela Entrada-Saída'!$B$36:$O$36,'Coordenadas dos Polos'!$BT$2:$CG$2)))^2)</f>
        <v>3.1098960343798128E-6</v>
      </c>
      <c r="G36">
        <f>EXP(((-1)/(2*'Cálculos Diversos'!$B$5))*(SQRT(SUMXMY2('Tabela Entrada-Saída'!$B$36:$O$36,'Coordenadas dos Polos'!$CH$2:$CU$2)))^2)</f>
        <v>1.2807499881093627E-4</v>
      </c>
      <c r="H36">
        <f>EXP(((-1)/(2*'Cálculos Diversos'!$B$5))*(SQRT(SUMXMY2('Tabela Entrada-Saída'!$B$36:$O$36,'Coordenadas dos Polos'!$CV$2:$DI$2)))^2)</f>
        <v>6.0961025906623072E-6</v>
      </c>
      <c r="I36">
        <f>EXP(((-1)/(2*'Cálculos Diversos'!$B$5))*(SQRT(SUMXMY2('Tabela Entrada-Saída'!$B$36:$O$36,'Coordenadas dos Polos'!$DJ$2:$DW$2)))^2)</f>
        <v>2.5509479267941357E-4</v>
      </c>
      <c r="J36">
        <f>EXP(((-1)/(2*'Cálculos Diversos'!$B$5))*(SQRT(SUMXMY2('Tabela Entrada-Saída'!$B$36:$O$36,'Coordenadas dos Polos'!$DX$2:$EK$2)))^2)</f>
        <v>1.0511747412963748E-4</v>
      </c>
      <c r="K36">
        <f>EXP(((-1)/(2*'Cálculos Diversos'!$B$5))*(SQRT(SUMXMY2('Tabela Entrada-Saída'!$B$36:$O$36,'Coordenadas dos Polos'!$EL$2:$EY$2)))^2)</f>
        <v>4.2683080485546226E-6</v>
      </c>
      <c r="L36">
        <f>EXP(((-1)/(2*'Cálculos Diversos'!$B$5))*(SQRT(SUMXMY2('Tabela Entrada-Saída'!$B$36:$O$36,'Coordenadas dos Polos'!$EZ$2:$FM$2)))^2)</f>
        <v>7.4119891454174604E-7</v>
      </c>
      <c r="M36">
        <f>EXP(((-1)/(2*'Cálculos Diversos'!$B$5))*(SQRT(SUMXMY2('Tabela Entrada-Saída'!$B$36:$O$36,'Coordenadas dos Polos'!$FN$2:$GA$2)))^2)</f>
        <v>1.4666126770798525E-5</v>
      </c>
      <c r="N36">
        <f>EXP(((-1)/(2*'Cálculos Diversos'!$B$5))*(SQRT(SUMXMY2('Tabela Entrada-Saída'!$B$36:$O$36,'Coordenadas dos Polos'!$GB$2:$GO$2)))^2)</f>
        <v>3.5830619949203092E-5</v>
      </c>
      <c r="O36">
        <f>EXP(((-1)/(2*'Cálculos Diversos'!$B$5))*(SQRT(SUMXMY2('Tabela Entrada-Saída'!$B$36:$O$36,'Coordenadas dos Polos'!$GP$2:$HC$2)))^2)</f>
        <v>2.9012078062495753E-6</v>
      </c>
      <c r="P36">
        <v>1</v>
      </c>
    </row>
    <row r="37" spans="1:16" x14ac:dyDescent="0.25">
      <c r="A37">
        <v>36</v>
      </c>
      <c r="B37">
        <f>EXP(((-1)/(2*'Cálculos Diversos'!$B$5))*(SQRT(SUMXMY2('Tabela Entrada-Saída'!$B$37:$O$37,'Coordenadas dos Polos'!$P$2:$AC$2)))^2)</f>
        <v>9.559495320516366E-2</v>
      </c>
      <c r="C37">
        <f>EXP(((-1)/(2*'Cálculos Diversos'!$B$5))*(SQRT(SUMXMY2('Tabela Entrada-Saída'!$B$37:$O$37,'Coordenadas dos Polos'!$AD$2:$AQ$2)))^2)</f>
        <v>7.6612680491636867E-5</v>
      </c>
      <c r="D37">
        <f>EXP(((-1)/(2*'Cálculos Diversos'!$B$5))*(SQRT(SUMXMY2('Tabela Entrada-Saída'!$B$37:$O$37,'Coordenadas dos Polos'!$AR$2:$BE$2)))^2)</f>
        <v>2.7272722122323637E-5</v>
      </c>
      <c r="E37">
        <f>EXP(((-1)/(2*'Cálculos Diversos'!$B$5))*(SQRT(SUMXMY2('Tabela Entrada-Saída'!$B$37:$O$37,'Coordenadas dos Polos'!$BF$2:$BS$2)))^2)</f>
        <v>1.0242097257864632E-4</v>
      </c>
      <c r="F37">
        <f>EXP(((-1)/(2*'Cálculos Diversos'!$B$5))*(SQRT(SUMXMY2('Tabela Entrada-Saída'!$B$37:$O$37,'Coordenadas dos Polos'!$BT$2:$CG$2)))^2)</f>
        <v>2.6231121006548198E-6</v>
      </c>
      <c r="G37">
        <f>EXP(((-1)/(2*'Cálculos Diversos'!$B$5))*(SQRT(SUMXMY2('Tabela Entrada-Saída'!$B$37:$O$37,'Coordenadas dos Polos'!$CH$2:$CU$2)))^2)</f>
        <v>1.2742361322939415E-4</v>
      </c>
      <c r="H37">
        <f>EXP(((-1)/(2*'Cálculos Diversos'!$B$5))*(SQRT(SUMXMY2('Tabela Entrada-Saída'!$B$37:$O$37,'Coordenadas dos Polos'!$CV$2:$DI$2)))^2)</f>
        <v>5.9994087007037102E-6</v>
      </c>
      <c r="I37">
        <f>EXP(((-1)/(2*'Cálculos Diversos'!$B$5))*(SQRT(SUMXMY2('Tabela Entrada-Saída'!$B$37:$O$37,'Coordenadas dos Polos'!$DJ$2:$DW$2)))^2)</f>
        <v>2.6674081638945128E-4</v>
      </c>
      <c r="J37">
        <f>EXP(((-1)/(2*'Cálculos Diversos'!$B$5))*(SQRT(SUMXMY2('Tabela Entrada-Saída'!$B$37:$O$37,'Coordenadas dos Polos'!$DX$2:$EK$2)))^2)</f>
        <v>1.024761850647121E-4</v>
      </c>
      <c r="K37">
        <f>EXP(((-1)/(2*'Cálculos Diversos'!$B$5))*(SQRT(SUMXMY2('Tabela Entrada-Saída'!$B$37:$O$37,'Coordenadas dos Polos'!$EL$2:$EY$2)))^2)</f>
        <v>4.3018834229302036E-6</v>
      </c>
      <c r="L37">
        <f>EXP(((-1)/(2*'Cálculos Diversos'!$B$5))*(SQRT(SUMXMY2('Tabela Entrada-Saída'!$B$37:$O$37,'Coordenadas dos Polos'!$EZ$2:$FM$2)))^2)</f>
        <v>6.4104704765039612E-7</v>
      </c>
      <c r="M37">
        <f>EXP(((-1)/(2*'Cálculos Diversos'!$B$5))*(SQRT(SUMXMY2('Tabela Entrada-Saída'!$B$37:$O$37,'Coordenadas dos Polos'!$FN$2:$GA$2)))^2)</f>
        <v>1.2833070400575761E-5</v>
      </c>
      <c r="N37">
        <f>EXP(((-1)/(2*'Cálculos Diversos'!$B$5))*(SQRT(SUMXMY2('Tabela Entrada-Saída'!$B$37:$O$37,'Coordenadas dos Polos'!$GB$2:$GO$2)))^2)</f>
        <v>3.1721861998179944E-5</v>
      </c>
      <c r="O37">
        <f>EXP(((-1)/(2*'Cálculos Diversos'!$B$5))*(SQRT(SUMXMY2('Tabela Entrada-Saída'!$B$37:$O$37,'Coordenadas dos Polos'!$GP$2:$HC$2)))^2)</f>
        <v>2.6135979629168986E-6</v>
      </c>
      <c r="P37">
        <v>1</v>
      </c>
    </row>
    <row r="38" spans="1:16" x14ac:dyDescent="0.25">
      <c r="A38">
        <v>37</v>
      </c>
      <c r="B38">
        <f>EXP(((-1)/(2*'Cálculos Diversos'!$B$5))*(SQRT(SUMXMY2('Tabela Entrada-Saída'!$B$38:$O$38,'Coordenadas dos Polos'!$P$2:$AC$2)))^2)</f>
        <v>0.10922501076977596</v>
      </c>
      <c r="C38">
        <f>EXP(((-1)/(2*'Cálculos Diversos'!$B$5))*(SQRT(SUMXMY2('Tabela Entrada-Saída'!$B$38:$O$38,'Coordenadas dos Polos'!$AD$2:$AQ$2)))^2)</f>
        <v>7.9909931996608114E-5</v>
      </c>
      <c r="D38">
        <f>EXP(((-1)/(2*'Cálculos Diversos'!$B$5))*(SQRT(SUMXMY2('Tabela Entrada-Saída'!$B$38:$O$38,'Coordenadas dos Polos'!$AR$2:$BE$2)))^2)</f>
        <v>2.713627326527952E-5</v>
      </c>
      <c r="E38">
        <f>EXP(((-1)/(2*'Cálculos Diversos'!$B$5))*(SQRT(SUMXMY2('Tabela Entrada-Saída'!$B$38:$O$38,'Coordenadas dos Polos'!$BF$2:$BS$2)))^2)</f>
        <v>1.1264861930007404E-4</v>
      </c>
      <c r="F38">
        <f>EXP(((-1)/(2*'Cálculos Diversos'!$B$5))*(SQRT(SUMXMY2('Tabela Entrada-Saída'!$B$38:$O$38,'Coordenadas dos Polos'!$BT$2:$CG$2)))^2)</f>
        <v>2.9600398357643996E-6</v>
      </c>
      <c r="G38">
        <f>EXP(((-1)/(2*'Cálculos Diversos'!$B$5))*(SQRT(SUMXMY2('Tabela Entrada-Saída'!$B$38:$O$38,'Coordenadas dos Polos'!$CH$2:$CU$2)))^2)</f>
        <v>1.2814058521856353E-4</v>
      </c>
      <c r="H38">
        <f>EXP(((-1)/(2*'Cálculos Diversos'!$B$5))*(SQRT(SUMXMY2('Tabela Entrada-Saída'!$B$38:$O$38,'Coordenadas dos Polos'!$CV$2:$DI$2)))^2)</f>
        <v>6.095984817407278E-6</v>
      </c>
      <c r="I38">
        <f>EXP(((-1)/(2*'Cálculos Diversos'!$B$5))*(SQRT(SUMXMY2('Tabela Entrada-Saída'!$B$38:$O$38,'Coordenadas dos Polos'!$DJ$2:$DW$2)))^2)</f>
        <v>2.5883526490907532E-4</v>
      </c>
      <c r="J38">
        <f>EXP(((-1)/(2*'Cálculos Diversos'!$B$5))*(SQRT(SUMXMY2('Tabela Entrada-Saída'!$B$38:$O$38,'Coordenadas dos Polos'!$DX$2:$EK$2)))^2)</f>
        <v>1.0456535520122848E-4</v>
      </c>
      <c r="K38">
        <f>EXP(((-1)/(2*'Cálculos Diversos'!$B$5))*(SQRT(SUMXMY2('Tabela Entrada-Saída'!$B$38:$O$38,'Coordenadas dos Polos'!$EL$2:$EY$2)))^2)</f>
        <v>4.292970175866841E-6</v>
      </c>
      <c r="L38">
        <f>EXP(((-1)/(2*'Cálculos Diversos'!$B$5))*(SQRT(SUMXMY2('Tabela Entrada-Saída'!$B$38:$O$38,'Coordenadas dos Polos'!$EZ$2:$FM$2)))^2)</f>
        <v>7.1131443890588748E-7</v>
      </c>
      <c r="M38">
        <f>EXP(((-1)/(2*'Cálculos Diversos'!$B$5))*(SQRT(SUMXMY2('Tabela Entrada-Saída'!$B$38:$O$38,'Coordenadas dos Polos'!$FN$2:$GA$2)))^2)</f>
        <v>1.4129892236120991E-5</v>
      </c>
      <c r="N38">
        <f>EXP(((-1)/(2*'Cálculos Diversos'!$B$5))*(SQRT(SUMXMY2('Tabela Entrada-Saída'!$B$38:$O$38,'Coordenadas dos Polos'!$GB$2:$GO$2)))^2)</f>
        <v>3.4705373872951282E-5</v>
      </c>
      <c r="O38">
        <f>EXP(((-1)/(2*'Cálculos Diversos'!$B$5))*(SQRT(SUMXMY2('Tabela Entrada-Saída'!$B$38:$O$38,'Coordenadas dos Polos'!$GP$2:$HC$2)))^2)</f>
        <v>2.8168100552822034E-6</v>
      </c>
      <c r="P38">
        <v>1</v>
      </c>
    </row>
    <row r="39" spans="1:16" x14ac:dyDescent="0.25">
      <c r="A39">
        <v>38</v>
      </c>
      <c r="B39">
        <f>EXP(((-1)/(2*'Cálculos Diversos'!$B$5))*(SQRT(SUMXMY2('Tabela Entrada-Saída'!$B$39:$O$39,'Coordenadas dos Polos'!$P$2:$AC$2)))^2)</f>
        <v>6.4097053941405802E-2</v>
      </c>
      <c r="C39">
        <f>EXP(((-1)/(2*'Cálculos Diversos'!$B$5))*(SQRT(SUMXMY2('Tabela Entrada-Saída'!$B$39:$O$39,'Coordenadas dos Polos'!$AD$2:$AQ$2)))^2)</f>
        <v>6.6342040800305947E-5</v>
      </c>
      <c r="D39">
        <f>EXP(((-1)/(2*'Cálculos Diversos'!$B$5))*(SQRT(SUMXMY2('Tabela Entrada-Saída'!$B$39:$O$39,'Coordenadas dos Polos'!$AR$2:$BE$2)))^2)</f>
        <v>2.6922127221627768E-5</v>
      </c>
      <c r="E39">
        <f>EXP(((-1)/(2*'Cálculos Diversos'!$B$5))*(SQRT(SUMXMY2('Tabela Entrada-Saída'!$B$39:$O$39,'Coordenadas dos Polos'!$BF$2:$BS$2)))^2)</f>
        <v>7.6372860914217133E-5</v>
      </c>
      <c r="F39">
        <f>EXP(((-1)/(2*'Cálculos Diversos'!$B$5))*(SQRT(SUMXMY2('Tabela Entrada-Saída'!$B$39:$O$39,'Coordenadas dos Polos'!$BT$2:$CG$2)))^2)</f>
        <v>1.8145872358669515E-6</v>
      </c>
      <c r="G39">
        <f>EXP(((-1)/(2*'Cálculos Diversos'!$B$5))*(SQRT(SUMXMY2('Tabela Entrada-Saída'!$B$39:$O$39,'Coordenadas dos Polos'!$CH$2:$CU$2)))^2)</f>
        <v>1.2175303165761046E-4</v>
      </c>
      <c r="H39">
        <f>EXP(((-1)/(2*'Cálculos Diversos'!$B$5))*(SQRT(SUMXMY2('Tabela Entrada-Saída'!$B$39:$O$39,'Coordenadas dos Polos'!$CV$2:$DI$2)))^2)</f>
        <v>5.5986309203615844E-6</v>
      </c>
      <c r="I39">
        <f>EXP(((-1)/(2*'Cálculos Diversos'!$B$5))*(SQRT(SUMXMY2('Tabela Entrada-Saída'!$B$39:$O$39,'Coordenadas dos Polos'!$DJ$2:$DW$2)))^2)</f>
        <v>2.8203728812582161E-4</v>
      </c>
      <c r="J39">
        <f>EXP(((-1)/(2*'Cálculos Diversos'!$B$5))*(SQRT(SUMXMY2('Tabela Entrada-Saída'!$B$39:$O$39,'Coordenadas dos Polos'!$DX$2:$EK$2)))^2)</f>
        <v>9.3826426003494205E-5</v>
      </c>
      <c r="K39">
        <f>EXP(((-1)/(2*'Cálculos Diversos'!$B$5))*(SQRT(SUMXMY2('Tabela Entrada-Saída'!$B$39:$O$39,'Coordenadas dos Polos'!$EL$2:$EY$2)))^2)</f>
        <v>4.2190837818166671E-6</v>
      </c>
      <c r="L39">
        <f>EXP(((-1)/(2*'Cálculos Diversos'!$B$5))*(SQRT(SUMXMY2('Tabela Entrada-Saída'!$B$39:$O$39,'Coordenadas dos Polos'!$EZ$2:$FM$2)))^2)</f>
        <v>4.6545950636765242E-7</v>
      </c>
      <c r="M39">
        <f>EXP(((-1)/(2*'Cálculos Diversos'!$B$5))*(SQRT(SUMXMY2('Tabela Entrada-Saída'!$B$39:$O$39,'Coordenadas dos Polos'!$FN$2:$GA$2)))^2)</f>
        <v>9.5464060735178184E-6</v>
      </c>
      <c r="N39">
        <f>EXP(((-1)/(2*'Cálculos Diversos'!$B$5))*(SQRT(SUMXMY2('Tabela Entrada-Saída'!$B$39:$O$39,'Coordenadas dos Polos'!$GB$2:$GO$2)))^2)</f>
        <v>2.4059555235887755E-5</v>
      </c>
      <c r="O39">
        <f>EXP(((-1)/(2*'Cálculos Diversos'!$B$5))*(SQRT(SUMXMY2('Tabela Entrada-Saída'!$B$39:$O$39,'Coordenadas dos Polos'!$GP$2:$HC$2)))^2)</f>
        <v>2.0587857757596444E-6</v>
      </c>
      <c r="P39">
        <v>1</v>
      </c>
    </row>
    <row r="40" spans="1:16" x14ac:dyDescent="0.25">
      <c r="A40">
        <v>39</v>
      </c>
      <c r="B40">
        <f>EXP(((-1)/(2*'Cálculos Diversos'!$B$5))*(SQRT(SUMXMY2('Tabela Entrada-Saída'!$B$40:$O$40,'Coordenadas dos Polos'!$P$2:$AC$2)))^2)</f>
        <v>0.13336996857507996</v>
      </c>
      <c r="C40">
        <f>EXP(((-1)/(2*'Cálculos Diversos'!$B$5))*(SQRT(SUMXMY2('Tabela Entrada-Saída'!$B$40:$O$40,'Coordenadas dos Polos'!$AD$2:$AQ$2)))^2)</f>
        <v>8.4492256700541551E-5</v>
      </c>
      <c r="D40">
        <f>EXP(((-1)/(2*'Cálculos Diversos'!$B$5))*(SQRT(SUMXMY2('Tabela Entrada-Saída'!$B$40:$O$40,'Coordenadas dos Polos'!$AR$2:$BE$2)))^2)</f>
        <v>2.6635726118131288E-5</v>
      </c>
      <c r="E40">
        <f>EXP(((-1)/(2*'Cálculos Diversos'!$B$5))*(SQRT(SUMXMY2('Tabela Entrada-Saída'!$B$40:$O$40,'Coordenadas dos Polos'!$BF$2:$BS$2)))^2)</f>
        <v>1.2962786362178988E-4</v>
      </c>
      <c r="F40">
        <f>EXP(((-1)/(2*'Cálculos Diversos'!$B$5))*(SQRT(SUMXMY2('Tabela Entrada-Saída'!$B$40:$O$40,'Coordenadas dos Polos'!$BT$2:$CG$2)))^2)</f>
        <v>3.5559999101038748E-6</v>
      </c>
      <c r="G40">
        <f>EXP(((-1)/(2*'Cálculos Diversos'!$B$5))*(SQRT(SUMXMY2('Tabela Entrada-Saída'!$B$40:$O$40,'Coordenadas dos Polos'!$CH$2:$CU$2)))^2)</f>
        <v>1.2803924690140824E-4</v>
      </c>
      <c r="H40">
        <f>EXP(((-1)/(2*'Cálculos Diversos'!$B$5))*(SQRT(SUMXMY2('Tabela Entrada-Saída'!$B$40:$O$40,'Coordenadas dos Polos'!$CV$2:$DI$2)))^2)</f>
        <v>6.1788539846089567E-6</v>
      </c>
      <c r="I40">
        <f>EXP(((-1)/(2*'Cálculos Diversos'!$B$5))*(SQRT(SUMXMY2('Tabela Entrada-Saída'!$B$40:$O$40,'Coordenadas dos Polos'!$DJ$2:$DW$2)))^2)</f>
        <v>2.442783680646455E-4</v>
      </c>
      <c r="J40">
        <f>EXP(((-1)/(2*'Cálculos Diversos'!$B$5))*(SQRT(SUMXMY2('Tabela Entrada-Saída'!$B$40:$O$40,'Coordenadas dos Polos'!$DX$2:$EK$2)))^2)</f>
        <v>1.0711321450418156E-4</v>
      </c>
      <c r="K40">
        <f>EXP(((-1)/(2*'Cálculos Diversos'!$B$5))*(SQRT(SUMXMY2('Tabela Entrada-Saída'!$B$40:$O$40,'Coordenadas dos Polos'!$EL$2:$EY$2)))^2)</f>
        <v>4.2278092236032006E-6</v>
      </c>
      <c r="L40">
        <f>EXP(((-1)/(2*'Cálculos Diversos'!$B$5))*(SQRT(SUMXMY2('Tabela Entrada-Saída'!$B$40:$O$40,'Coordenadas dos Polos'!$EZ$2:$FM$2)))^2)</f>
        <v>8.315541423851571E-7</v>
      </c>
      <c r="M40">
        <f>EXP(((-1)/(2*'Cálculos Diversos'!$B$5))*(SQRT(SUMXMY2('Tabela Entrada-Saída'!$B$40:$O$40,'Coordenadas dos Polos'!$FN$2:$GA$2)))^2)</f>
        <v>1.6288252458102611E-5</v>
      </c>
      <c r="N40">
        <f>EXP(((-1)/(2*'Cálculos Diversos'!$B$5))*(SQRT(SUMXMY2('Tabela Entrada-Saída'!$B$40:$O$40,'Coordenadas dos Polos'!$GB$2:$GO$2)))^2)</f>
        <v>3.9561179562869425E-5</v>
      </c>
      <c r="O40">
        <f>EXP(((-1)/(2*'Cálculos Diversos'!$B$5))*(SQRT(SUMXMY2('Tabela Entrada-Saída'!$B$40:$O$40,'Coordenadas dos Polos'!$GP$2:$HC$2)))^2)</f>
        <v>3.1409815734283535E-6</v>
      </c>
      <c r="P40">
        <v>1</v>
      </c>
    </row>
    <row r="41" spans="1:16" x14ac:dyDescent="0.25">
      <c r="A41">
        <v>40</v>
      </c>
      <c r="B41">
        <f>EXP(((-1)/(2*'Cálculos Diversos'!$B$5))*(SQRT(SUMXMY2('Tabela Entrada-Saída'!$B$41:$O$41,'Coordenadas dos Polos'!$P$2:$AC$2)))^2)</f>
        <v>6.7165921636011094E-2</v>
      </c>
      <c r="C41">
        <f>EXP(((-1)/(2*'Cálculos Diversos'!$B$5))*(SQRT(SUMXMY2('Tabela Entrada-Saída'!$B$41:$O$41,'Coordenadas dos Polos'!$AD$2:$AQ$2)))^2)</f>
        <v>6.7462031839351792E-5</v>
      </c>
      <c r="D41">
        <f>EXP(((-1)/(2*'Cálculos Diversos'!$B$5))*(SQRT(SUMXMY2('Tabela Entrada-Saída'!$B$41:$O$41,'Coordenadas dos Polos'!$AR$2:$BE$2)))^2)</f>
        <v>2.6992081507652636E-5</v>
      </c>
      <c r="E41">
        <f>EXP(((-1)/(2*'Cálculos Diversos'!$B$5))*(SQRT(SUMXMY2('Tabela Entrada-Saída'!$B$41:$O$41,'Coordenadas dos Polos'!$BF$2:$BS$2)))^2)</f>
        <v>7.9022018098230952E-5</v>
      </c>
      <c r="F41">
        <f>EXP(((-1)/(2*'Cálculos Diversos'!$B$5))*(SQRT(SUMXMY2('Tabela Entrada-Saída'!$B$41:$O$41,'Coordenadas dos Polos'!$BT$2:$CG$2)))^2)</f>
        <v>1.89222555446614E-6</v>
      </c>
      <c r="G41">
        <f>EXP(((-1)/(2*'Cálculos Diversos'!$B$5))*(SQRT(SUMXMY2('Tabela Entrada-Saída'!$B$41:$O$41,'Coordenadas dos Polos'!$CH$2:$CU$2)))^2)</f>
        <v>1.2247743826848564E-4</v>
      </c>
      <c r="H41">
        <f>EXP(((-1)/(2*'Cálculos Diversos'!$B$5))*(SQRT(SUMXMY2('Tabela Entrada-Saída'!$B$41:$O$41,'Coordenadas dos Polos'!$CV$2:$DI$2)))^2)</f>
        <v>5.6431720357701062E-6</v>
      </c>
      <c r="I41">
        <f>EXP(((-1)/(2*'Cálculos Diversos'!$B$5))*(SQRT(SUMXMY2('Tabela Entrada-Saída'!$B$41:$O$41,'Coordenadas dos Polos'!$DJ$2:$DW$2)))^2)</f>
        <v>2.8072380017270026E-4</v>
      </c>
      <c r="J41">
        <f>EXP(((-1)/(2*'Cálculos Diversos'!$B$5))*(SQRT(SUMXMY2('Tabela Entrada-Saída'!$B$41:$O$41,'Coordenadas dos Polos'!$DX$2:$EK$2)))^2)</f>
        <v>9.4763348697856438E-5</v>
      </c>
      <c r="K41">
        <f>EXP(((-1)/(2*'Cálculos Diversos'!$B$5))*(SQRT(SUMXMY2('Tabela Entrada-Saída'!$B$41:$O$41,'Coordenadas dos Polos'!$EL$2:$EY$2)))^2)</f>
        <v>4.2327408343126685E-6</v>
      </c>
      <c r="L41">
        <f>EXP(((-1)/(2*'Cálculos Diversos'!$B$5))*(SQRT(SUMXMY2('Tabela Entrada-Saída'!$B$41:$O$41,'Coordenadas dos Polos'!$EZ$2:$FM$2)))^2)</f>
        <v>4.8266950981522695E-7</v>
      </c>
      <c r="M41">
        <f>EXP(((-1)/(2*'Cálculos Diversos'!$B$5))*(SQRT(SUMXMY2('Tabela Entrada-Saída'!$B$41:$O$41,'Coordenadas dos Polos'!$FN$2:$GA$2)))^2)</f>
        <v>9.8767515152451572E-6</v>
      </c>
      <c r="N41">
        <f>EXP(((-1)/(2*'Cálculos Diversos'!$B$5))*(SQRT(SUMXMY2('Tabela Entrada-Saída'!$B$41:$O$41,'Coordenadas dos Polos'!$GB$2:$GO$2)))^2)</f>
        <v>2.4822812968710882E-5</v>
      </c>
      <c r="O41">
        <f>EXP(((-1)/(2*'Cálculos Diversos'!$B$5))*(SQRT(SUMXMY2('Tabela Entrada-Saída'!$B$41:$O$41,'Coordenadas dos Polos'!$GP$2:$HC$2)))^2)</f>
        <v>2.1170245176254802E-6</v>
      </c>
      <c r="P41">
        <v>1</v>
      </c>
    </row>
    <row r="42" spans="1:16" x14ac:dyDescent="0.25">
      <c r="A42">
        <v>41</v>
      </c>
      <c r="B42">
        <f>EXP(((-1)/(2*'Cálculos Diversos'!$B$5))*(SQRT(SUMXMY2('Tabela Entrada-Saída'!$B$42:$O$42,'Coordenadas dos Polos'!$P$2:$AC$2)))^2)</f>
        <v>0.14323944579020054</v>
      </c>
      <c r="C42">
        <f>EXP(((-1)/(2*'Cálculos Diversos'!$B$5))*(SQRT(SUMXMY2('Tabela Entrada-Saída'!$B$42:$O$42,'Coordenadas dos Polos'!$AD$2:$AQ$2)))^2)</f>
        <v>8.5706815025533224E-5</v>
      </c>
      <c r="D42">
        <f>EXP(((-1)/(2*'Cálculos Diversos'!$B$5))*(SQRT(SUMXMY2('Tabela Entrada-Saída'!$B$42:$O$42,'Coordenadas dos Polos'!$AR$2:$BE$2)))^2)</f>
        <v>2.627854677171193E-5</v>
      </c>
      <c r="E42">
        <f>EXP(((-1)/(2*'Cálculos Diversos'!$B$5))*(SQRT(SUMXMY2('Tabela Entrada-Saída'!$B$42:$O$42,'Coordenadas dos Polos'!$BF$2:$BS$2)))^2)</f>
        <v>1.3594200628334917E-4</v>
      </c>
      <c r="F42">
        <f>EXP(((-1)/(2*'Cálculos Diversos'!$B$5))*(SQRT(SUMXMY2('Tabela Entrada-Saída'!$B$42:$O$42,'Coordenadas dos Polos'!$BT$2:$CG$2)))^2)</f>
        <v>3.7870642355687429E-6</v>
      </c>
      <c r="G42">
        <f>EXP(((-1)/(2*'Cálculos Diversos'!$B$5))*(SQRT(SUMXMY2('Tabela Entrada-Saída'!$B$42:$O$42,'Coordenadas dos Polos'!$CH$2:$CU$2)))^2)</f>
        <v>1.2733579498647808E-4</v>
      </c>
      <c r="H42">
        <f>EXP(((-1)/(2*'Cálculos Diversos'!$B$5))*(SQRT(SUMXMY2('Tabela Entrada-Saída'!$B$42:$O$42,'Coordenadas dos Polos'!$CV$2:$DI$2)))^2)</f>
        <v>6.1586758308508037E-6</v>
      </c>
      <c r="I42">
        <f>EXP(((-1)/(2*'Cálculos Diversos'!$B$5))*(SQRT(SUMXMY2('Tabela Entrada-Saída'!$B$42:$O$42,'Coordenadas dos Polos'!$DJ$2:$DW$2)))^2)</f>
        <v>2.377916488887713E-4</v>
      </c>
      <c r="J42">
        <f>EXP(((-1)/(2*'Cálculos Diversos'!$B$5))*(SQRT(SUMXMY2('Tabela Entrada-Saída'!$B$42:$O$42,'Coordenadas dos Polos'!$DX$2:$EK$2)))^2)</f>
        <v>1.0732857753861775E-4</v>
      </c>
      <c r="K42">
        <f>EXP(((-1)/(2*'Cálculos Diversos'!$B$5))*(SQRT(SUMXMY2('Tabela Entrada-Saída'!$B$42:$O$42,'Coordenadas dos Polos'!$EL$2:$EY$2)))^2)</f>
        <v>4.1771403980881622E-6</v>
      </c>
      <c r="L42">
        <f>EXP(((-1)/(2*'Cálculos Diversos'!$B$5))*(SQRT(SUMXMY2('Tabela Entrada-Saída'!$B$42:$O$42,'Coordenadas dos Polos'!$EZ$2:$FM$2)))^2)</f>
        <v>8.757701555551817E-7</v>
      </c>
      <c r="M42">
        <f>EXP(((-1)/(2*'Cálculos Diversos'!$B$5))*(SQRT(SUMXMY2('Tabela Entrada-Saída'!$B$42:$O$42,'Coordenadas dos Polos'!$FN$2:$GA$2)))^2)</f>
        <v>1.7077988716527869E-5</v>
      </c>
      <c r="N42">
        <f>EXP(((-1)/(2*'Cálculos Diversos'!$B$5))*(SQRT(SUMXMY2('Tabela Entrada-Saída'!$B$42:$O$42,'Coordenadas dos Polos'!$GB$2:$GO$2)))^2)</f>
        <v>4.1236230535103312E-5</v>
      </c>
      <c r="O42">
        <f>EXP(((-1)/(2*'Cálculos Diversos'!$B$5))*(SQRT(SUMXMY2('Tabela Entrada-Saída'!$B$42:$O$42,'Coordenadas dos Polos'!$GP$2:$HC$2)))^2)</f>
        <v>3.2564745577634863E-6</v>
      </c>
      <c r="P42">
        <v>1</v>
      </c>
    </row>
    <row r="43" spans="1:16" x14ac:dyDescent="0.25">
      <c r="A43">
        <v>42</v>
      </c>
      <c r="B43">
        <f>EXP(((-1)/(2*'Cálculos Diversos'!$B$5))*(SQRT(SUMXMY2('Tabela Entrada-Saída'!$B$43:$O$43,'Coordenadas dos Polos'!$P$2:$AC$2)))^2)</f>
        <v>0.13499007128051019</v>
      </c>
      <c r="C43">
        <f>EXP(((-1)/(2*'Cálculos Diversos'!$B$5))*(SQRT(SUMXMY2('Tabela Entrada-Saída'!$B$43:$O$43,'Coordenadas dos Polos'!$AD$2:$AQ$2)))^2)</f>
        <v>8.4553585280188005E-5</v>
      </c>
      <c r="D43">
        <f>EXP(((-1)/(2*'Cálculos Diversos'!$B$5))*(SQRT(SUMXMY2('Tabela Entrada-Saída'!$B$43:$O$43,'Coordenadas dos Polos'!$AR$2:$BE$2)))^2)</f>
        <v>2.6543877439502173E-5</v>
      </c>
      <c r="E43">
        <f>EXP(((-1)/(2*'Cálculos Diversos'!$B$5))*(SQRT(SUMXMY2('Tabela Entrada-Saída'!$B$43:$O$43,'Coordenadas dos Polos'!$BF$2:$BS$2)))^2)</f>
        <v>1.3061536624062143E-4</v>
      </c>
      <c r="F43">
        <f>EXP(((-1)/(2*'Cálculos Diversos'!$B$5))*(SQRT(SUMXMY2('Tabela Entrada-Saída'!$B$43:$O$43,'Coordenadas dos Polos'!$BT$2:$CG$2)))^2)</f>
        <v>3.5937230348514294E-6</v>
      </c>
      <c r="G43">
        <f>EXP(((-1)/(2*'Cálculos Diversos'!$B$5))*(SQRT(SUMXMY2('Tabela Entrada-Saída'!$B$43:$O$43,'Coordenadas dos Polos'!$CH$2:$CU$2)))^2)</f>
        <v>1.278609938800597E-4</v>
      </c>
      <c r="H43">
        <f>EXP(((-1)/(2*'Cálculos Diversos'!$B$5))*(SQRT(SUMXMY2('Tabela Entrada-Saída'!$B$43:$O$43,'Coordenadas dos Polos'!$CV$2:$DI$2)))^2)</f>
        <v>6.1566859201841149E-6</v>
      </c>
      <c r="I43">
        <f>EXP(((-1)/(2*'Cálculos Diversos'!$B$5))*(SQRT(SUMXMY2('Tabela Entrada-Saída'!$B$43:$O$43,'Coordenadas dos Polos'!$DJ$2:$DW$2)))^2)</f>
        <v>2.4314439259095238E-4</v>
      </c>
      <c r="J43">
        <f>EXP(((-1)/(2*'Cálculos Diversos'!$B$5))*(SQRT(SUMXMY2('Tabela Entrada-Saída'!$B$43:$O$43,'Coordenadas dos Polos'!$DX$2:$EK$2)))^2)</f>
        <v>1.0704473354063767E-4</v>
      </c>
      <c r="K43">
        <f>EXP(((-1)/(2*'Cálculos Diversos'!$B$5))*(SQRT(SUMXMY2('Tabela Entrada-Saída'!$B$43:$O$43,'Coordenadas dos Polos'!$EL$2:$EY$2)))^2)</f>
        <v>4.2117245282873821E-6</v>
      </c>
      <c r="L43">
        <f>EXP(((-1)/(2*'Cálculos Diversos'!$B$5))*(SQRT(SUMXMY2('Tabela Entrada-Saída'!$B$43:$O$43,'Coordenadas dos Polos'!$EZ$2:$FM$2)))^2)</f>
        <v>8.3817303463947323E-7</v>
      </c>
      <c r="M43">
        <f>EXP(((-1)/(2*'Cálculos Diversos'!$B$5))*(SQRT(SUMXMY2('Tabela Entrada-Saída'!$B$43:$O$43,'Coordenadas dos Polos'!$FN$2:$GA$2)))^2)</f>
        <v>1.640359067141851E-5</v>
      </c>
      <c r="N43">
        <f>EXP(((-1)/(2*'Cálculos Diversos'!$B$5))*(SQRT(SUMXMY2('Tabela Entrada-Saída'!$B$43:$O$43,'Coordenadas dos Polos'!$GB$2:$GO$2)))^2)</f>
        <v>3.9733492424057863E-5</v>
      </c>
      <c r="O43">
        <f>EXP(((-1)/(2*'Cálculos Diversos'!$B$5))*(SQRT(SUMXMY2('Tabela Entrada-Saída'!$B$43:$O$43,'Coordenadas dos Polos'!$GP$2:$HC$2)))^2)</f>
        <v>3.159883604968726E-6</v>
      </c>
      <c r="P43">
        <v>1</v>
      </c>
    </row>
    <row r="44" spans="1:16" x14ac:dyDescent="0.25">
      <c r="A44">
        <v>43</v>
      </c>
      <c r="B44">
        <f>EXP(((-1)/(2*'Cálculos Diversos'!$B$5))*(SQRT(SUMXMY2('Tabela Entrada-Saída'!$B$44:$O$44,'Coordenadas dos Polos'!$P$2:$AC$2)))^2)</f>
        <v>7.4982352876544603E-2</v>
      </c>
      <c r="C44">
        <f>EXP(((-1)/(2*'Cálculos Diversos'!$B$5))*(SQRT(SUMXMY2('Tabela Entrada-Saída'!$B$44:$O$44,'Coordenadas dos Polos'!$AD$2:$AQ$2)))^2)</f>
        <v>7.0268095015414779E-5</v>
      </c>
      <c r="D44">
        <f>EXP(((-1)/(2*'Cálculos Diversos'!$B$5))*(SQRT(SUMXMY2('Tabela Entrada-Saída'!$B$44:$O$44,'Coordenadas dos Polos'!$AR$2:$BE$2)))^2)</f>
        <v>2.715929353154173E-5</v>
      </c>
      <c r="E44">
        <f>EXP(((-1)/(2*'Cálculos Diversos'!$B$5))*(SQRT(SUMXMY2('Tabela Entrada-Saída'!$B$44:$O$44,'Coordenadas dos Polos'!$BF$2:$BS$2)))^2)</f>
        <v>8.5719652436633376E-5</v>
      </c>
      <c r="F44">
        <f>EXP(((-1)/(2*'Cálculos Diversos'!$B$5))*(SQRT(SUMXMY2('Tabela Entrada-Saída'!$B$44:$O$44,'Coordenadas dos Polos'!$BT$2:$CG$2)))^2)</f>
        <v>2.0946016138711866E-6</v>
      </c>
      <c r="G44">
        <f>EXP(((-1)/(2*'Cálculos Diversos'!$B$5))*(SQRT(SUMXMY2('Tabela Entrada-Saída'!$B$44:$O$44,'Coordenadas dos Polos'!$CH$2:$CU$2)))^2)</f>
        <v>1.2426960450606227E-4</v>
      </c>
      <c r="H44">
        <f>EXP(((-1)/(2*'Cálculos Diversos'!$B$5))*(SQRT(SUMXMY2('Tabela Entrada-Saída'!$B$44:$O$44,'Coordenadas dos Polos'!$CV$2:$DI$2)))^2)</f>
        <v>5.7591874074008308E-6</v>
      </c>
      <c r="I44">
        <f>EXP(((-1)/(2*'Cálculos Diversos'!$B$5))*(SQRT(SUMXMY2('Tabela Entrada-Saída'!$B$44:$O$44,'Coordenadas dos Polos'!$DJ$2:$DW$2)))^2)</f>
        <v>2.7739647718371416E-4</v>
      </c>
      <c r="J44">
        <f>EXP(((-1)/(2*'Cálculos Diversos'!$B$5))*(SQRT(SUMXMY2('Tabela Entrada-Saída'!$B$44:$O$44,'Coordenadas dos Polos'!$DX$2:$EK$2)))^2)</f>
        <v>9.7246256502890621E-5</v>
      </c>
      <c r="K44">
        <f>EXP(((-1)/(2*'Cálculos Diversos'!$B$5))*(SQRT(SUMXMY2('Tabela Entrada-Saída'!$B$44:$O$44,'Coordenadas dos Polos'!$EL$2:$EY$2)))^2)</f>
        <v>4.2642842856208341E-6</v>
      </c>
      <c r="L44">
        <f>EXP(((-1)/(2*'Cálculos Diversos'!$B$5))*(SQRT(SUMXMY2('Tabela Entrada-Saída'!$B$44:$O$44,'Coordenadas dos Polos'!$EZ$2:$FM$2)))^2)</f>
        <v>5.2729673338305691E-7</v>
      </c>
      <c r="M44">
        <f>EXP(((-1)/(2*'Cálculos Diversos'!$B$5))*(SQRT(SUMXMY2('Tabela Entrada-Saída'!$B$44:$O$44,'Coordenadas dos Polos'!$FN$2:$GA$2)))^2)</f>
        <v>1.0719364395840759E-5</v>
      </c>
      <c r="N44">
        <f>EXP(((-1)/(2*'Cálculos Diversos'!$B$5))*(SQRT(SUMXMY2('Tabela Entrada-Saída'!$B$44:$O$44,'Coordenadas dos Polos'!$GB$2:$GO$2)))^2)</f>
        <v>2.6782887715917304E-5</v>
      </c>
      <c r="O44">
        <f>EXP(((-1)/(2*'Cálculos Diversos'!$B$5))*(SQRT(SUMXMY2('Tabela Entrada-Saída'!$B$44:$O$44,'Coordenadas dos Polos'!$GP$2:$HC$2)))^2)</f>
        <v>2.2628102574330134E-6</v>
      </c>
      <c r="P44">
        <v>1</v>
      </c>
    </row>
    <row r="45" spans="1:16" x14ac:dyDescent="0.25">
      <c r="A45">
        <v>44</v>
      </c>
      <c r="B45">
        <f>EXP(((-1)/(2*'Cálculos Diversos'!$B$5))*(SQRT(SUMXMY2('Tabela Entrada-Saída'!$B$45:$O$45,'Coordenadas dos Polos'!$P$2:$AC$2)))^2)</f>
        <v>0.1350355603220674</v>
      </c>
      <c r="C45">
        <f>EXP(((-1)/(2*'Cálculos Diversos'!$B$5))*(SQRT(SUMXMY2('Tabela Entrada-Saída'!$B$45:$O$45,'Coordenadas dos Polos'!$AD$2:$AQ$2)))^2)</f>
        <v>8.4675795250789332E-5</v>
      </c>
      <c r="D45">
        <f>EXP(((-1)/(2*'Cálculos Diversos'!$B$5))*(SQRT(SUMXMY2('Tabela Entrada-Saída'!$B$45:$O$45,'Coordenadas dos Polos'!$AR$2:$BE$2)))^2)</f>
        <v>2.6568761995262797E-5</v>
      </c>
      <c r="E45">
        <f>EXP(((-1)/(2*'Cálculos Diversos'!$B$5))*(SQRT(SUMXMY2('Tabela Entrada-Saída'!$B$45:$O$45,'Coordenadas dos Polos'!$BF$2:$BS$2)))^2)</f>
        <v>1.3068161529625728E-4</v>
      </c>
      <c r="F45">
        <f>EXP(((-1)/(2*'Cálculos Diversos'!$B$5))*(SQRT(SUMXMY2('Tabela Entrada-Saída'!$B$45:$O$45,'Coordenadas dos Polos'!$BT$2:$CG$2)))^2)</f>
        <v>3.5966973697858656E-6</v>
      </c>
      <c r="G45">
        <f>EXP(((-1)/(2*'Cálculos Diversos'!$B$5))*(SQRT(SUMXMY2('Tabela Entrada-Saída'!$B$45:$O$45,'Coordenadas dos Polos'!$CH$2:$CU$2)))^2)</f>
        <v>1.2792616128805018E-4</v>
      </c>
      <c r="H45">
        <f>EXP(((-1)/(2*'Cálculos Diversos'!$B$5))*(SQRT(SUMXMY2('Tabela Entrada-Saída'!$B$45:$O$45,'Coordenadas dos Polos'!$CV$2:$DI$2)))^2)</f>
        <v>6.1727828520414958E-6</v>
      </c>
      <c r="I45">
        <f>EXP(((-1)/(2*'Cálculos Diversos'!$B$5))*(SQRT(SUMXMY2('Tabela Entrada-Saída'!$B$45:$O$45,'Coordenadas dos Polos'!$DJ$2:$DW$2)))^2)</f>
        <v>2.4310971571331338E-4</v>
      </c>
      <c r="J45">
        <f>EXP(((-1)/(2*'Cálculos Diversos'!$B$5))*(SQRT(SUMXMY2('Tabela Entrada-Saída'!$B$45:$O$45,'Coordenadas dos Polos'!$DX$2:$EK$2)))^2)</f>
        <v>1.0721873731182717E-4</v>
      </c>
      <c r="K45">
        <f>EXP(((-1)/(2*'Cálculos Diversos'!$B$5))*(SQRT(SUMXMY2('Tabela Entrada-Saída'!$B$45:$O$45,'Coordenadas dos Polos'!$EL$2:$EY$2)))^2)</f>
        <v>4.2168390855291307E-6</v>
      </c>
      <c r="L45">
        <f>EXP(((-1)/(2*'Cálculos Diversos'!$B$5))*(SQRT(SUMXMY2('Tabela Entrada-Saída'!$B$45:$O$45,'Coordenadas dos Polos'!$EZ$2:$FM$2)))^2)</f>
        <v>8.3926190423827676E-7</v>
      </c>
      <c r="M45">
        <f>EXP(((-1)/(2*'Cálculos Diversos'!$B$5))*(SQRT(SUMXMY2('Tabela Entrada-Saída'!$B$45:$O$45,'Coordenadas dos Polos'!$FN$2:$GA$2)))^2)</f>
        <v>1.6419380746629774E-5</v>
      </c>
      <c r="N45">
        <f>EXP(((-1)/(2*'Cálculos Diversos'!$B$5))*(SQRT(SUMXMY2('Tabela Entrada-Saída'!$B$45:$O$45,'Coordenadas dos Polos'!$GB$2:$GO$2)))^2)</f>
        <v>3.9836591586365876E-5</v>
      </c>
      <c r="O45">
        <f>EXP(((-1)/(2*'Cálculos Diversos'!$B$5))*(SQRT(SUMXMY2('Tabela Entrada-Saída'!$B$45:$O$45,'Coordenadas dos Polos'!$GP$2:$HC$2)))^2)</f>
        <v>3.1608988254328063E-6</v>
      </c>
      <c r="P45">
        <v>1</v>
      </c>
    </row>
    <row r="46" spans="1:16" x14ac:dyDescent="0.25">
      <c r="A46">
        <v>45</v>
      </c>
      <c r="B46">
        <f>EXP(((-1)/(2*'Cálculos Diversos'!$B$5))*(SQRT(SUMXMY2('Tabela Entrada-Saída'!$B$46:$O$46,'Coordenadas dos Polos'!$P$2:$AC$2)))^2)</f>
        <v>9.5536522809215166E-2</v>
      </c>
      <c r="C46">
        <f>EXP(((-1)/(2*'Cálculos Diversos'!$B$5))*(SQRT(SUMXMY2('Tabela Entrada-Saída'!$B$46:$O$46,'Coordenadas dos Polos'!$AD$2:$AQ$2)))^2)</f>
        <v>7.6617066188577556E-5</v>
      </c>
      <c r="D46">
        <f>EXP(((-1)/(2*'Cálculos Diversos'!$B$5))*(SQRT(SUMXMY2('Tabela Entrada-Saída'!$B$46:$O$46,'Coordenadas dos Polos'!$AR$2:$BE$2)))^2)</f>
        <v>2.7294444008524324E-5</v>
      </c>
      <c r="E46">
        <f>EXP(((-1)/(2*'Cálculos Diversos'!$B$5))*(SQRT(SUMXMY2('Tabela Entrada-Saída'!$B$46:$O$46,'Coordenadas dos Polos'!$BF$2:$BS$2)))^2)</f>
        <v>1.0241596883700959E-4</v>
      </c>
      <c r="F46">
        <f>EXP(((-1)/(2*'Cálculos Diversos'!$B$5))*(SQRT(SUMXMY2('Tabela Entrada-Saída'!$B$46:$O$46,'Coordenadas dos Polos'!$BT$2:$CG$2)))^2)</f>
        <v>2.622112428920846E-6</v>
      </c>
      <c r="G46">
        <f>EXP(((-1)/(2*'Cálculos Diversos'!$B$5))*(SQRT(SUMXMY2('Tabela Entrada-Saída'!$B$46:$O$46,'Coordenadas dos Polos'!$CH$2:$CU$2)))^2)</f>
        <v>1.2740451783388801E-4</v>
      </c>
      <c r="H46">
        <f>EXP(((-1)/(2*'Cálculos Diversos'!$B$5))*(SQRT(SUMXMY2('Tabela Entrada-Saída'!$B$46:$O$46,'Coordenadas dos Polos'!$CV$2:$DI$2)))^2)</f>
        <v>6.0001857631997726E-6</v>
      </c>
      <c r="I46">
        <f>EXP(((-1)/(2*'Cálculos Diversos'!$B$5))*(SQRT(SUMXMY2('Tabela Entrada-Saída'!$B$46:$O$46,'Coordenadas dos Polos'!$DJ$2:$DW$2)))^2)</f>
        <v>2.6702501263512905E-4</v>
      </c>
      <c r="J46">
        <f>EXP(((-1)/(2*'Cálculos Diversos'!$B$5))*(SQRT(SUMXMY2('Tabela Entrada-Saída'!$B$46:$O$46,'Coordenadas dos Polos'!$DX$2:$EK$2)))^2)</f>
        <v>1.0242868162695817E-4</v>
      </c>
      <c r="K46">
        <f>EXP(((-1)/(2*'Cálculos Diversos'!$B$5))*(SQRT(SUMXMY2('Tabela Entrada-Saída'!$B$46:$O$46,'Coordenadas dos Polos'!$EL$2:$EY$2)))^2)</f>
        <v>4.303687669403496E-6</v>
      </c>
      <c r="L46">
        <f>EXP(((-1)/(2*'Cálculos Diversos'!$B$5))*(SQRT(SUMXMY2('Tabela Entrada-Saída'!$B$46:$O$46,'Coordenadas dos Polos'!$EZ$2:$FM$2)))^2)</f>
        <v>6.4095118738204028E-7</v>
      </c>
      <c r="M46">
        <f>EXP(((-1)/(2*'Cálculos Diversos'!$B$5))*(SQRT(SUMXMY2('Tabela Entrada-Saída'!$B$46:$O$46,'Coordenadas dos Polos'!$FN$2:$GA$2)))^2)</f>
        <v>1.2833296182869106E-5</v>
      </c>
      <c r="N46">
        <f>EXP(((-1)/(2*'Cálculos Diversos'!$B$5))*(SQRT(SUMXMY2('Tabela Entrada-Saída'!$B$46:$O$46,'Coordenadas dos Polos'!$GB$2:$GO$2)))^2)</f>
        <v>3.1705529180362841E-5</v>
      </c>
      <c r="O46">
        <f>EXP(((-1)/(2*'Cálculos Diversos'!$B$5))*(SQRT(SUMXMY2('Tabela Entrada-Saída'!$B$46:$O$46,'Coordenadas dos Polos'!$GP$2:$HC$2)))^2)</f>
        <v>2.6129256283650917E-6</v>
      </c>
      <c r="P46">
        <v>1</v>
      </c>
    </row>
    <row r="47" spans="1:16" x14ac:dyDescent="0.25">
      <c r="A47">
        <v>46</v>
      </c>
      <c r="B47">
        <f>EXP(((-1)/(2*'Cálculos Diversos'!$B$5))*(SQRT(SUMXMY2('Tabela Entrada-Saída'!$B$47:$O$47,'Coordenadas dos Polos'!$P$2:$AC$2)))^2)</f>
        <v>0.10437950560463766</v>
      </c>
      <c r="C47">
        <f>EXP(((-1)/(2*'Cálculos Diversos'!$B$5))*(SQRT(SUMXMY2('Tabela Entrada-Saída'!$B$47:$O$47,'Coordenadas dos Polos'!$AD$2:$AQ$2)))^2)</f>
        <v>7.8724136004113679E-5</v>
      </c>
      <c r="D47">
        <f>EXP(((-1)/(2*'Cálculos Diversos'!$B$5))*(SQRT(SUMXMY2('Tabela Entrada-Saída'!$B$47:$O$47,'Coordenadas dos Polos'!$AR$2:$BE$2)))^2)</f>
        <v>2.7188072490241475E-5</v>
      </c>
      <c r="E47">
        <f>EXP(((-1)/(2*'Cálculos Diversos'!$B$5))*(SQRT(SUMXMY2('Tabela Entrada-Saída'!$B$47:$O$47,'Coordenadas dos Polos'!$BF$2:$BS$2)))^2)</f>
        <v>1.0905484797186448E-4</v>
      </c>
      <c r="F47">
        <f>EXP(((-1)/(2*'Cálculos Diversos'!$B$5))*(SQRT(SUMXMY2('Tabela Entrada-Saída'!$B$47:$O$47,'Coordenadas dos Polos'!$BT$2:$CG$2)))^2)</f>
        <v>2.8392967090731649E-6</v>
      </c>
      <c r="G47">
        <f>EXP(((-1)/(2*'Cálculos Diversos'!$B$5))*(SQRT(SUMXMY2('Tabela Entrada-Saída'!$B$47:$O$47,'Coordenadas dos Polos'!$CH$2:$CU$2)))^2)</f>
        <v>1.2788287215509912E-4</v>
      </c>
      <c r="H47">
        <f>EXP(((-1)/(2*'Cálculos Diversos'!$B$5))*(SQRT(SUMXMY2('Tabela Entrada-Saída'!$B$47:$O$47,'Coordenadas dos Polos'!$CV$2:$DI$2)))^2)</f>
        <v>6.0550687255300722E-6</v>
      </c>
      <c r="I47">
        <f>EXP(((-1)/(2*'Cálculos Diversos'!$B$5))*(SQRT(SUMXMY2('Tabela Entrada-Saída'!$B$47:$O$47,'Coordenadas dos Polos'!$DJ$2:$DW$2)))^2)</f>
        <v>2.6176481409873281E-4</v>
      </c>
      <c r="J47">
        <f>EXP(((-1)/(2*'Cálculos Diversos'!$B$5))*(SQRT(SUMXMY2('Tabela Entrada-Saída'!$B$47:$O$47,'Coordenadas dos Polos'!$DX$2:$EK$2)))^2)</f>
        <v>1.0374872073798498E-4</v>
      </c>
      <c r="K47">
        <f>EXP(((-1)/(2*'Cálculos Diversos'!$B$5))*(SQRT(SUMXMY2('Tabela Entrada-Saída'!$B$47:$O$47,'Coordenadas dos Polos'!$EL$2:$EY$2)))^2)</f>
        <v>4.2953202956039673E-6</v>
      </c>
      <c r="L47">
        <f>EXP(((-1)/(2*'Cálculos Diversos'!$B$5))*(SQRT(SUMXMY2('Tabela Entrada-Saída'!$B$47:$O$47,'Coordenadas dos Polos'!$EZ$2:$FM$2)))^2)</f>
        <v>6.8610912920212034E-7</v>
      </c>
      <c r="M47">
        <f>EXP(((-1)/(2*'Cálculos Diversos'!$B$5))*(SQRT(SUMXMY2('Tabela Entrada-Saída'!$B$47:$O$47,'Coordenadas dos Polos'!$FN$2:$GA$2)))^2)</f>
        <v>1.3669663822023665E-5</v>
      </c>
      <c r="N47">
        <f>EXP(((-1)/(2*'Cálculos Diversos'!$B$5))*(SQRT(SUMXMY2('Tabela Entrada-Saída'!$B$47:$O$47,'Coordenadas dos Polos'!$GB$2:$GO$2)))^2)</f>
        <v>3.3605514124012495E-5</v>
      </c>
      <c r="O47">
        <f>EXP(((-1)/(2*'Cálculos Diversos'!$B$5))*(SQRT(SUMXMY2('Tabela Entrada-Saída'!$B$47:$O$47,'Coordenadas dos Polos'!$GP$2:$HC$2)))^2)</f>
        <v>2.7459292323924164E-6</v>
      </c>
      <c r="P47">
        <v>1</v>
      </c>
    </row>
    <row r="48" spans="1:16" x14ac:dyDescent="0.25">
      <c r="A48">
        <v>47</v>
      </c>
      <c r="B48">
        <f>EXP(((-1)/(2*'Cálculos Diversos'!$B$5))*(SQRT(SUMXMY2('Tabela Entrada-Saída'!$B$48:$O$48,'Coordenadas dos Polos'!$P$2:$AC$2)))^2)</f>
        <v>7.49908803527118E-2</v>
      </c>
      <c r="C48">
        <f>EXP(((-1)/(2*'Cálculos Diversos'!$B$5))*(SQRT(SUMXMY2('Tabela Entrada-Saída'!$B$48:$O$48,'Coordenadas dos Polos'!$AD$2:$AQ$2)))^2)</f>
        <v>7.0424509339494113E-5</v>
      </c>
      <c r="D48">
        <f>EXP(((-1)/(2*'Cálculos Diversos'!$B$5))*(SQRT(SUMXMY2('Tabela Entrada-Saída'!$B$48:$O$48,'Coordenadas dos Polos'!$AR$2:$BE$2)))^2)</f>
        <v>2.7190672864090145E-5</v>
      </c>
      <c r="E48">
        <f>EXP(((-1)/(2*'Cálculos Diversos'!$B$5))*(SQRT(SUMXMY2('Tabela Entrada-Saída'!$B$48:$O$48,'Coordenadas dos Polos'!$BF$2:$BS$2)))^2)</f>
        <v>8.579762036184076E-5</v>
      </c>
      <c r="F48">
        <f>EXP(((-1)/(2*'Cálculos Diversos'!$B$5))*(SQRT(SUMXMY2('Tabela Entrada-Saída'!$B$48:$O$48,'Coordenadas dos Polos'!$BT$2:$CG$2)))^2)</f>
        <v>2.0970062339127797E-6</v>
      </c>
      <c r="G48">
        <f>EXP(((-1)/(2*'Cálculos Diversos'!$B$5))*(SQRT(SUMXMY2('Tabela Entrada-Saída'!$B$48:$O$48,'Coordenadas dos Polos'!$CH$2:$CU$2)))^2)</f>
        <v>1.2446313075093696E-4</v>
      </c>
      <c r="H48">
        <f>EXP(((-1)/(2*'Cálculos Diversos'!$B$5))*(SQRT(SUMXMY2('Tabela Entrada-Saída'!$B$48:$O$48,'Coordenadas dos Polos'!$CV$2:$DI$2)))^2)</f>
        <v>5.7783506816193401E-6</v>
      </c>
      <c r="I48">
        <f>EXP(((-1)/(2*'Cálculos Diversos'!$B$5))*(SQRT(SUMXMY2('Tabela Entrada-Saída'!$B$48:$O$48,'Coordenadas dos Polos'!$DJ$2:$DW$2)))^2)</f>
        <v>2.7744554887957734E-4</v>
      </c>
      <c r="J48">
        <f>EXP(((-1)/(2*'Cálculos Diversos'!$B$5))*(SQRT(SUMXMY2('Tabela Entrada-Saída'!$B$48:$O$48,'Coordenadas dos Polos'!$DX$2:$EK$2)))^2)</f>
        <v>9.7482919935232482E-5</v>
      </c>
      <c r="K48">
        <f>EXP(((-1)/(2*'Cálculos Diversos'!$B$5))*(SQRT(SUMXMY2('Tabela Entrada-Saída'!$B$48:$O$48,'Coordenadas dos Polos'!$EL$2:$EY$2)))^2)</f>
        <v>4.2722956483560825E-6</v>
      </c>
      <c r="L48">
        <f>EXP(((-1)/(2*'Cálculos Diversos'!$B$5))*(SQRT(SUMXMY2('Tabela Entrada-Saída'!$B$48:$O$48,'Coordenadas dos Polos'!$EZ$2:$FM$2)))^2)</f>
        <v>5.2816772427705855E-7</v>
      </c>
      <c r="M48">
        <f>EXP(((-1)/(2*'Cálculos Diversos'!$B$5))*(SQRT(SUMXMY2('Tabela Entrada-Saída'!$B$48:$O$48,'Coordenadas dos Polos'!$FN$2:$GA$2)))^2)</f>
        <v>1.0734706998821802E-5</v>
      </c>
      <c r="N48">
        <f>EXP(((-1)/(2*'Cálculos Diversos'!$B$5))*(SQRT(SUMXMY2('Tabela Entrada-Saída'!$B$48:$O$48,'Coordenadas dos Polos'!$GB$2:$GO$2)))^2)</f>
        <v>2.6866753355605444E-5</v>
      </c>
      <c r="O48">
        <f>EXP(((-1)/(2*'Cálculos Diversos'!$B$5))*(SQRT(SUMXMY2('Tabela Entrada-Saída'!$B$48:$O$48,'Coordenadas dos Polos'!$GP$2:$HC$2)))^2)</f>
        <v>2.2648756704971462E-6</v>
      </c>
      <c r="P48">
        <v>1</v>
      </c>
    </row>
    <row r="49" spans="1:16" x14ac:dyDescent="0.25">
      <c r="A49">
        <v>48</v>
      </c>
      <c r="B49">
        <f>EXP(((-1)/(2*'Cálculos Diversos'!$B$5))*(SQRT(SUMXMY2('Tabela Entrada-Saída'!$B$49:$O$49,'Coordenadas dos Polos'!$P$2:$AC$2)))^2)</f>
        <v>0.12899026155972934</v>
      </c>
      <c r="C49">
        <f>EXP(((-1)/(2*'Cálculos Diversos'!$B$5))*(SQRT(SUMXMY2('Tabela Entrada-Saída'!$B$49:$O$49,'Coordenadas dos Polos'!$AD$2:$AQ$2)))^2)</f>
        <v>8.3586080189407126E-5</v>
      </c>
      <c r="D49">
        <f>EXP(((-1)/(2*'Cálculos Diversos'!$B$5))*(SQRT(SUMXMY2('Tabela Entrada-Saída'!$B$49:$O$49,'Coordenadas dos Polos'!$AR$2:$BE$2)))^2)</f>
        <v>2.6703405070891551E-5</v>
      </c>
      <c r="E49">
        <f>EXP(((-1)/(2*'Cálculos Diversos'!$B$5))*(SQRT(SUMXMY2('Tabela Entrada-Saída'!$B$49:$O$49,'Coordenadas dos Polos'!$BF$2:$BS$2)))^2)</f>
        <v>1.2657634142324259E-4</v>
      </c>
      <c r="F49">
        <f>EXP(((-1)/(2*'Cálculos Diversos'!$B$5))*(SQRT(SUMXMY2('Tabela Entrada-Saída'!$B$49:$O$49,'Coordenadas dos Polos'!$BT$2:$CG$2)))^2)</f>
        <v>3.4457229892035244E-6</v>
      </c>
      <c r="G49">
        <f>EXP(((-1)/(2*'Cálculos Diversos'!$B$5))*(SQRT(SUMXMY2('Tabela Entrada-Saída'!$B$49:$O$49,'Coordenadas dos Polos'!$CH$2:$CU$2)))^2)</f>
        <v>1.2805926193788593E-4</v>
      </c>
      <c r="H49">
        <f>EXP(((-1)/(2*'Cálculos Diversos'!$B$5))*(SQRT(SUMXMY2('Tabela Entrada-Saída'!$B$49:$O$49,'Coordenadas dos Polos'!$CV$2:$DI$2)))^2)</f>
        <v>6.1468400050147548E-6</v>
      </c>
      <c r="I49">
        <f>EXP(((-1)/(2*'Cálculos Diversos'!$B$5))*(SQRT(SUMXMY2('Tabela Entrada-Saída'!$B$49:$O$49,'Coordenadas dos Polos'!$DJ$2:$DW$2)))^2)</f>
        <v>2.4689115826919582E-4</v>
      </c>
      <c r="J49">
        <f>EXP(((-1)/(2*'Cálculos Diversos'!$B$5))*(SQRT(SUMXMY2('Tabela Entrada-Saída'!$B$49:$O$49,'Coordenadas dos Polos'!$DX$2:$EK$2)))^2)</f>
        <v>1.0652913079318352E-4</v>
      </c>
      <c r="K49">
        <f>EXP(((-1)/(2*'Cálculos Diversos'!$B$5))*(SQRT(SUMXMY2('Tabela Entrada-Saída'!$B$49:$O$49,'Coordenadas dos Polos'!$EL$2:$EY$2)))^2)</f>
        <v>4.2345267851680521E-6</v>
      </c>
      <c r="L49">
        <f>EXP(((-1)/(2*'Cálculos Diversos'!$B$5))*(SQRT(SUMXMY2('Tabela Entrada-Saída'!$B$49:$O$49,'Coordenadas dos Polos'!$EZ$2:$FM$2)))^2)</f>
        <v>8.0893132222208432E-7</v>
      </c>
      <c r="M49">
        <f>EXP(((-1)/(2*'Cálculos Diversos'!$B$5))*(SQRT(SUMXMY2('Tabela Entrada-Saída'!$B$49:$O$49,'Coordenadas dos Polos'!$FN$2:$GA$2)))^2)</f>
        <v>1.5889517290274956E-5</v>
      </c>
      <c r="N49">
        <f>EXP(((-1)/(2*'Cálculos Diversos'!$B$5))*(SQRT(SUMXMY2('Tabela Entrada-Saída'!$B$49:$O$49,'Coordenadas dos Polos'!$GB$2:$GO$2)))^2)</f>
        <v>3.85841812262765E-5</v>
      </c>
      <c r="O49">
        <f>EXP(((-1)/(2*'Cálculos Diversos'!$B$5))*(SQRT(SUMXMY2('Tabela Entrada-Saída'!$B$49:$O$49,'Coordenadas dos Polos'!$GP$2:$HC$2)))^2)</f>
        <v>3.0843810686141086E-6</v>
      </c>
      <c r="P49">
        <v>1</v>
      </c>
    </row>
    <row r="50" spans="1:16" x14ac:dyDescent="0.25">
      <c r="A50">
        <v>49</v>
      </c>
      <c r="B50">
        <f>EXP(((-1)/(2*'Cálculos Diversos'!$B$5))*(SQRT(SUMXMY2('Tabela Entrada-Saída'!$B$50:$O$50,'Coordenadas dos Polos'!$P$2:$AC$2)))^2)</f>
        <v>8.3692410912236337E-2</v>
      </c>
      <c r="C50">
        <f>EXP(((-1)/(2*'Cálculos Diversos'!$B$5))*(SQRT(SUMXMY2('Tabela Entrada-Saída'!$B$50:$O$50,'Coordenadas dos Polos'!$AD$2:$AQ$2)))^2)</f>
        <v>7.3267500930394944E-5</v>
      </c>
      <c r="D50">
        <f>EXP(((-1)/(2*'Cálculos Diversos'!$B$5))*(SQRT(SUMXMY2('Tabela Entrada-Saída'!$B$50:$O$50,'Coordenadas dos Polos'!$AR$2:$BE$2)))^2)</f>
        <v>2.7295885182396361E-5</v>
      </c>
      <c r="E50">
        <f>EXP(((-1)/(2*'Cálculos Diversos'!$B$5))*(SQRT(SUMXMY2('Tabela Entrada-Saída'!$B$50:$O$50,'Coordenadas dos Polos'!$BF$2:$BS$2)))^2)</f>
        <v>9.29923462458625E-5</v>
      </c>
      <c r="F50">
        <f>EXP(((-1)/(2*'Cálculos Diversos'!$B$5))*(SQRT(SUMXMY2('Tabela Entrada-Saída'!$B$50:$O$50,'Coordenadas dos Polos'!$BT$2:$CG$2)))^2)</f>
        <v>2.3200106939965211E-6</v>
      </c>
      <c r="G50">
        <f>EXP(((-1)/(2*'Cálculos Diversos'!$B$5))*(SQRT(SUMXMY2('Tabela Entrada-Saída'!$B$50:$O$50,'Coordenadas dos Polos'!$CH$2:$CU$2)))^2)</f>
        <v>1.2596106612994002E-4</v>
      </c>
      <c r="H50">
        <f>EXP(((-1)/(2*'Cálculos Diversos'!$B$5))*(SQRT(SUMXMY2('Tabela Entrada-Saída'!$B$50:$O$50,'Coordenadas dos Polos'!$CV$2:$DI$2)))^2)</f>
        <v>5.8915382044908094E-6</v>
      </c>
      <c r="I50">
        <f>EXP(((-1)/(2*'Cálculos Diversos'!$B$5))*(SQRT(SUMXMY2('Tabela Entrada-Saída'!$B$50:$O$50,'Coordenadas dos Polos'!$DJ$2:$DW$2)))^2)</f>
        <v>2.7323488027745463E-4</v>
      </c>
      <c r="J50">
        <f>EXP(((-1)/(2*'Cálculos Diversos'!$B$5))*(SQRT(SUMXMY2('Tabela Entrada-Saída'!$B$50:$O$50,'Coordenadas dos Polos'!$DX$2:$EK$2)))^2)</f>
        <v>9.9842710088615834E-5</v>
      </c>
      <c r="K50">
        <f>EXP(((-1)/(2*'Cálculos Diversos'!$B$5))*(SQRT(SUMXMY2('Tabela Entrada-Saída'!$B$50:$O$50,'Coordenadas dos Polos'!$EL$2:$EY$2)))^2)</f>
        <v>4.2956978940288597E-6</v>
      </c>
      <c r="L50">
        <f>EXP(((-1)/(2*'Cálculos Diversos'!$B$5))*(SQRT(SUMXMY2('Tabela Entrada-Saída'!$B$50:$O$50,'Coordenadas dos Polos'!$EZ$2:$FM$2)))^2)</f>
        <v>5.7672992524837308E-7</v>
      </c>
      <c r="M50">
        <f>EXP(((-1)/(2*'Cálculos Diversos'!$B$5))*(SQRT(SUMXMY2('Tabela Entrada-Saída'!$B$50:$O$50,'Coordenadas dos Polos'!$FN$2:$GA$2)))^2)</f>
        <v>1.1644206633740682E-5</v>
      </c>
      <c r="N50">
        <f>EXP(((-1)/(2*'Cálculos Diversos'!$B$5))*(SQRT(SUMXMY2('Tabela Entrada-Saída'!$B$50:$O$50,'Coordenadas dos Polos'!$GB$2:$GO$2)))^2)</f>
        <v>2.8994806640423158E-5</v>
      </c>
      <c r="O50">
        <f>EXP(((-1)/(2*'Cálculos Diversos'!$B$5))*(SQRT(SUMXMY2('Tabela Entrada-Saída'!$B$50:$O$50,'Coordenadas dos Polos'!$GP$2:$HC$2)))^2)</f>
        <v>2.4173989202430364E-6</v>
      </c>
      <c r="P50">
        <v>1</v>
      </c>
    </row>
    <row r="51" spans="1:16" x14ac:dyDescent="0.25">
      <c r="A51">
        <v>50</v>
      </c>
      <c r="B51">
        <f>EXP(((-1)/(2*'Cálculos Diversos'!$B$5))*(SQRT(SUMXMY2('Tabela Entrada-Saída'!$B$51:$O$51,'Coordenadas dos Polos'!$P$2:$AC$2)))^2)</f>
        <v>9.2736105633459145E-2</v>
      </c>
      <c r="C51">
        <f>EXP(((-1)/(2*'Cálculos Diversos'!$B$5))*(SQRT(SUMXMY2('Tabela Entrada-Saída'!$B$51:$O$51,'Coordenadas dos Polos'!$AD$2:$AQ$2)))^2)</f>
        <v>7.584804783603698E-5</v>
      </c>
      <c r="D51">
        <f>EXP(((-1)/(2*'Cálculos Diversos'!$B$5))*(SQRT(SUMXMY2('Tabela Entrada-Saída'!$B$51:$O$51,'Coordenadas dos Polos'!$AR$2:$BE$2)))^2)</f>
        <v>2.7301524347551843E-5</v>
      </c>
      <c r="E51">
        <f>EXP(((-1)/(2*'Cálculos Diversos'!$B$5))*(SQRT(SUMXMY2('Tabela Entrada-Saída'!$B$51:$O$51,'Coordenadas dos Polos'!$BF$2:$BS$2)))^2)</f>
        <v>1.0019615098049095E-4</v>
      </c>
      <c r="F51">
        <f>EXP(((-1)/(2*'Cálculos Diversos'!$B$5))*(SQRT(SUMXMY2('Tabela Entrada-Saída'!$B$51:$O$51,'Coordenadas dos Polos'!$BT$2:$CG$2)))^2)</f>
        <v>2.5497371836183555E-6</v>
      </c>
      <c r="G51">
        <f>EXP(((-1)/(2*'Cálculos Diversos'!$B$5))*(SQRT(SUMXMY2('Tabela Entrada-Saída'!$B$51:$O$51,'Coordenadas dos Polos'!$CH$2:$CU$2)))^2)</f>
        <v>1.2706506357286346E-4</v>
      </c>
      <c r="H51">
        <f>EXP(((-1)/(2*'Cálculos Diversos'!$B$5))*(SQRT(SUMXMY2('Tabela Entrada-Saída'!$B$51:$O$51,'Coordenadas dos Polos'!$CV$2:$DI$2)))^2)</f>
        <v>5.9765937984177035E-6</v>
      </c>
      <c r="I51">
        <f>EXP(((-1)/(2*'Cálculos Diversos'!$B$5))*(SQRT(SUMXMY2('Tabela Entrada-Saída'!$B$51:$O$51,'Coordenadas dos Polos'!$DJ$2:$DW$2)))^2)</f>
        <v>2.684732932923627E-4</v>
      </c>
      <c r="J51">
        <f>EXP(((-1)/(2*'Cálculos Diversos'!$B$5))*(SQRT(SUMXMY2('Tabela Entrada-Saída'!$B$51:$O$51,'Coordenadas dos Polos'!$DX$2:$EK$2)))^2)</f>
        <v>1.0182760681821181E-4</v>
      </c>
      <c r="K51">
        <f>EXP(((-1)/(2*'Cálculos Diversos'!$B$5))*(SQRT(SUMXMY2('Tabela Entrada-Saída'!$B$51:$O$51,'Coordenadas dos Polos'!$EL$2:$EY$2)))^2)</f>
        <v>4.3028866310165834E-6</v>
      </c>
      <c r="L51">
        <f>EXP(((-1)/(2*'Cálculos Diversos'!$B$5))*(SQRT(SUMXMY2('Tabela Entrada-Saída'!$B$51:$O$51,'Coordenadas dos Polos'!$EZ$2:$FM$2)))^2)</f>
        <v>6.2567603365676614E-7</v>
      </c>
      <c r="M51">
        <f>EXP(((-1)/(2*'Cálculos Diversos'!$B$5))*(SQRT(SUMXMY2('Tabela Entrada-Saída'!$B$51:$O$51,'Coordenadas dos Polos'!$FN$2:$GA$2)))^2)</f>
        <v>1.2552893849598465E-5</v>
      </c>
      <c r="N51">
        <f>EXP(((-1)/(2*'Cálculos Diversos'!$B$5))*(SQRT(SUMXMY2('Tabela Entrada-Saída'!$B$51:$O$51,'Coordenadas dos Polos'!$GB$2:$GO$2)))^2)</f>
        <v>3.1072002825768506E-5</v>
      </c>
      <c r="O51">
        <f>EXP(((-1)/(2*'Cálculos Diversos'!$B$5))*(SQRT(SUMXMY2('Tabela Entrada-Saída'!$B$51:$O$51,'Coordenadas dos Polos'!$GP$2:$HC$2)))^2)</f>
        <v>2.5669862013246084E-6</v>
      </c>
      <c r="P51">
        <v>1</v>
      </c>
    </row>
    <row r="52" spans="1:16" x14ac:dyDescent="0.25">
      <c r="A52">
        <v>51</v>
      </c>
      <c r="B52">
        <f>EXP(((-1)/(2*'Cálculos Diversos'!$B$5))*(SQRT(SUMXMY2('Tabela Entrada-Saída'!$B$52:$O$52,'Coordenadas dos Polos'!$P$2:$AC$2)))^2)</f>
        <v>0.12060535086219949</v>
      </c>
      <c r="C52">
        <f>EXP(((-1)/(2*'Cálculos Diversos'!$B$5))*(SQRT(SUMXMY2('Tabela Entrada-Saída'!$B$52:$O$52,'Coordenadas dos Polos'!$AD$2:$AQ$2)))^2)</f>
        <v>8.2014271778340628E-5</v>
      </c>
      <c r="D52">
        <f>EXP(((-1)/(2*'Cálculos Diversos'!$B$5))*(SQRT(SUMXMY2('Tabela Entrada-Saída'!$B$52:$O$52,'Coordenadas dos Polos'!$AR$2:$BE$2)))^2)</f>
        <v>2.6879769136575601E-5</v>
      </c>
      <c r="E52">
        <f>EXP(((-1)/(2*'Cálculos Diversos'!$B$5))*(SQRT(SUMXMY2('Tabela Entrada-Saída'!$B$52:$O$52,'Coordenadas dos Polos'!$BF$2:$BS$2)))^2)</f>
        <v>1.2071118539759042E-4</v>
      </c>
      <c r="F52">
        <f>EXP(((-1)/(2*'Cálculos Diversos'!$B$5))*(SQRT(SUMXMY2('Tabela Entrada-Saída'!$B$52:$O$52,'Coordenadas dos Polos'!$BT$2:$CG$2)))^2)</f>
        <v>3.2394852497299474E-6</v>
      </c>
      <c r="G52">
        <f>EXP(((-1)/(2*'Cálculos Diversos'!$B$5))*(SQRT(SUMXMY2('Tabela Entrada-Saída'!$B$52:$O$52,'Coordenadas dos Polos'!$CH$2:$CU$2)))^2)</f>
        <v>1.2812827210921795E-4</v>
      </c>
      <c r="H52">
        <f>EXP(((-1)/(2*'Cálculos Diversos'!$B$5))*(SQRT(SUMXMY2('Tabela Entrada-Saída'!$B$52:$O$52,'Coordenadas dos Polos'!$CV$2:$DI$2)))^2)</f>
        <v>6.117370228243118E-6</v>
      </c>
      <c r="I52">
        <f>EXP(((-1)/(2*'Cálculos Diversos'!$B$5))*(SQRT(SUMXMY2('Tabela Entrada-Saída'!$B$52:$O$52,'Coordenadas dos Polos'!$DJ$2:$DW$2)))^2)</f>
        <v>2.518951257401238E-4</v>
      </c>
      <c r="J52">
        <f>EXP(((-1)/(2*'Cálculos Diversos'!$B$5))*(SQRT(SUMXMY2('Tabela Entrada-Saída'!$B$52:$O$52,'Coordenadas dos Polos'!$DX$2:$EK$2)))^2)</f>
        <v>1.0571853062676176E-4</v>
      </c>
      <c r="K52">
        <f>EXP(((-1)/(2*'Cálculos Diversos'!$B$5))*(SQRT(SUMXMY2('Tabela Entrada-Saída'!$B$52:$O$52,'Coordenadas dos Polos'!$EL$2:$EY$2)))^2)</f>
        <v>4.2562273174753378E-6</v>
      </c>
      <c r="L52">
        <f>EXP(((-1)/(2*'Cálculos Diversos'!$B$5))*(SQRT(SUMXMY2('Tabela Entrada-Saída'!$B$52:$O$52,'Coordenadas dos Polos'!$EZ$2:$FM$2)))^2)</f>
        <v>7.6741620770219876E-7</v>
      </c>
      <c r="M52">
        <f>EXP(((-1)/(2*'Cálculos Diversos'!$B$5))*(SQRT(SUMXMY2('Tabela Entrada-Saída'!$B$52:$O$52,'Coordenadas dos Polos'!$FN$2:$GA$2)))^2)</f>
        <v>1.5142527425493782E-5</v>
      </c>
      <c r="N52">
        <f>EXP(((-1)/(2*'Cálculos Diversos'!$B$5))*(SQRT(SUMXMY2('Tabela Entrada-Saída'!$B$52:$O$52,'Coordenadas dos Polos'!$GB$2:$GO$2)))^2)</f>
        <v>3.6902281223180085E-5</v>
      </c>
      <c r="O52">
        <f>EXP(((-1)/(2*'Cálculos Diversos'!$B$5))*(SQRT(SUMXMY2('Tabela Entrada-Saída'!$B$52:$O$52,'Coordenadas dos Polos'!$GP$2:$HC$2)))^2)</f>
        <v>2.9734235954500976E-6</v>
      </c>
      <c r="P52">
        <v>1</v>
      </c>
    </row>
    <row r="53" spans="1:16" x14ac:dyDescent="0.25">
      <c r="A53">
        <v>52</v>
      </c>
      <c r="B53">
        <f>EXP(((-1)/(2*'Cálculos Diversos'!$B$5))*(SQRT(SUMXMY2('Tabela Entrada-Saída'!$B$53:$O$53,'Coordenadas dos Polos'!$P$2:$AC$2)))^2)</f>
        <v>9.6389237500351013E-2</v>
      </c>
      <c r="C53">
        <f>EXP(((-1)/(2*'Cálculos Diversos'!$B$5))*(SQRT(SUMXMY2('Tabela Entrada-Saída'!$B$53:$O$53,'Coordenadas dos Polos'!$AD$2:$AQ$2)))^2)</f>
        <v>7.6852276901547063E-5</v>
      </c>
      <c r="D53">
        <f>EXP(((-1)/(2*'Cálculos Diversos'!$B$5))*(SQRT(SUMXMY2('Tabela Entrada-Saída'!$B$53:$O$53,'Coordenadas dos Polos'!$AR$2:$BE$2)))^2)</f>
        <v>2.7279278836537577E-5</v>
      </c>
      <c r="E53">
        <f>EXP(((-1)/(2*'Cálculos Diversos'!$B$5))*(SQRT(SUMXMY2('Tabela Entrada-Saída'!$B$53:$O$53,'Coordenadas dos Polos'!$BF$2:$BS$2)))^2)</f>
        <v>1.0302857896797411E-4</v>
      </c>
      <c r="F53">
        <f>EXP(((-1)/(2*'Cálculos Diversos'!$B$5))*(SQRT(SUMXMY2('Tabela Entrada-Saída'!$B$53:$O$53,'Coordenadas dos Polos'!$BT$2:$CG$2)))^2)</f>
        <v>2.6407076492195188E-6</v>
      </c>
      <c r="G53">
        <f>EXP(((-1)/(2*'Cálculos Diversos'!$B$5))*(SQRT(SUMXMY2('Tabela Entrada-Saída'!$B$53:$O$53,'Coordenadas dos Polos'!$CH$2:$CU$2)))^2)</f>
        <v>1.2743700416403684E-4</v>
      </c>
      <c r="H53">
        <f>EXP(((-1)/(2*'Cálculos Diversos'!$B$5))*(SQRT(SUMXMY2('Tabela Entrada-Saída'!$B$53:$O$53,'Coordenadas dos Polos'!$CV$2:$DI$2)))^2)</f>
        <v>6.011074285599666E-6</v>
      </c>
      <c r="I53">
        <f>EXP(((-1)/(2*'Cálculos Diversos'!$B$5))*(SQRT(SUMXMY2('Tabela Entrada-Saída'!$B$53:$O$53,'Coordenadas dos Polos'!$DJ$2:$DW$2)))^2)</f>
        <v>2.663385188646848E-4</v>
      </c>
      <c r="J53">
        <f>EXP(((-1)/(2*'Cálculos Diversos'!$B$5))*(SQRT(SUMXMY2('Tabela Entrada-Saída'!$B$53:$O$53,'Coordenadas dos Polos'!$DX$2:$EK$2)))^2)</f>
        <v>1.0254377554683197E-4</v>
      </c>
      <c r="K53">
        <f>EXP(((-1)/(2*'Cálculos Diversos'!$B$5))*(SQRT(SUMXMY2('Tabela Entrada-Saída'!$B$53:$O$53,'Coordenadas dos Polos'!$EL$2:$EY$2)))^2)</f>
        <v>4.3049975621852492E-6</v>
      </c>
      <c r="L53">
        <f>EXP(((-1)/(2*'Cálculos Diversos'!$B$5))*(SQRT(SUMXMY2('Tabela Entrada-Saída'!$B$53:$O$53,'Coordenadas dos Polos'!$EZ$2:$FM$2)))^2)</f>
        <v>6.448868112721795E-7</v>
      </c>
      <c r="M53">
        <f>EXP(((-1)/(2*'Cálculos Diversos'!$B$5))*(SQRT(SUMXMY2('Tabela Entrada-Saída'!$B$53:$O$53,'Coordenadas dos Polos'!$FN$2:$GA$2)))^2)</f>
        <v>1.2912235010953439E-5</v>
      </c>
      <c r="N53">
        <f>EXP(((-1)/(2*'Cálculos Diversos'!$B$5))*(SQRT(SUMXMY2('Tabela Entrada-Saída'!$B$53:$O$53,'Coordenadas dos Polos'!$GB$2:$GO$2)))^2)</f>
        <v>3.1913070462157923E-5</v>
      </c>
      <c r="O53">
        <f>EXP(((-1)/(2*'Cálculos Diversos'!$B$5))*(SQRT(SUMXMY2('Tabela Entrada-Saída'!$B$53:$O$53,'Coordenadas dos Polos'!$GP$2:$HC$2)))^2)</f>
        <v>2.6247206359482263E-6</v>
      </c>
      <c r="P53">
        <v>1</v>
      </c>
    </row>
    <row r="54" spans="1:16" x14ac:dyDescent="0.25">
      <c r="A54">
        <v>53</v>
      </c>
      <c r="B54">
        <f>EXP(((-1)/(2*'Cálculos Diversos'!$B$5))*(SQRT(SUMXMY2('Tabela Entrada-Saída'!$B$54:$O$54,'Coordenadas dos Polos'!$P$2:$AC$2)))^2)</f>
        <v>7.6283518747042686E-2</v>
      </c>
      <c r="C54">
        <f>EXP(((-1)/(2*'Cálculos Diversos'!$B$5))*(SQRT(SUMXMY2('Tabela Entrada-Saída'!$B$54:$O$54,'Coordenadas dos Polos'!$AD$2:$AQ$2)))^2)</f>
        <v>7.0882832156956871E-5</v>
      </c>
      <c r="D54">
        <f>EXP(((-1)/(2*'Cálculos Diversos'!$B$5))*(SQRT(SUMXMY2('Tabela Entrada-Saída'!$B$54:$O$54,'Coordenadas dos Polos'!$AR$2:$BE$2)))^2)</f>
        <v>2.7228427906228203E-5</v>
      </c>
      <c r="E54">
        <f>EXP(((-1)/(2*'Cálculos Diversos'!$B$5))*(SQRT(SUMXMY2('Tabela Entrada-Saída'!$B$54:$O$54,'Coordenadas dos Polos'!$BF$2:$BS$2)))^2)</f>
        <v>8.6910843828869483E-5</v>
      </c>
      <c r="F54">
        <f>EXP(((-1)/(2*'Cálculos Diversos'!$B$5))*(SQRT(SUMXMY2('Tabela Entrada-Saída'!$B$54:$O$54,'Coordenadas dos Polos'!$BT$2:$CG$2)))^2)</f>
        <v>2.130167652885813E-6</v>
      </c>
      <c r="G54">
        <f>EXP(((-1)/(2*'Cálculos Diversos'!$B$5))*(SQRT(SUMXMY2('Tabela Entrada-Saída'!$B$54:$O$54,'Coordenadas dos Polos'!$CH$2:$CU$2)))^2)</f>
        <v>1.2469756494973898E-4</v>
      </c>
      <c r="H54">
        <f>EXP(((-1)/(2*'Cálculos Diversos'!$B$5))*(SQRT(SUMXMY2('Tabela Entrada-Saída'!$B$54:$O$54,'Coordenadas dos Polos'!$CV$2:$DI$2)))^2)</f>
        <v>5.7974632150530887E-6</v>
      </c>
      <c r="I54">
        <f>EXP(((-1)/(2*'Cálculos Diversos'!$B$5))*(SQRT(SUMXMY2('Tabela Entrada-Saída'!$B$54:$O$54,'Coordenadas dos Polos'!$DJ$2:$DW$2)))^2)</f>
        <v>2.7705028276196362E-4</v>
      </c>
      <c r="J54">
        <f>EXP(((-1)/(2*'Cálculos Diversos'!$B$5))*(SQRT(SUMXMY2('Tabela Entrada-Saída'!$B$54:$O$54,'Coordenadas dos Polos'!$DX$2:$EK$2)))^2)</f>
        <v>9.7820247635053233E-5</v>
      </c>
      <c r="K54">
        <f>EXP(((-1)/(2*'Cálculos Diversos'!$B$5))*(SQRT(SUMXMY2('Tabela Entrada-Saída'!$B$54:$O$54,'Coordenadas dos Polos'!$EL$2:$EY$2)))^2)</f>
        <v>4.2784152171468442E-6</v>
      </c>
      <c r="L54">
        <f>EXP(((-1)/(2*'Cálculos Diversos'!$B$5))*(SQRT(SUMXMY2('Tabela Entrada-Saída'!$B$54:$O$54,'Coordenadas dos Polos'!$EZ$2:$FM$2)))^2)</f>
        <v>5.355293964569583E-7</v>
      </c>
      <c r="M54">
        <f>EXP(((-1)/(2*'Cálculos Diversos'!$B$5))*(SQRT(SUMXMY2('Tabela Entrada-Saída'!$B$54:$O$54,'Coordenadas dos Polos'!$FN$2:$GA$2)))^2)</f>
        <v>1.0875707413197495E-5</v>
      </c>
      <c r="N54">
        <f>EXP(((-1)/(2*'Cálculos Diversos'!$B$5))*(SQRT(SUMXMY2('Tabela Entrada-Saída'!$B$54:$O$54,'Coordenadas dos Polos'!$GB$2:$GO$2)))^2)</f>
        <v>2.718443143862159E-5</v>
      </c>
      <c r="O54">
        <f>EXP(((-1)/(2*'Cálculos Diversos'!$B$5))*(SQRT(SUMXMY2('Tabela Entrada-Saída'!$B$54:$O$54,'Coordenadas dos Polos'!$GP$2:$HC$2)))^2)</f>
        <v>2.2882200069585892E-6</v>
      </c>
      <c r="P54">
        <v>1</v>
      </c>
    </row>
    <row r="55" spans="1:16" x14ac:dyDescent="0.25">
      <c r="A55">
        <v>54</v>
      </c>
      <c r="B55">
        <f>EXP(((-1)/(2*'Cálculos Diversos'!$B$5))*(SQRT(SUMXMY2('Tabela Entrada-Saída'!$B$55:$O$55,'Coordenadas dos Polos'!$P$2:$AC$2)))^2)</f>
        <v>8.5489119607613864E-2</v>
      </c>
      <c r="C55">
        <f>EXP(((-1)/(2*'Cálculos Diversos'!$B$5))*(SQRT(SUMXMY2('Tabela Entrada-Saída'!$B$55:$O$55,'Coordenadas dos Polos'!$AD$2:$AQ$2)))^2)</f>
        <v>7.371857222708504E-5</v>
      </c>
      <c r="D55">
        <f>EXP(((-1)/(2*'Cálculos Diversos'!$B$5))*(SQRT(SUMXMY2('Tabela Entrada-Saída'!$B$55:$O$55,'Coordenadas dos Polos'!$AR$2:$BE$2)))^2)</f>
        <v>2.7270500167167725E-5</v>
      </c>
      <c r="E55">
        <f>EXP(((-1)/(2*'Cálculos Diversos'!$B$5))*(SQRT(SUMXMY2('Tabela Entrada-Saída'!$B$55:$O$55,'Coordenadas dos Polos'!$BF$2:$BS$2)))^2)</f>
        <v>9.4416180460357349E-5</v>
      </c>
      <c r="F55">
        <f>EXP(((-1)/(2*'Cálculos Diversos'!$B$5))*(SQRT(SUMXMY2('Tabela Entrada-Saída'!$B$55:$O$55,'Coordenadas dos Polos'!$BT$2:$CG$2)))^2)</f>
        <v>2.3642968538495375E-6</v>
      </c>
      <c r="G55">
        <f>EXP(((-1)/(2*'Cálculos Diversos'!$B$5))*(SQRT(SUMXMY2('Tabela Entrada-Saída'!$B$55:$O$55,'Coordenadas dos Polos'!$CH$2:$CU$2)))^2)</f>
        <v>1.2617686979207062E-4</v>
      </c>
      <c r="H55">
        <f>EXP(((-1)/(2*'Cálculos Diversos'!$B$5))*(SQRT(SUMXMY2('Tabela Entrada-Saída'!$B$55:$O$55,'Coordenadas dos Polos'!$CV$2:$DI$2)))^2)</f>
        <v>5.8963244159249286E-6</v>
      </c>
      <c r="I55">
        <f>EXP(((-1)/(2*'Cálculos Diversos'!$B$5))*(SQRT(SUMXMY2('Tabela Entrada-Saída'!$B$55:$O$55,'Coordenadas dos Polos'!$DJ$2:$DW$2)))^2)</f>
        <v>2.7223211722936106E-4</v>
      </c>
      <c r="J55">
        <f>EXP(((-1)/(2*'Cálculos Diversos'!$B$5))*(SQRT(SUMXMY2('Tabela Entrada-Saída'!$B$55:$O$55,'Coordenadas dos Polos'!$DX$2:$EK$2)))^2)</f>
        <v>1.0013415662791914E-4</v>
      </c>
      <c r="K55">
        <f>EXP(((-1)/(2*'Cálculos Diversos'!$B$5))*(SQRT(SUMXMY2('Tabela Entrada-Saída'!$B$55:$O$55,'Coordenadas dos Polos'!$EL$2:$EY$2)))^2)</f>
        <v>4.2933142221589053E-6</v>
      </c>
      <c r="L55">
        <f>EXP(((-1)/(2*'Cálculos Diversos'!$B$5))*(SQRT(SUMXMY2('Tabela Entrada-Saída'!$B$55:$O$55,'Coordenadas dos Polos'!$EZ$2:$FM$2)))^2)</f>
        <v>5.8588533175305339E-7</v>
      </c>
      <c r="M55">
        <f>EXP(((-1)/(2*'Cálculos Diversos'!$B$5))*(SQRT(SUMXMY2('Tabela Entrada-Saída'!$B$55:$O$55,'Coordenadas dos Polos'!$FN$2:$GA$2)))^2)</f>
        <v>1.1818595246074833E-5</v>
      </c>
      <c r="N55">
        <f>EXP(((-1)/(2*'Cálculos Diversos'!$B$5))*(SQRT(SUMXMY2('Tabela Entrada-Saída'!$B$55:$O$55,'Coordenadas dos Polos'!$GB$2:$GO$2)))^2)</f>
        <v>2.9353860836923159E-5</v>
      </c>
      <c r="O55">
        <f>EXP(((-1)/(2*'Cálculos Diversos'!$B$5))*(SQRT(SUMXMY2('Tabela Entrada-Saída'!$B$55:$O$55,'Coordenadas dos Polos'!$GP$2:$HC$2)))^2)</f>
        <v>2.4476231734329141E-6</v>
      </c>
      <c r="P55">
        <v>1</v>
      </c>
    </row>
    <row r="56" spans="1:16" x14ac:dyDescent="0.25">
      <c r="A56">
        <v>55</v>
      </c>
      <c r="B56">
        <f>EXP(((-1)/(2*'Cálculos Diversos'!$B$5))*(SQRT(SUMXMY2('Tabela Entrada-Saída'!$B$56:$O$56,'Coordenadas dos Polos'!$P$2:$AC$2)))^2)</f>
        <v>0.11457257429440319</v>
      </c>
      <c r="C56">
        <f>EXP(((-1)/(2*'Cálculos Diversos'!$B$5))*(SQRT(SUMXMY2('Tabela Entrada-Saída'!$B$56:$O$56,'Coordenadas dos Polos'!$AD$2:$AQ$2)))^2)</f>
        <v>8.0880425606842763E-5</v>
      </c>
      <c r="D56">
        <f>EXP(((-1)/(2*'Cálculos Diversos'!$B$5))*(SQRT(SUMXMY2('Tabela Entrada-Saída'!$B$56:$O$56,'Coordenadas dos Polos'!$AR$2:$BE$2)))^2)</f>
        <v>2.7015221703918158E-5</v>
      </c>
      <c r="E56">
        <f>EXP(((-1)/(2*'Cálculos Diversos'!$B$5))*(SQRT(SUMXMY2('Tabela Entrada-Saída'!$B$56:$O$56,'Coordenadas dos Polos'!$BF$2:$BS$2)))^2)</f>
        <v>1.1649989492037703E-4</v>
      </c>
      <c r="F56">
        <f>EXP(((-1)/(2*'Cálculos Diversos'!$B$5))*(SQRT(SUMXMY2('Tabela Entrada-Saída'!$B$56:$O$56,'Coordenadas dos Polos'!$BT$2:$CG$2)))^2)</f>
        <v>3.0917383941282697E-6</v>
      </c>
      <c r="G56">
        <f>EXP(((-1)/(2*'Cálculos Diversos'!$B$5))*(SQRT(SUMXMY2('Tabela Entrada-Saída'!$B$56:$O$56,'Coordenadas dos Polos'!$CH$2:$CU$2)))^2)</f>
        <v>1.2816921265557726E-4</v>
      </c>
      <c r="H56">
        <f>EXP(((-1)/(2*'Cálculos Diversos'!$B$5))*(SQRT(SUMXMY2('Tabela Entrada-Saída'!$B$56:$O$56,'Coordenadas dos Polos'!$CV$2:$DI$2)))^2)</f>
        <v>6.0975825588949E-6</v>
      </c>
      <c r="I56">
        <f>EXP(((-1)/(2*'Cálculos Diversos'!$B$5))*(SQRT(SUMXMY2('Tabela Entrada-Saída'!$B$56:$O$56,'Coordenadas dos Polos'!$DJ$2:$DW$2)))^2)</f>
        <v>2.5573102391834428E-4</v>
      </c>
      <c r="J56">
        <f>EXP(((-1)/(2*'Cálculos Diversos'!$B$5))*(SQRT(SUMXMY2('Tabela Entrada-Saída'!$B$56:$O$56,'Coordenadas dos Polos'!$DX$2:$EK$2)))^2)</f>
        <v>1.0505253684080638E-4</v>
      </c>
      <c r="K56">
        <f>EXP(((-1)/(2*'Cálculos Diversos'!$B$5))*(SQRT(SUMXMY2('Tabela Entrada-Saída'!$B$56:$O$56,'Coordenadas dos Polos'!$EL$2:$EY$2)))^2)</f>
        <v>4.2742106911137663E-6</v>
      </c>
      <c r="L56">
        <f>EXP(((-1)/(2*'Cálculos Diversos'!$B$5))*(SQRT(SUMXMY2('Tabela Entrada-Saída'!$B$56:$O$56,'Coordenadas dos Polos'!$EZ$2:$FM$2)))^2)</f>
        <v>7.376628554267391E-7</v>
      </c>
      <c r="M56">
        <f>EXP(((-1)/(2*'Cálculos Diversos'!$B$5))*(SQRT(SUMXMY2('Tabela Entrada-Saída'!$B$56:$O$56,'Coordenadas dos Polos'!$FN$2:$GA$2)))^2)</f>
        <v>1.4608647673937183E-5</v>
      </c>
      <c r="N56">
        <f>EXP(((-1)/(2*'Cálculos Diversos'!$B$5))*(SQRT(SUMXMY2('Tabela Entrada-Saída'!$B$56:$O$56,'Coordenadas dos Polos'!$GB$2:$GO$2)))^2)</f>
        <v>3.5692378757982819E-5</v>
      </c>
      <c r="O56">
        <f>EXP(((-1)/(2*'Cálculos Diversos'!$B$5))*(SQRT(SUMXMY2('Tabela Entrada-Saída'!$B$56:$O$56,'Coordenadas dos Polos'!$GP$2:$HC$2)))^2)</f>
        <v>2.8924930763803247E-6</v>
      </c>
      <c r="P56">
        <v>1</v>
      </c>
    </row>
    <row r="57" spans="1:16" x14ac:dyDescent="0.25">
      <c r="A57">
        <v>56</v>
      </c>
      <c r="B57">
        <f>EXP(((-1)/(2*'Cálculos Diversos'!$B$5))*(SQRT(SUMXMY2('Tabela Entrada-Saída'!$B$57:$O$57,'Coordenadas dos Polos'!$P$2:$AC$2)))^2)</f>
        <v>7.516787990684895E-2</v>
      </c>
      <c r="C57">
        <f>EXP(((-1)/(2*'Cálculos Diversos'!$B$5))*(SQRT(SUMXMY2('Tabela Entrada-Saída'!$B$57:$O$57,'Coordenadas dos Polos'!$AD$2:$AQ$2)))^2)</f>
        <v>7.0459919654783395E-5</v>
      </c>
      <c r="D57">
        <f>EXP(((-1)/(2*'Cálculos Diversos'!$B$5))*(SQRT(SUMXMY2('Tabela Entrada-Saída'!$B$57:$O$57,'Coordenadas dos Polos'!$AR$2:$BE$2)))^2)</f>
        <v>2.7191456221293167E-5</v>
      </c>
      <c r="E57">
        <f>EXP(((-1)/(2*'Cálculos Diversos'!$B$5))*(SQRT(SUMXMY2('Tabela Entrada-Saída'!$B$57:$O$57,'Coordenadas dos Polos'!$BF$2:$BS$2)))^2)</f>
        <v>8.5926664733699878E-5</v>
      </c>
      <c r="F57">
        <f>EXP(((-1)/(2*'Cálculos Diversos'!$B$5))*(SQRT(SUMXMY2('Tabela Entrada-Saída'!$B$57:$O$57,'Coordenadas dos Polos'!$BT$2:$CG$2)))^2)</f>
        <v>2.1004289168844414E-6</v>
      </c>
      <c r="G57">
        <f>EXP(((-1)/(2*'Cálculos Diversos'!$B$5))*(SQRT(SUMXMY2('Tabela Entrada-Saída'!$B$57:$O$57,'Coordenadas dos Polos'!$CH$2:$CU$2)))^2)</f>
        <v>1.2443348483271921E-4</v>
      </c>
      <c r="H57">
        <f>EXP(((-1)/(2*'Cálculos Diversos'!$B$5))*(SQRT(SUMXMY2('Tabela Entrada-Saída'!$B$57:$O$57,'Coordenadas dos Polos'!$CV$2:$DI$2)))^2)</f>
        <v>5.7788925622830401E-6</v>
      </c>
      <c r="I57">
        <f>EXP(((-1)/(2*'Cálculos Diversos'!$B$5))*(SQRT(SUMXMY2('Tabela Entrada-Saída'!$B$57:$O$57,'Coordenadas dos Polos'!$DJ$2:$DW$2)))^2)</f>
        <v>2.7734919199383487E-4</v>
      </c>
      <c r="J57">
        <f>EXP(((-1)/(2*'Cálculos Diversos'!$B$5))*(SQRT(SUMXMY2('Tabela Entrada-Saída'!$B$57:$O$57,'Coordenadas dos Polos'!$DX$2:$EK$2)))^2)</f>
        <v>9.7461304028921688E-5</v>
      </c>
      <c r="K57">
        <f>EXP(((-1)/(2*'Cálculos Diversos'!$B$5))*(SQRT(SUMXMY2('Tabela Entrada-Saída'!$B$57:$O$57,'Coordenadas dos Polos'!$EL$2:$EY$2)))^2)</f>
        <v>4.2723262738828392E-6</v>
      </c>
      <c r="L57">
        <f>EXP(((-1)/(2*'Cálculos Diversos'!$B$5))*(SQRT(SUMXMY2('Tabela Entrada-Saída'!$B$57:$O$57,'Coordenadas dos Polos'!$EZ$2:$FM$2)))^2)</f>
        <v>5.2891816275347832E-7</v>
      </c>
      <c r="M57">
        <f>EXP(((-1)/(2*'Cálculos Diversos'!$B$5))*(SQRT(SUMXMY2('Tabela Entrada-Saída'!$B$57:$O$57,'Coordenadas dos Polos'!$FN$2:$GA$2)))^2)</f>
        <v>1.0750272593708758E-5</v>
      </c>
      <c r="N57">
        <f>EXP(((-1)/(2*'Cálculos Diversos'!$B$5))*(SQRT(SUMXMY2('Tabela Entrada-Saída'!$B$57:$O$57,'Coordenadas dos Polos'!$GB$2:$GO$2)))^2)</f>
        <v>2.6900566835385802E-5</v>
      </c>
      <c r="O57">
        <f>EXP(((-1)/(2*'Cálculos Diversos'!$B$5))*(SQRT(SUMXMY2('Tabela Entrada-Saída'!$B$57:$O$57,'Coordenadas dos Polos'!$GP$2:$HC$2)))^2)</f>
        <v>2.2672642675240686E-6</v>
      </c>
      <c r="P57">
        <v>1</v>
      </c>
    </row>
    <row r="58" spans="1:16" x14ac:dyDescent="0.25">
      <c r="A58">
        <v>57</v>
      </c>
      <c r="B58">
        <f>EXP(((-1)/(2*'Cálculos Diversos'!$B$5))*(SQRT(SUMXMY2('Tabela Entrada-Saída'!$B$58:$O$58,'Coordenadas dos Polos'!$P$2:$AC$2)))^2)</f>
        <v>8.5721458673222811E-2</v>
      </c>
      <c r="C58">
        <f>EXP(((-1)/(2*'Cálculos Diversos'!$B$5))*(SQRT(SUMXMY2('Tabela Entrada-Saída'!$B$58:$O$58,'Coordenadas dos Polos'!$AD$2:$AQ$2)))^2)</f>
        <v>7.3848383455571361E-5</v>
      </c>
      <c r="D58">
        <f>EXP(((-1)/(2*'Cálculos Diversos'!$B$5))*(SQRT(SUMXMY2('Tabela Entrada-Saída'!$B$58:$O$58,'Coordenadas dos Polos'!$AR$2:$BE$2)))^2)</f>
        <v>2.7298454045386655E-5</v>
      </c>
      <c r="E58">
        <f>EXP(((-1)/(2*'Cálculos Diversos'!$B$5))*(SQRT(SUMXMY2('Tabela Entrada-Saída'!$B$58:$O$58,'Coordenadas dos Polos'!$BF$2:$BS$2)))^2)</f>
        <v>9.4638754045771729E-5</v>
      </c>
      <c r="F58">
        <f>EXP(((-1)/(2*'Cálculos Diversos'!$B$5))*(SQRT(SUMXMY2('Tabela Entrada-Saída'!$B$58:$O$58,'Coordenadas dos Polos'!$BT$2:$CG$2)))^2)</f>
        <v>2.37109548832719E-6</v>
      </c>
      <c r="G58">
        <f>EXP(((-1)/(2*'Cálculos Diversos'!$B$5))*(SQRT(SUMXMY2('Tabela Entrada-Saída'!$B$58:$O$58,'Coordenadas dos Polos'!$CH$2:$CU$2)))^2)</f>
        <v>1.2623328867424928E-4</v>
      </c>
      <c r="H58">
        <f>EXP(((-1)/(2*'Cálculos Diversos'!$B$5))*(SQRT(SUMXMY2('Tabela Entrada-Saída'!$B$58:$O$58,'Coordenadas dos Polos'!$CV$2:$DI$2)))^2)</f>
        <v>5.9072894786512348E-6</v>
      </c>
      <c r="I58">
        <f>EXP(((-1)/(2*'Cálculos Diversos'!$B$5))*(SQRT(SUMXMY2('Tabela Entrada-Saída'!$B$58:$O$58,'Coordenadas dos Polos'!$DJ$2:$DW$2)))^2)</f>
        <v>2.7226926175630522E-4</v>
      </c>
      <c r="J58">
        <f>EXP(((-1)/(2*'Cálculos Diversos'!$B$5))*(SQRT(SUMXMY2('Tabela Entrada-Saída'!$B$58:$O$58,'Coordenadas dos Polos'!$DX$2:$EK$2)))^2)</f>
        <v>1.0024172101036891E-4</v>
      </c>
      <c r="K58">
        <f>EXP(((-1)/(2*'Cálculos Diversos'!$B$5))*(SQRT(SUMXMY2('Tabela Entrada-Saída'!$B$58:$O$58,'Coordenadas dos Polos'!$EL$2:$EY$2)))^2)</f>
        <v>4.2974659618134579E-6</v>
      </c>
      <c r="L58">
        <f>EXP(((-1)/(2*'Cálculos Diversos'!$B$5))*(SQRT(SUMXMY2('Tabela Entrada-Saída'!$B$58:$O$58,'Coordenadas dos Polos'!$EZ$2:$FM$2)))^2)</f>
        <v>5.8758777244225771E-7</v>
      </c>
      <c r="M58">
        <f>EXP(((-1)/(2*'Cálculos Diversos'!$B$5))*(SQRT(SUMXMY2('Tabela Entrada-Saída'!$B$58:$O$58,'Coordenadas dos Polos'!$FN$2:$GA$2)))^2)</f>
        <v>1.1849732461491639E-5</v>
      </c>
      <c r="N58">
        <f>EXP(((-1)/(2*'Cálculos Diversos'!$B$5))*(SQRT(SUMXMY2('Tabela Entrada-Saída'!$B$58:$O$58,'Coordenadas dos Polos'!$GB$2:$GO$2)))^2)</f>
        <v>2.9442470737521802E-5</v>
      </c>
      <c r="O58">
        <f>EXP(((-1)/(2*'Cálculos Diversos'!$B$5))*(SQRT(SUMXMY2('Tabela Entrada-Saída'!$B$58:$O$58,'Coordenadas dos Polos'!$GP$2:$HC$2)))^2)</f>
        <v>2.4518744755252934E-6</v>
      </c>
      <c r="P58">
        <v>1</v>
      </c>
    </row>
    <row r="59" spans="1:16" x14ac:dyDescent="0.25">
      <c r="A59">
        <v>58</v>
      </c>
      <c r="B59">
        <f>EXP(((-1)/(2*'Cálculos Diversos'!$B$5))*(SQRT(SUMXMY2('Tabela Entrada-Saída'!$B$59:$O$59,'Coordenadas dos Polos'!$P$2:$AC$2)))^2)</f>
        <v>0.1062222940588035</v>
      </c>
      <c r="C59">
        <f>EXP(((-1)/(2*'Cálculos Diversos'!$B$5))*(SQRT(SUMXMY2('Tabela Entrada-Saída'!$B$59:$O$59,'Coordenadas dos Polos'!$AD$2:$AQ$2)))^2)</f>
        <v>7.9254114252473798E-5</v>
      </c>
      <c r="D59">
        <f>EXP(((-1)/(2*'Cálculos Diversos'!$B$5))*(SQRT(SUMXMY2('Tabela Entrada-Saída'!$B$59:$O$59,'Coordenadas dos Polos'!$AR$2:$BE$2)))^2)</f>
        <v>2.7191592541908837E-5</v>
      </c>
      <c r="E59">
        <f>EXP(((-1)/(2*'Cálculos Diversos'!$B$5))*(SQRT(SUMXMY2('Tabela Entrada-Saída'!$B$59:$O$59,'Coordenadas dos Polos'!$BF$2:$BS$2)))^2)</f>
        <v>1.1048260107514674E-4</v>
      </c>
      <c r="F59">
        <f>EXP(((-1)/(2*'Cálculos Diversos'!$B$5))*(SQRT(SUMXMY2('Tabela Entrada-Saída'!$B$59:$O$59,'Coordenadas dos Polos'!$BT$2:$CG$2)))^2)</f>
        <v>2.8881032984725985E-6</v>
      </c>
      <c r="G59">
        <f>EXP(((-1)/(2*'Cálculos Diversos'!$B$5))*(SQRT(SUMXMY2('Tabela Entrada-Saída'!$B$59:$O$59,'Coordenadas dos Polos'!$CH$2:$CU$2)))^2)</f>
        <v>1.2807327872299022E-4</v>
      </c>
      <c r="H59">
        <f>EXP(((-1)/(2*'Cálculos Diversos'!$B$5))*(SQRT(SUMXMY2('Tabela Entrada-Saída'!$B$59:$O$59,'Coordenadas dos Polos'!$CV$2:$DI$2)))^2)</f>
        <v>6.0789960635550975E-6</v>
      </c>
      <c r="I59">
        <f>EXP(((-1)/(2*'Cálculos Diversos'!$B$5))*(SQRT(SUMXMY2('Tabela Entrada-Saída'!$B$59:$O$59,'Coordenadas dos Polos'!$DJ$2:$DW$2)))^2)</f>
        <v>2.6077701889763602E-4</v>
      </c>
      <c r="J59">
        <f>EXP(((-1)/(2*'Cálculos Diversos'!$B$5))*(SQRT(SUMXMY2('Tabela Entrada-Saída'!$B$59:$O$59,'Coordenadas dos Polos'!$DX$2:$EK$2)))^2)</f>
        <v>1.0420886157143207E-4</v>
      </c>
      <c r="K59">
        <f>EXP(((-1)/(2*'Cálculos Diversos'!$B$5))*(SQRT(SUMXMY2('Tabela Entrada-Saída'!$B$59:$O$59,'Coordenadas dos Polos'!$EL$2:$EY$2)))^2)</f>
        <v>4.2974684650845917E-6</v>
      </c>
      <c r="L59">
        <f>EXP(((-1)/(2*'Cálculos Diversos'!$B$5))*(SQRT(SUMXMY2('Tabela Entrada-Saída'!$B$59:$O$59,'Coordenadas dos Polos'!$EZ$2:$FM$2)))^2)</f>
        <v>6.9650805386955154E-7</v>
      </c>
      <c r="M59">
        <f>EXP(((-1)/(2*'Cálculos Diversos'!$B$5))*(SQRT(SUMXMY2('Tabela Entrada-Saída'!$B$59:$O$59,'Coordenadas dos Polos'!$FN$2:$GA$2)))^2)</f>
        <v>1.3856070894264132E-5</v>
      </c>
      <c r="N59">
        <f>EXP(((-1)/(2*'Cálculos Diversos'!$B$5))*(SQRT(SUMXMY2('Tabela Entrada-Saída'!$B$59:$O$59,'Coordenadas dos Polos'!$GB$2:$GO$2)))^2)</f>
        <v>3.4064925824579501E-5</v>
      </c>
      <c r="O59">
        <f>EXP(((-1)/(2*'Cálculos Diversos'!$B$5))*(SQRT(SUMXMY2('Tabela Entrada-Saída'!$B$59:$O$59,'Coordenadas dos Polos'!$GP$2:$HC$2)))^2)</f>
        <v>2.7743992902976243E-6</v>
      </c>
      <c r="P59">
        <v>1</v>
      </c>
    </row>
    <row r="60" spans="1:16" x14ac:dyDescent="0.25">
      <c r="A60">
        <v>59</v>
      </c>
      <c r="B60">
        <f>EXP(((-1)/(2*'Cálculos Diversos'!$B$5))*(SQRT(SUMXMY2('Tabela Entrada-Saída'!$B$60:$O$60,'Coordenadas dos Polos'!$P$2:$AC$2)))^2)</f>
        <v>9.7564473514838781E-2</v>
      </c>
      <c r="C60">
        <f>EXP(((-1)/(2*'Cálculos Diversos'!$B$5))*(SQRT(SUMXMY2('Tabela Entrada-Saída'!$B$60:$O$60,'Coordenadas dos Polos'!$AD$2:$AQ$2)))^2)</f>
        <v>7.7057826703839517E-5</v>
      </c>
      <c r="D60">
        <f>EXP(((-1)/(2*'Cálculos Diversos'!$B$5))*(SQRT(SUMXMY2('Tabela Entrada-Saída'!$B$60:$O$60,'Coordenadas dos Polos'!$AR$2:$BE$2)))^2)</f>
        <v>2.7248582687337631E-5</v>
      </c>
      <c r="E60">
        <f>EXP(((-1)/(2*'Cálculos Diversos'!$B$5))*(SQRT(SUMXMY2('Tabela Entrada-Saída'!$B$60:$O$60,'Coordenadas dos Polos'!$BF$2:$BS$2)))^2)</f>
        <v>1.0390048014047434E-4</v>
      </c>
      <c r="F60">
        <f>EXP(((-1)/(2*'Cálculos Diversos'!$B$5))*(SQRT(SUMXMY2('Tabela Entrada-Saída'!$B$60:$O$60,'Coordenadas dos Polos'!$BT$2:$CG$2)))^2)</f>
        <v>2.6694872712352995E-6</v>
      </c>
      <c r="G60">
        <f>EXP(((-1)/(2*'Cálculos Diversos'!$B$5))*(SQRT(SUMXMY2('Tabela Entrada-Saída'!$B$60:$O$60,'Coordenadas dos Polos'!$CH$2:$CU$2)))^2)</f>
        <v>1.2746939725102416E-4</v>
      </c>
      <c r="H60">
        <f>EXP(((-1)/(2*'Cálculos Diversos'!$B$5))*(SQRT(SUMXMY2('Tabela Entrada-Saída'!$B$60:$O$60,'Coordenadas dos Polos'!$CV$2:$DI$2)))^2)</f>
        <v>6.0068942149814533E-6</v>
      </c>
      <c r="I60">
        <f>EXP(((-1)/(2*'Cálculos Diversos'!$B$5))*(SQRT(SUMXMY2('Tabela Entrada-Saída'!$B$60:$O$60,'Coordenadas dos Polos'!$DJ$2:$DW$2)))^2)</f>
        <v>2.656515201258417E-4</v>
      </c>
      <c r="J60">
        <f>EXP(((-1)/(2*'Cálculos Diversos'!$B$5))*(SQRT(SUMXMY2('Tabela Entrada-Saída'!$B$60:$O$60,'Coordenadas dos Polos'!$DX$2:$EK$2)))^2)</f>
        <v>1.0264492404437369E-4</v>
      </c>
      <c r="K60">
        <f>EXP(((-1)/(2*'Cálculos Diversos'!$B$5))*(SQRT(SUMXMY2('Tabela Entrada-Saída'!$B$60:$O$60,'Coordenadas dos Polos'!$EL$2:$EY$2)))^2)</f>
        <v>4.2995560653712212E-6</v>
      </c>
      <c r="L60">
        <f>EXP(((-1)/(2*'Cálculos Diversos'!$B$5))*(SQRT(SUMXMY2('Tabela Entrada-Saída'!$B$60:$O$60,'Coordenadas dos Polos'!$EZ$2:$FM$2)))^2)</f>
        <v>6.5062935237229875E-7</v>
      </c>
      <c r="M60">
        <f>EXP(((-1)/(2*'Cálculos Diversos'!$B$5))*(SQRT(SUMXMY2('Tabela Entrada-Saída'!$B$60:$O$60,'Coordenadas dos Polos'!$FN$2:$GA$2)))^2)</f>
        <v>1.3017423259044389E-5</v>
      </c>
      <c r="N60">
        <f>EXP(((-1)/(2*'Cálculos Diversos'!$B$5))*(SQRT(SUMXMY2('Tabela Entrada-Saída'!$B$60:$O$60,'Coordenadas dos Polos'!$GB$2:$GO$2)))^2)</f>
        <v>3.2113312604505408E-5</v>
      </c>
      <c r="O60">
        <f>EXP(((-1)/(2*'Cálculos Diversos'!$B$5))*(SQRT(SUMXMY2('Tabela Entrada-Saída'!$B$60:$O$60,'Coordenadas dos Polos'!$GP$2:$HC$2)))^2)</f>
        <v>2.6427361945263572E-6</v>
      </c>
      <c r="P60">
        <v>1</v>
      </c>
    </row>
    <row r="61" spans="1:16" x14ac:dyDescent="0.25">
      <c r="A61">
        <v>60</v>
      </c>
      <c r="B61">
        <f>EXP(((-1)/(2*'Cálculos Diversos'!$B$5))*(SQRT(SUMXMY2('Tabela Entrada-Saída'!$B$61:$O$61,'Coordenadas dos Polos'!$P$2:$AC$2)))^2)</f>
        <v>0.10551768442660375</v>
      </c>
      <c r="C61">
        <f>EXP(((-1)/(2*'Cálculos Diversos'!$B$5))*(SQRT(SUMXMY2('Tabela Entrada-Saída'!$B$61:$O$61,'Coordenadas dos Polos'!$AD$2:$AQ$2)))^2)</f>
        <v>7.8927200136786902E-5</v>
      </c>
      <c r="D61">
        <f>EXP(((-1)/(2*'Cálculos Diversos'!$B$5))*(SQRT(SUMXMY2('Tabela Entrada-Saída'!$B$61:$O$61,'Coordenadas dos Polos'!$AR$2:$BE$2)))^2)</f>
        <v>2.7154235194402698E-5</v>
      </c>
      <c r="E61">
        <f>EXP(((-1)/(2*'Cálculos Diversos'!$B$5))*(SQRT(SUMXMY2('Tabela Entrada-Saída'!$B$61:$O$61,'Coordenadas dos Polos'!$BF$2:$BS$2)))^2)</f>
        <v>1.0988471738592765E-4</v>
      </c>
      <c r="F61">
        <f>EXP(((-1)/(2*'Cálculos Diversos'!$B$5))*(SQRT(SUMXMY2('Tabela Entrada-Saída'!$B$61:$O$61,'Coordenadas dos Polos'!$BT$2:$CG$2)))^2)</f>
        <v>2.8681124863731996E-6</v>
      </c>
      <c r="G61">
        <f>EXP(((-1)/(2*'Cálculos Diversos'!$B$5))*(SQRT(SUMXMY2('Tabela Entrada-Saída'!$B$61:$O$61,'Coordenadas dos Polos'!$CH$2:$CU$2)))^2)</f>
        <v>1.2793034065486971E-4</v>
      </c>
      <c r="H61">
        <f>EXP(((-1)/(2*'Cálculos Diversos'!$B$5))*(SQRT(SUMXMY2('Tabela Entrada-Saída'!$B$61:$O$61,'Coordenadas dos Polos'!$CV$2:$DI$2)))^2)</f>
        <v>6.0525078321499355E-6</v>
      </c>
      <c r="I61">
        <f>EXP(((-1)/(2*'Cálculos Diversos'!$B$5))*(SQRT(SUMXMY2('Tabela Entrada-Saída'!$B$61:$O$61,'Coordenadas dos Polos'!$DJ$2:$DW$2)))^2)</f>
        <v>2.610647162665988E-4</v>
      </c>
      <c r="J61">
        <f>EXP(((-1)/(2*'Cálculos Diversos'!$B$5))*(SQRT(SUMXMY2('Tabela Entrada-Saída'!$B$61:$O$61,'Coordenadas dos Polos'!$DX$2:$EK$2)))^2)</f>
        <v>1.038936384633523E-4</v>
      </c>
      <c r="K61">
        <f>EXP(((-1)/(2*'Cálculos Diversos'!$B$5))*(SQRT(SUMXMY2('Tabela Entrada-Saída'!$B$61:$O$61,'Coordenadas dos Polos'!$EL$2:$EY$2)))^2)</f>
        <v>4.289727157320092E-6</v>
      </c>
      <c r="L61">
        <f>EXP(((-1)/(2*'Cálculos Diversos'!$B$5))*(SQRT(SUMXMY2('Tabela Entrada-Saída'!$B$61:$O$61,'Coordenadas dos Polos'!$EZ$2:$FM$2)))^2)</f>
        <v>6.9175733200974999E-7</v>
      </c>
      <c r="M61">
        <f>EXP(((-1)/(2*'Cálculos Diversos'!$B$5))*(SQRT(SUMXMY2('Tabela Entrada-Saída'!$B$61:$O$61,'Coordenadas dos Polos'!$FN$2:$GA$2)))^2)</f>
        <v>1.3771759540683699E-5</v>
      </c>
      <c r="N61">
        <f>EXP(((-1)/(2*'Cálculos Diversos'!$B$5))*(SQRT(SUMXMY2('Tabela Entrada-Saída'!$B$61:$O$61,'Coordenadas dos Polos'!$GB$2:$GO$2)))^2)</f>
        <v>3.3804463912187796E-5</v>
      </c>
      <c r="O61">
        <f>EXP(((-1)/(2*'Cálculos Diversos'!$B$5))*(SQRT(SUMXMY2('Tabela Entrada-Saída'!$B$61:$O$61,'Coordenadas dos Polos'!$GP$2:$HC$2)))^2)</f>
        <v>2.7629131524680074E-6</v>
      </c>
      <c r="P61">
        <v>1</v>
      </c>
    </row>
    <row r="62" spans="1:16" x14ac:dyDescent="0.25">
      <c r="A62">
        <v>61</v>
      </c>
      <c r="B62">
        <f>EXP(((-1)/(2*'Cálculos Diversos'!$B$5))*(SQRT(SUMXMY2('Tabela Entrada-Saída'!$B$62:$O$62,'Coordenadas dos Polos'!$P$2:$AC$2)))^2)</f>
        <v>0.11865749336273003</v>
      </c>
      <c r="C62">
        <f>EXP(((-1)/(2*'Cálculos Diversos'!$B$5))*(SQRT(SUMXMY2('Tabela Entrada-Saída'!$B$62:$O$62,'Coordenadas dos Polos'!$AD$2:$AQ$2)))^2)</f>
        <v>8.1701331105743581E-5</v>
      </c>
      <c r="D62">
        <f>EXP(((-1)/(2*'Cálculos Diversos'!$B$5))*(SQRT(SUMXMY2('Tabela Entrada-Saída'!$B$62:$O$62,'Coordenadas dos Polos'!$AR$2:$BE$2)))^2)</f>
        <v>2.6929664850878845E-5</v>
      </c>
      <c r="E62">
        <f>EXP(((-1)/(2*'Cálculos Diversos'!$B$5))*(SQRT(SUMXMY2('Tabela Entrada-Saída'!$B$62:$O$62,'Coordenadas dos Polos'!$BF$2:$BS$2)))^2)</f>
        <v>1.1936629901485672E-4</v>
      </c>
      <c r="F62">
        <f>EXP(((-1)/(2*'Cálculos Diversos'!$B$5))*(SQRT(SUMXMY2('Tabela Entrada-Saída'!$B$62:$O$62,'Coordenadas dos Polos'!$BT$2:$CG$2)))^2)</f>
        <v>3.1916375979561964E-6</v>
      </c>
      <c r="G62">
        <f>EXP(((-1)/(2*'Cálculos Diversos'!$B$5))*(SQRT(SUMXMY2('Tabela Entrada-Saída'!$B$62:$O$62,'Coordenadas dos Polos'!$CH$2:$CU$2)))^2)</f>
        <v>1.2818791501780543E-4</v>
      </c>
      <c r="H62">
        <f>EXP(((-1)/(2*'Cálculos Diversos'!$B$5))*(SQRT(SUMXMY2('Tabela Entrada-Saída'!$B$62:$O$62,'Coordenadas dos Polos'!$CV$2:$DI$2)))^2)</f>
        <v>6.1177622365226125E-6</v>
      </c>
      <c r="I62">
        <f>EXP(((-1)/(2*'Cálculos Diversos'!$B$5))*(SQRT(SUMXMY2('Tabela Entrada-Saída'!$B$62:$O$62,'Coordenadas dos Polos'!$DJ$2:$DW$2)))^2)</f>
        <v>2.5308049109276962E-4</v>
      </c>
      <c r="J62">
        <f>EXP(((-1)/(2*'Cálculos Diversos'!$B$5))*(SQRT(SUMXMY2('Tabela Entrada-Saída'!$B$62:$O$62,'Coordenadas dos Polos'!$DX$2:$EK$2)))^2)</f>
        <v>1.0555768612859988E-4</v>
      </c>
      <c r="K62">
        <f>EXP(((-1)/(2*'Cálculos Diversos'!$B$5))*(SQRT(SUMXMY2('Tabela Entrada-Saída'!$B$62:$O$62,'Coordenadas dos Polos'!$EL$2:$EY$2)))^2)</f>
        <v>4.264629820607193E-6</v>
      </c>
      <c r="L62">
        <f>EXP(((-1)/(2*'Cálculos Diversos'!$B$5))*(SQRT(SUMXMY2('Tabela Entrada-Saída'!$B$62:$O$62,'Coordenadas dos Polos'!$EZ$2:$FM$2)))^2)</f>
        <v>7.5795442947399324E-7</v>
      </c>
      <c r="M62">
        <f>EXP(((-1)/(2*'Cálculos Diversos'!$B$5))*(SQRT(SUMXMY2('Tabela Entrada-Saída'!$B$62:$O$62,'Coordenadas dos Polos'!$FN$2:$GA$2)))^2)</f>
        <v>1.4974035818277842E-5</v>
      </c>
      <c r="N62">
        <f>EXP(((-1)/(2*'Cálculos Diversos'!$B$5))*(SQRT(SUMXMY2('Tabela Entrada-Saída'!$B$62:$O$62,'Coordenadas dos Polos'!$GB$2:$GO$2)))^2)</f>
        <v>3.6550024559009734E-5</v>
      </c>
      <c r="O62">
        <f>EXP(((-1)/(2*'Cálculos Diversos'!$B$5))*(SQRT(SUMXMY2('Tabela Entrada-Saída'!$B$62:$O$62,'Coordenadas dos Polos'!$GP$2:$HC$2)))^2)</f>
        <v>2.9477131476935253E-6</v>
      </c>
      <c r="P62">
        <v>1</v>
      </c>
    </row>
    <row r="63" spans="1:16" x14ac:dyDescent="0.25">
      <c r="A63">
        <v>62</v>
      </c>
      <c r="B63">
        <f>EXP(((-1)/(2*'Cálculos Diversos'!$B$5))*(SQRT(SUMXMY2('Tabela Entrada-Saída'!$B$63:$O$63,'Coordenadas dos Polos'!$P$2:$AC$2)))^2)</f>
        <v>0.10041688301626539</v>
      </c>
      <c r="C63">
        <f>EXP(((-1)/(2*'Cálculos Diversos'!$B$5))*(SQRT(SUMXMY2('Tabela Entrada-Saída'!$B$63:$O$63,'Coordenadas dos Polos'!$AD$2:$AQ$2)))^2)</f>
        <v>7.7788694427902112E-5</v>
      </c>
      <c r="D63">
        <f>EXP(((-1)/(2*'Cálculos Diversos'!$B$5))*(SQRT(SUMXMY2('Tabela Entrada-Saída'!$B$63:$O$63,'Coordenadas dos Polos'!$AR$2:$BE$2)))^2)</f>
        <v>2.7231423209814612E-5</v>
      </c>
      <c r="E63">
        <f>EXP(((-1)/(2*'Cálculos Diversos'!$B$5))*(SQRT(SUMXMY2('Tabela Entrada-Saída'!$B$63:$O$63,'Coordenadas dos Polos'!$BF$2:$BS$2)))^2)</f>
        <v>1.0609079120171451E-4</v>
      </c>
      <c r="F63">
        <f>EXP(((-1)/(2*'Cálculos Diversos'!$B$5))*(SQRT(SUMXMY2('Tabela Entrada-Saída'!$B$63:$O$63,'Coordenadas dos Polos'!$BT$2:$CG$2)))^2)</f>
        <v>2.7412792212772151E-6</v>
      </c>
      <c r="G63">
        <f>EXP(((-1)/(2*'Cálculos Diversos'!$B$5))*(SQRT(SUMXMY2('Tabela Entrada-Saída'!$B$63:$O$63,'Coordenadas dos Polos'!$CH$2:$CU$2)))^2)</f>
        <v>1.2769315392512637E-4</v>
      </c>
      <c r="H63">
        <f>EXP(((-1)/(2*'Cálculos Diversos'!$B$5))*(SQRT(SUMXMY2('Tabela Entrada-Saída'!$B$63:$O$63,'Coordenadas dos Polos'!$CV$2:$DI$2)))^2)</f>
        <v>6.0295612592093654E-6</v>
      </c>
      <c r="I63">
        <f>EXP(((-1)/(2*'Cálculos Diversos'!$B$5))*(SQRT(SUMXMY2('Tabela Entrada-Saída'!$B$63:$O$63,'Coordenadas dos Polos'!$DJ$2:$DW$2)))^2)</f>
        <v>2.6407713403890415E-4</v>
      </c>
      <c r="J63">
        <f>EXP(((-1)/(2*'Cálculos Diversos'!$B$5))*(SQRT(SUMXMY2('Tabela Entrada-Saída'!$B$63:$O$63,'Coordenadas dos Polos'!$DX$2:$EK$2)))^2)</f>
        <v>1.0315065712513417E-4</v>
      </c>
      <c r="K63">
        <f>EXP(((-1)/(2*'Cálculos Diversos'!$B$5))*(SQRT(SUMXMY2('Tabela Entrada-Saída'!$B$63:$O$63,'Coordenadas dos Polos'!$EL$2:$EY$2)))^2)</f>
        <v>4.2991550485066611E-6</v>
      </c>
      <c r="L63">
        <f>EXP(((-1)/(2*'Cálculos Diversos'!$B$5))*(SQRT(SUMXMY2('Tabela Entrada-Saída'!$B$63:$O$63,'Coordenadas dos Polos'!$EZ$2:$FM$2)))^2)</f>
        <v>6.6571294764106597E-7</v>
      </c>
      <c r="M63">
        <f>EXP(((-1)/(2*'Cálculos Diversos'!$B$5))*(SQRT(SUMXMY2('Tabela Entrada-Saída'!$B$63:$O$63,'Coordenadas dos Polos'!$FN$2:$GA$2)))^2)</f>
        <v>1.3294877841648155E-5</v>
      </c>
      <c r="N63">
        <f>EXP(((-1)/(2*'Cálculos Diversos'!$B$5))*(SQRT(SUMXMY2('Tabela Entrada-Saída'!$B$63:$O$63,'Coordenadas dos Polos'!$GB$2:$GO$2)))^2)</f>
        <v>3.2750108341846409E-5</v>
      </c>
      <c r="O63">
        <f>EXP(((-1)/(2*'Cálculos Diversos'!$B$5))*(SQRT(SUMXMY2('Tabela Entrada-Saída'!$B$63:$O$63,'Coordenadas dos Polos'!$GP$2:$HC$2)))^2)</f>
        <v>2.6869471218170541E-6</v>
      </c>
      <c r="P63">
        <v>1</v>
      </c>
    </row>
    <row r="64" spans="1:16" x14ac:dyDescent="0.25">
      <c r="A64">
        <v>63</v>
      </c>
      <c r="B64">
        <f>EXP(((-1)/(2*'Cálculos Diversos'!$B$5))*(SQRT(SUMXMY2('Tabela Entrada-Saída'!$B$64:$O$64,'Coordenadas dos Polos'!$P$2:$AC$2)))^2)</f>
        <v>0.1058171777997767</v>
      </c>
      <c r="C64">
        <f>EXP(((-1)/(2*'Cálculos Diversos'!$B$5))*(SQRT(SUMXMY2('Tabela Entrada-Saída'!$B$64:$O$64,'Coordenadas dos Polos'!$AD$2:$AQ$2)))^2)</f>
        <v>7.9116505360818655E-5</v>
      </c>
      <c r="D64">
        <f>EXP(((-1)/(2*'Cálculos Diversos'!$B$5))*(SQRT(SUMXMY2('Tabela Entrada-Saída'!$B$64:$O$64,'Coordenadas dos Polos'!$AR$2:$BE$2)))^2)</f>
        <v>2.7186328777771362E-5</v>
      </c>
      <c r="E64">
        <f>EXP(((-1)/(2*'Cálculos Diversos'!$B$5))*(SQRT(SUMXMY2('Tabela Entrada-Saída'!$B$64:$O$64,'Coordenadas dos Polos'!$BF$2:$BS$2)))^2)</f>
        <v>1.1016951410569825E-4</v>
      </c>
      <c r="F64">
        <f>EXP(((-1)/(2*'Cálculos Diversos'!$B$5))*(SQRT(SUMXMY2('Tabela Entrada-Saída'!$B$64:$O$64,'Coordenadas dos Polos'!$BT$2:$CG$2)))^2)</f>
        <v>2.8772278137321E-6</v>
      </c>
      <c r="G64">
        <f>EXP(((-1)/(2*'Cálculos Diversos'!$B$5))*(SQRT(SUMXMY2('Tabela Entrada-Saída'!$B$64:$O$64,'Coordenadas dos Polos'!$CH$2:$CU$2)))^2)</f>
        <v>1.2802329478502756E-4</v>
      </c>
      <c r="H64">
        <f>EXP(((-1)/(2*'Cálculos Diversos'!$B$5))*(SQRT(SUMXMY2('Tabela Entrada-Saída'!$B$64:$O$64,'Coordenadas dos Polos'!$CV$2:$DI$2)))^2)</f>
        <v>6.0700629297700887E-6</v>
      </c>
      <c r="I64">
        <f>EXP(((-1)/(2*'Cálculos Diversos'!$B$5))*(SQRT(SUMXMY2('Tabela Entrada-Saída'!$B$64:$O$64,'Coordenadas dos Polos'!$DJ$2:$DW$2)))^2)</f>
        <v>2.6102333224241455E-4</v>
      </c>
      <c r="J64">
        <f>EXP(((-1)/(2*'Cálculos Diversos'!$B$5))*(SQRT(SUMXMY2('Tabela Entrada-Saída'!$B$64:$O$64,'Coordenadas dos Polos'!$DX$2:$EK$2)))^2)</f>
        <v>1.0407158960370784E-4</v>
      </c>
      <c r="K64">
        <f>EXP(((-1)/(2*'Cálculos Diversos'!$B$5))*(SQRT(SUMXMY2('Tabela Entrada-Saída'!$B$64:$O$64,'Coordenadas dos Polos'!$EL$2:$EY$2)))^2)</f>
        <v>4.295887774602335E-6</v>
      </c>
      <c r="L64">
        <f>EXP(((-1)/(2*'Cálculos Diversos'!$B$5))*(SQRT(SUMXMY2('Tabela Entrada-Saída'!$B$64:$O$64,'Coordenadas dos Polos'!$EZ$2:$FM$2)))^2)</f>
        <v>6.9409715392684441E-7</v>
      </c>
      <c r="M64">
        <f>EXP(((-1)/(2*'Cálculos Diversos'!$B$5))*(SQRT(SUMXMY2('Tabela Entrada-Saída'!$B$64:$O$64,'Coordenadas dos Polos'!$FN$2:$GA$2)))^2)</f>
        <v>1.3813786415705847E-5</v>
      </c>
      <c r="N64">
        <f>EXP(((-1)/(2*'Cálculos Diversos'!$B$5))*(SQRT(SUMXMY2('Tabela Entrada-Saída'!$B$64:$O$64,'Coordenadas dos Polos'!$GB$2:$GO$2)))^2)</f>
        <v>3.3944271364912053E-5</v>
      </c>
      <c r="O64">
        <f>EXP(((-1)/(2*'Cálculos Diversos'!$B$5))*(SQRT(SUMXMY2('Tabela Entrada-Saída'!$B$64:$O$64,'Coordenadas dos Polos'!$GP$2:$HC$2)))^2)</f>
        <v>2.7682218409303895E-6</v>
      </c>
      <c r="P64">
        <v>1</v>
      </c>
    </row>
    <row r="65" spans="1:16" x14ac:dyDescent="0.25">
      <c r="A65">
        <v>64</v>
      </c>
      <c r="B65">
        <f>EXP(((-1)/(2*'Cálculos Diversos'!$B$5))*(SQRT(SUMXMY2('Tabela Entrada-Saída'!$B$65:$O$65,'Coordenadas dos Polos'!$P$2:$AC$2)))^2)</f>
        <v>7.976838947105748E-2</v>
      </c>
      <c r="C65">
        <f>EXP(((-1)/(2*'Cálculos Diversos'!$B$5))*(SQRT(SUMXMY2('Tabela Entrada-Saída'!$B$65:$O$65,'Coordenadas dos Polos'!$AD$2:$AQ$2)))^2)</f>
        <v>7.199964184523E-5</v>
      </c>
      <c r="D65">
        <f>EXP(((-1)/(2*'Cálculos Diversos'!$B$5))*(SQRT(SUMXMY2('Tabela Entrada-Saída'!$B$65:$O$65,'Coordenadas dos Polos'!$AR$2:$BE$2)))^2)</f>
        <v>2.7252098952194108E-5</v>
      </c>
      <c r="E65">
        <f>EXP(((-1)/(2*'Cálculos Diversos'!$B$5))*(SQRT(SUMXMY2('Tabela Entrada-Saída'!$B$65:$O$65,'Coordenadas dos Polos'!$BF$2:$BS$2)))^2)</f>
        <v>8.9771250636579394E-5</v>
      </c>
      <c r="F65">
        <f>EXP(((-1)/(2*'Cálculos Diversos'!$B$5))*(SQRT(SUMXMY2('Tabela Entrada-Saída'!$B$65:$O$65,'Coordenadas dos Polos'!$BT$2:$CG$2)))^2)</f>
        <v>2.218525089466037E-6</v>
      </c>
      <c r="G65">
        <f>EXP(((-1)/(2*'Cálculos Diversos'!$B$5))*(SQRT(SUMXMY2('Tabela Entrada-Saída'!$B$65:$O$65,'Coordenadas dos Polos'!$CH$2:$CU$2)))^2)</f>
        <v>1.253057804593131E-4</v>
      </c>
      <c r="H65">
        <f>EXP(((-1)/(2*'Cálculos Diversos'!$B$5))*(SQRT(SUMXMY2('Tabela Entrada-Saída'!$B$65:$O$65,'Coordenadas dos Polos'!$CV$2:$DI$2)))^2)</f>
        <v>5.8393995103238661E-6</v>
      </c>
      <c r="I65">
        <f>EXP(((-1)/(2*'Cálculos Diversos'!$B$5))*(SQRT(SUMXMY2('Tabela Entrada-Saída'!$B$65:$O$65,'Coordenadas dos Polos'!$DJ$2:$DW$2)))^2)</f>
        <v>2.7518748277901537E-4</v>
      </c>
      <c r="J65">
        <f>EXP(((-1)/(2*'Cálculos Diversos'!$B$5))*(SQRT(SUMXMY2('Tabela Entrada-Saída'!$B$65:$O$65,'Coordenadas dos Polos'!$DX$2:$EK$2)))^2)</f>
        <v>9.8749888826690877E-5</v>
      </c>
      <c r="K65">
        <f>EXP(((-1)/(2*'Cálculos Diversos'!$B$5))*(SQRT(SUMXMY2('Tabela Entrada-Saída'!$B$65:$O$65,'Coordenadas dos Polos'!$EL$2:$EY$2)))^2)</f>
        <v>4.2860753759369011E-6</v>
      </c>
      <c r="L65">
        <f>EXP(((-1)/(2*'Cálculos Diversos'!$B$5))*(SQRT(SUMXMY2('Tabela Entrada-Saída'!$B$65:$O$65,'Coordenadas dos Polos'!$EZ$2:$FM$2)))^2)</f>
        <v>5.5466428956914951E-7</v>
      </c>
      <c r="M65">
        <f>EXP(((-1)/(2*'Cálculos Diversos'!$B$5))*(SQRT(SUMXMY2('Tabela Entrada-Saída'!$B$65:$O$65,'Coordenadas dos Polos'!$FN$2:$GA$2)))^2)</f>
        <v>1.1235314475645414E-5</v>
      </c>
      <c r="N65">
        <f>EXP(((-1)/(2*'Cálculos Diversos'!$B$5))*(SQRT(SUMXMY2('Tabela Entrada-Saída'!$B$65:$O$65,'Coordenadas dos Polos'!$GB$2:$GO$2)))^2)</f>
        <v>2.8026071752016247E-5</v>
      </c>
      <c r="O65">
        <f>EXP(((-1)/(2*'Cálculos Diversos'!$B$5))*(SQRT(SUMXMY2('Tabela Entrada-Saída'!$B$65:$O$65,'Coordenadas dos Polos'!$GP$2:$HC$2)))^2)</f>
        <v>2.3493576543406803E-6</v>
      </c>
      <c r="P65">
        <v>1</v>
      </c>
    </row>
    <row r="66" spans="1:16" x14ac:dyDescent="0.25">
      <c r="A66">
        <v>65</v>
      </c>
      <c r="B66">
        <f>EXP(((-1)/(2*'Cálculos Diversos'!$B$5))*(SQRT(SUMXMY2('Tabela Entrada-Saída'!$B$66:$O$66,'Coordenadas dos Polos'!$P$2:$AC$2)))^2)</f>
        <v>9.9731630553618111E-2</v>
      </c>
      <c r="C66">
        <f>EXP(((-1)/(2*'Cálculos Diversos'!$B$5))*(SQRT(SUMXMY2('Tabela Entrada-Saída'!$B$66:$O$66,'Coordenadas dos Polos'!$AD$2:$AQ$2)))^2)</f>
        <v>7.7590384822001095E-5</v>
      </c>
      <c r="D66">
        <f>EXP(((-1)/(2*'Cálculos Diversos'!$B$5))*(SQRT(SUMXMY2('Tabela Entrada-Saída'!$B$66:$O$66,'Coordenadas dos Polos'!$AR$2:$BE$2)))^2)</f>
        <v>2.7228144267300028E-5</v>
      </c>
      <c r="E66">
        <f>EXP(((-1)/(2*'Cálculos Diversos'!$B$5))*(SQRT(SUMXMY2('Tabela Entrada-Saída'!$B$66:$O$66,'Coordenadas dos Polos'!$BF$2:$BS$2)))^2)</f>
        <v>1.0556195779477095E-4</v>
      </c>
      <c r="F66">
        <f>EXP(((-1)/(2*'Cálculos Diversos'!$B$5))*(SQRT(SUMXMY2('Tabela Entrada-Saída'!$B$66:$O$66,'Coordenadas dos Polos'!$BT$2:$CG$2)))^2)</f>
        <v>2.724051399278528E-6</v>
      </c>
      <c r="G66">
        <f>EXP(((-1)/(2*'Cálculos Diversos'!$B$5))*(SQRT(SUMXMY2('Tabela Entrada-Saída'!$B$66:$O$66,'Coordenadas dos Polos'!$CH$2:$CU$2)))^2)</f>
        <v>1.2764032961725593E-4</v>
      </c>
      <c r="H66">
        <f>EXP(((-1)/(2*'Cálculos Diversos'!$B$5))*(SQRT(SUMXMY2('Tabela Entrada-Saída'!$B$66:$O$66,'Coordenadas dos Polos'!$CV$2:$DI$2)))^2)</f>
        <v>6.0202835065950303E-6</v>
      </c>
      <c r="I66">
        <f>EXP(((-1)/(2*'Cálculos Diversos'!$B$5))*(SQRT(SUMXMY2('Tabela Entrada-Saída'!$B$66:$O$66,'Coordenadas dos Polos'!$DJ$2:$DW$2)))^2)</f>
        <v>2.6444858302291746E-4</v>
      </c>
      <c r="J66">
        <f>EXP(((-1)/(2*'Cálculos Diversos'!$B$5))*(SQRT(SUMXMY2('Tabela Entrada-Saída'!$B$66:$O$66,'Coordenadas dos Polos'!$DX$2:$EK$2)))^2)</f>
        <v>1.0300870465175135E-4</v>
      </c>
      <c r="K66">
        <f>EXP(((-1)/(2*'Cálculos Diversos'!$B$5))*(SQRT(SUMXMY2('Tabela Entrada-Saída'!$B$66:$O$66,'Coordenadas dos Polos'!$EL$2:$EY$2)))^2)</f>
        <v>4.2978161063087557E-6</v>
      </c>
      <c r="L66">
        <f>EXP(((-1)/(2*'Cálculos Diversos'!$B$5))*(SQRT(SUMXMY2('Tabela Entrada-Saída'!$B$66:$O$66,'Coordenadas dos Polos'!$EZ$2:$FM$2)))^2)</f>
        <v>6.6198956186637337E-7</v>
      </c>
      <c r="M66">
        <f>EXP(((-1)/(2*'Cálculos Diversos'!$B$5))*(SQRT(SUMXMY2('Tabela Entrada-Saída'!$B$66:$O$66,'Coordenadas dos Polos'!$FN$2:$GA$2)))^2)</f>
        <v>1.322631210465756E-5</v>
      </c>
      <c r="N66">
        <f>EXP(((-1)/(2*'Cálculos Diversos'!$B$5))*(SQRT(SUMXMY2('Tabela Entrada-Saída'!$B$66:$O$66,'Coordenadas dos Polos'!$GB$2:$GO$2)))^2)</f>
        <v>3.2579743674095193E-5</v>
      </c>
      <c r="O66">
        <f>EXP(((-1)/(2*'Cálculos Diversos'!$B$5))*(SQRT(SUMXMY2('Tabela Entrada-Saída'!$B$66:$O$66,'Coordenadas dos Polos'!$GP$2:$HC$2)))^2)</f>
        <v>2.6765325662500427E-6</v>
      </c>
      <c r="P66">
        <v>1</v>
      </c>
    </row>
    <row r="67" spans="1:16" x14ac:dyDescent="0.25">
      <c r="A67">
        <v>66</v>
      </c>
      <c r="B67">
        <f>EXP(((-1)/(2*'Cálculos Diversos'!$B$5))*(SQRT(SUMXMY2('Tabela Entrada-Saída'!$B$67:$O$67,'Coordenadas dos Polos'!$P$2:$AC$2)))^2)</f>
        <v>7.5739956806965325E-2</v>
      </c>
      <c r="C67">
        <f>EXP(((-1)/(2*'Cálculos Diversos'!$B$5))*(SQRT(SUMXMY2('Tabela Entrada-Saída'!$B$67:$O$67,'Coordenadas dos Polos'!$AD$2:$AQ$2)))^2)</f>
        <v>7.0603491906254284E-5</v>
      </c>
      <c r="D67">
        <f>EXP(((-1)/(2*'Cálculos Diversos'!$B$5))*(SQRT(SUMXMY2('Tabela Entrada-Saída'!$B$67:$O$67,'Coordenadas dos Polos'!$AR$2:$BE$2)))^2)</f>
        <v>2.7183686524492623E-5</v>
      </c>
      <c r="E67">
        <f>EXP(((-1)/(2*'Cálculos Diversos'!$B$5))*(SQRT(SUMXMY2('Tabela Entrada-Saída'!$B$67:$O$67,'Coordenadas dos Polos'!$BF$2:$BS$2)))^2)</f>
        <v>8.6411246751249855E-5</v>
      </c>
      <c r="F67">
        <f>EXP(((-1)/(2*'Cálculos Diversos'!$B$5))*(SQRT(SUMXMY2('Tabela Entrada-Saída'!$B$67:$O$67,'Coordenadas dos Polos'!$BT$2:$CG$2)))^2)</f>
        <v>2.1151181456995784E-6</v>
      </c>
      <c r="G67">
        <f>EXP(((-1)/(2*'Cálculos Diversos'!$B$5))*(SQRT(SUMXMY2('Tabela Entrada-Saída'!$B$67:$O$67,'Coordenadas dos Polos'!$CH$2:$CU$2)))^2)</f>
        <v>1.2454477509882684E-4</v>
      </c>
      <c r="H67">
        <f>EXP(((-1)/(2*'Cálculos Diversos'!$B$5))*(SQRT(SUMXMY2('Tabela Entrada-Saída'!$B$67:$O$67,'Coordenadas dos Polos'!$CV$2:$DI$2)))^2)</f>
        <v>5.7763822497230821E-6</v>
      </c>
      <c r="I67">
        <f>EXP(((-1)/(2*'Cálculos Diversos'!$B$5))*(SQRT(SUMXMY2('Tabela Entrada-Saída'!$B$67:$O$67,'Coordenadas dos Polos'!$DJ$2:$DW$2)))^2)</f>
        <v>2.7714808136227744E-4</v>
      </c>
      <c r="J67">
        <f>EXP(((-1)/(2*'Cálculos Diversos'!$B$5))*(SQRT(SUMXMY2('Tabela Entrada-Saída'!$B$67:$O$67,'Coordenadas dos Polos'!$DX$2:$EK$2)))^2)</f>
        <v>9.7552473602658207E-5</v>
      </c>
      <c r="K67">
        <f>EXP(((-1)/(2*'Cálculos Diversos'!$B$5))*(SQRT(SUMXMY2('Tabela Entrada-Saída'!$B$67:$O$67,'Coordenadas dos Polos'!$EL$2:$EY$2)))^2)</f>
        <v>4.2707561169329936E-6</v>
      </c>
      <c r="L67">
        <f>EXP(((-1)/(2*'Cálculos Diversos'!$B$5))*(SQRT(SUMXMY2('Tabela Entrada-Saída'!$B$67:$O$67,'Coordenadas dos Polos'!$EZ$2:$FM$2)))^2)</f>
        <v>5.3189216927420946E-7</v>
      </c>
      <c r="M67">
        <f>EXP(((-1)/(2*'Cálculos Diversos'!$B$5))*(SQRT(SUMXMY2('Tabela Entrada-Saída'!$B$67:$O$67,'Coordenadas dos Polos'!$FN$2:$GA$2)))^2)</f>
        <v>1.080824161049799E-5</v>
      </c>
      <c r="N67">
        <f>EXP(((-1)/(2*'Cálculos Diversos'!$B$5))*(SQRT(SUMXMY2('Tabela Entrada-Saída'!$B$67:$O$67,'Coordenadas dos Polos'!$GB$2:$GO$2)))^2)</f>
        <v>2.6996895656565207E-5</v>
      </c>
      <c r="O67">
        <f>EXP(((-1)/(2*'Cálculos Diversos'!$B$5))*(SQRT(SUMXMY2('Tabela Entrada-Saída'!$B$67:$O$67,'Coordenadas dos Polos'!$GP$2:$HC$2)))^2)</f>
        <v>2.2779807479439536E-6</v>
      </c>
      <c r="P67">
        <v>1</v>
      </c>
    </row>
    <row r="68" spans="1:16" x14ac:dyDescent="0.25">
      <c r="A68">
        <v>67</v>
      </c>
      <c r="B68">
        <f>EXP(((-1)/(2*'Cálculos Diversos'!$B$5))*(SQRT(SUMXMY2('Tabela Entrada-Saída'!$B$68:$O$68,'Coordenadas dos Polos'!$P$2:$AC$2)))^2)</f>
        <v>8.9651349472981368E-2</v>
      </c>
      <c r="C68">
        <f>EXP(((-1)/(2*'Cálculos Diversos'!$B$5))*(SQRT(SUMXMY2('Tabela Entrada-Saída'!$B$68:$O$68,'Coordenadas dos Polos'!$AD$2:$AQ$2)))^2)</f>
        <v>7.5023189559044476E-5</v>
      </c>
      <c r="D68">
        <f>EXP(((-1)/(2*'Cálculos Diversos'!$B$5))*(SQRT(SUMXMY2('Tabela Entrada-Saída'!$B$68:$O$68,'Coordenadas dos Polos'!$AR$2:$BE$2)))^2)</f>
        <v>2.7310363971922217E-5</v>
      </c>
      <c r="E68">
        <f>EXP(((-1)/(2*'Cálculos Diversos'!$B$5))*(SQRT(SUMXMY2('Tabela Entrada-Saída'!$B$68:$O$68,'Coordenadas dos Polos'!$BF$2:$BS$2)))^2)</f>
        <v>9.779401665714404E-5</v>
      </c>
      <c r="F68">
        <f>EXP(((-1)/(2*'Cálculos Diversos'!$B$5))*(SQRT(SUMXMY2('Tabela Entrada-Saída'!$B$68:$O$68,'Coordenadas dos Polos'!$BT$2:$CG$2)))^2)</f>
        <v>2.4717051087513541E-6</v>
      </c>
      <c r="G68">
        <f>EXP(((-1)/(2*'Cálculos Diversos'!$B$5))*(SQRT(SUMXMY2('Tabela Entrada-Saída'!$B$68:$O$68,'Coordenadas dos Polos'!$CH$2:$CU$2)))^2)</f>
        <v>1.2677866932657775E-4</v>
      </c>
      <c r="H68">
        <f>EXP(((-1)/(2*'Cálculos Diversos'!$B$5))*(SQRT(SUMXMY2('Tabela Entrada-Saída'!$B$68:$O$68,'Coordenadas dos Polos'!$CV$2:$DI$2)))^2)</f>
        <v>5.9506744779444766E-6</v>
      </c>
      <c r="I68">
        <f>EXP(((-1)/(2*'Cálculos Diversos'!$B$5))*(SQRT(SUMXMY2('Tabela Entrada-Saída'!$B$68:$O$68,'Coordenadas dos Polos'!$DJ$2:$DW$2)))^2)</f>
        <v>2.7019164565376833E-4</v>
      </c>
      <c r="J68">
        <f>EXP(((-1)/(2*'Cálculos Diversos'!$B$5))*(SQRT(SUMXMY2('Tabela Entrada-Saída'!$B$68:$O$68,'Coordenadas dos Polos'!$DX$2:$EK$2)))^2)</f>
        <v>1.0119275465867556E-4</v>
      </c>
      <c r="K68">
        <f>EXP(((-1)/(2*'Cálculos Diversos'!$B$5))*(SQRT(SUMXMY2('Tabela Entrada-Saída'!$B$68:$O$68,'Coordenadas dos Polos'!$EL$2:$EY$2)))^2)</f>
        <v>4.3030614960941753E-6</v>
      </c>
      <c r="L68">
        <f>EXP(((-1)/(2*'Cálculos Diversos'!$B$5))*(SQRT(SUMXMY2('Tabela Entrada-Saída'!$B$68:$O$68,'Coordenadas dos Polos'!$EZ$2:$FM$2)))^2)</f>
        <v>6.0915695279239015E-7</v>
      </c>
      <c r="M68">
        <f>EXP(((-1)/(2*'Cálculos Diversos'!$B$5))*(SQRT(SUMXMY2('Tabela Entrada-Saída'!$B$68:$O$68,'Coordenadas dos Polos'!$FN$2:$GA$2)))^2)</f>
        <v>1.2249583433460682E-5</v>
      </c>
      <c r="N68">
        <f>EXP(((-1)/(2*'Cálculos Diversos'!$B$5))*(SQRT(SUMXMY2('Tabela Entrada-Saída'!$B$68:$O$68,'Coordenadas dos Polos'!$GB$2:$GO$2)))^2)</f>
        <v>3.0375648471432676E-5</v>
      </c>
      <c r="O68">
        <f>EXP(((-1)/(2*'Cálculos Diversos'!$B$5))*(SQRT(SUMXMY2('Tabela Entrada-Saída'!$B$68:$O$68,'Coordenadas dos Polos'!$GP$2:$HC$2)))^2)</f>
        <v>2.5176437685606788E-6</v>
      </c>
      <c r="P68">
        <v>1</v>
      </c>
    </row>
    <row r="69" spans="1:16" x14ac:dyDescent="0.25">
      <c r="A69">
        <v>68</v>
      </c>
      <c r="B69">
        <f>EXP(((-1)/(2*'Cálculos Diversos'!$B$5))*(SQRT(SUMXMY2('Tabela Entrada-Saída'!$B$69:$O$69,'Coordenadas dos Polos'!$P$2:$AC$2)))^2)</f>
        <v>8.5302399418145769E-2</v>
      </c>
      <c r="C69">
        <f>EXP(((-1)/(2*'Cálculos Diversos'!$B$5))*(SQRT(SUMXMY2('Tabela Entrada-Saída'!$B$69:$O$69,'Coordenadas dos Polos'!$AD$2:$AQ$2)))^2)</f>
        <v>7.3738991108050452E-5</v>
      </c>
      <c r="D69">
        <f>EXP(((-1)/(2*'Cálculos Diversos'!$B$5))*(SQRT(SUMXMY2('Tabela Entrada-Saída'!$B$69:$O$69,'Coordenadas dos Polos'!$AR$2:$BE$2)))^2)</f>
        <v>2.7294415130008131E-5</v>
      </c>
      <c r="E69">
        <f>EXP(((-1)/(2*'Cálculos Diversos'!$B$5))*(SQRT(SUMXMY2('Tabela Entrada-Saída'!$B$69:$O$69,'Coordenadas dos Polos'!$BF$2:$BS$2)))^2)</f>
        <v>9.428842214680459E-5</v>
      </c>
      <c r="F69">
        <f>EXP(((-1)/(2*'Cálculos Diversos'!$B$5))*(SQRT(SUMXMY2('Tabela Entrada-Saída'!$B$69:$O$69,'Coordenadas dos Polos'!$BT$2:$CG$2)))^2)</f>
        <v>2.3598936861961286E-6</v>
      </c>
      <c r="G69">
        <f>EXP(((-1)/(2*'Cálculos Diversos'!$B$5))*(SQRT(SUMXMY2('Tabela Entrada-Saída'!$B$69:$O$69,'Coordenadas dos Polos'!$CH$2:$CU$2)))^2)</f>
        <v>1.2617971744072581E-4</v>
      </c>
      <c r="H69">
        <f>EXP(((-1)/(2*'Cálculos Diversos'!$B$5))*(SQRT(SUMXMY2('Tabela Entrada-Saída'!$B$69:$O$69,'Coordenadas dos Polos'!$CV$2:$DI$2)))^2)</f>
        <v>5.9059636929436818E-6</v>
      </c>
      <c r="I69">
        <f>EXP(((-1)/(2*'Cálculos Diversos'!$B$5))*(SQRT(SUMXMY2('Tabela Entrada-Saída'!$B$69:$O$69,'Coordenadas dos Polos'!$DJ$2:$DW$2)))^2)</f>
        <v>2.7238816691993326E-4</v>
      </c>
      <c r="J69">
        <f>EXP(((-1)/(2*'Cálculos Diversos'!$B$5))*(SQRT(SUMXMY2('Tabela Entrada-Saída'!$B$69:$O$69,'Coordenadas dos Polos'!$DX$2:$EK$2)))^2)</f>
        <v>1.0016198728659585E-4</v>
      </c>
      <c r="K69">
        <f>EXP(((-1)/(2*'Cálculos Diversos'!$B$5))*(SQRT(SUMXMY2('Tabela Entrada-Saída'!$B$69:$O$69,'Coordenadas dos Polos'!$EL$2:$EY$2)))^2)</f>
        <v>4.2977446751651044E-6</v>
      </c>
      <c r="L69">
        <f>EXP(((-1)/(2*'Cálculos Diversos'!$B$5))*(SQRT(SUMXMY2('Tabela Entrada-Saída'!$B$69:$O$69,'Coordenadas dos Polos'!$EZ$2:$FM$2)))^2)</f>
        <v>5.8521819624880107E-7</v>
      </c>
      <c r="M69">
        <f>EXP(((-1)/(2*'Cálculos Diversos'!$B$5))*(SQRT(SUMXMY2('Tabela Entrada-Saída'!$B$69:$O$69,'Coordenadas dos Polos'!$FN$2:$GA$2)))^2)</f>
        <v>1.1806543434740227E-5</v>
      </c>
      <c r="N69">
        <f>EXP(((-1)/(2*'Cálculos Diversos'!$B$5))*(SQRT(SUMXMY2('Tabela Entrada-Saída'!$B$69:$O$69,'Coordenadas dos Polos'!$GB$2:$GO$2)))^2)</f>
        <v>2.9358855117912056E-5</v>
      </c>
      <c r="O69">
        <f>EXP(((-1)/(2*'Cálculos Diversos'!$B$5))*(SQRT(SUMXMY2('Tabela Entrada-Saída'!$B$69:$O$69,'Coordenadas dos Polos'!$GP$2:$HC$2)))^2)</f>
        <v>2.4444626470132901E-6</v>
      </c>
      <c r="P69">
        <v>1</v>
      </c>
    </row>
    <row r="70" spans="1:16" x14ac:dyDescent="0.25">
      <c r="A70">
        <v>69</v>
      </c>
      <c r="B70">
        <f>EXP(((-1)/(2*'Cálculos Diversos'!$B$5))*(SQRT(SUMXMY2('Tabela Entrada-Saída'!$B$70:$O$70,'Coordenadas dos Polos'!$P$2:$AC$2)))^2)</f>
        <v>7.8777860824002857E-2</v>
      </c>
      <c r="C70">
        <f>EXP(((-1)/(2*'Cálculos Diversos'!$B$5))*(SQRT(SUMXMY2('Tabela Entrada-Saída'!$B$70:$O$70,'Coordenadas dos Polos'!$AD$2:$AQ$2)))^2)</f>
        <v>7.170228334911995E-5</v>
      </c>
      <c r="D70">
        <f>EXP(((-1)/(2*'Cálculos Diversos'!$B$5))*(SQRT(SUMXMY2('Tabela Entrada-Saída'!$B$70:$O$70,'Coordenadas dos Polos'!$AR$2:$BE$2)))^2)</f>
        <v>2.7252019424343142E-5</v>
      </c>
      <c r="E70">
        <f>EXP(((-1)/(2*'Cálculos Diversos'!$B$5))*(SQRT(SUMXMY2('Tabela Entrada-Saída'!$B$70:$O$70,'Coordenadas dos Polos'!$BF$2:$BS$2)))^2)</f>
        <v>8.8976372111154861E-5</v>
      </c>
      <c r="F70">
        <f>EXP(((-1)/(2*'Cálculos Diversos'!$B$5))*(SQRT(SUMXMY2('Tabela Entrada-Saída'!$B$70:$O$70,'Coordenadas dos Polos'!$BT$2:$CG$2)))^2)</f>
        <v>2.1943661284862592E-6</v>
      </c>
      <c r="G70">
        <f>EXP(((-1)/(2*'Cálculos Diversos'!$B$5))*(SQRT(SUMXMY2('Tabela Entrada-Saída'!$B$70:$O$70,'Coordenadas dos Polos'!$CH$2:$CU$2)))^2)</f>
        <v>1.2517200669961173E-4</v>
      </c>
      <c r="H70">
        <f>EXP(((-1)/(2*'Cálculos Diversos'!$B$5))*(SQRT(SUMXMY2('Tabela Entrada-Saída'!$B$70:$O$70,'Coordenadas dos Polos'!$CV$2:$DI$2)))^2)</f>
        <v>5.8293294402995052E-6</v>
      </c>
      <c r="I70">
        <f>EXP(((-1)/(2*'Cálculos Diversos'!$B$5))*(SQRT(SUMXMY2('Tabela Entrada-Saída'!$B$70:$O$70,'Coordenadas dos Polos'!$DJ$2:$DW$2)))^2)</f>
        <v>2.7577010768504794E-4</v>
      </c>
      <c r="J70">
        <f>EXP(((-1)/(2*'Cálculos Diversos'!$B$5))*(SQRT(SUMXMY2('Tabela Entrada-Saída'!$B$70:$O$70,'Coordenadas dos Polos'!$DX$2:$EK$2)))^2)</f>
        <v>9.8534297513984249E-5</v>
      </c>
      <c r="K70">
        <f>EXP(((-1)/(2*'Cálculos Diversos'!$B$5))*(SQRT(SUMXMY2('Tabela Entrada-Saída'!$B$70:$O$70,'Coordenadas dos Polos'!$EL$2:$EY$2)))^2)</f>
        <v>4.2844788827655379E-6</v>
      </c>
      <c r="L70">
        <f>EXP(((-1)/(2*'Cálculos Diversos'!$B$5))*(SQRT(SUMXMY2('Tabela Entrada-Saída'!$B$70:$O$70,'Coordenadas dos Polos'!$EZ$2:$FM$2)))^2)</f>
        <v>5.4946043172341709E-7</v>
      </c>
      <c r="M70">
        <f>EXP(((-1)/(2*'Cálculos Diversos'!$B$5))*(SQRT(SUMXMY2('Tabela Entrada-Saída'!$B$70:$O$70,'Coordenadas dos Polos'!$FN$2:$GA$2)))^2)</f>
        <v>1.1136083983925132E-5</v>
      </c>
      <c r="N70">
        <f>EXP(((-1)/(2*'Cálculos Diversos'!$B$5))*(SQRT(SUMXMY2('Tabela Entrada-Saída'!$B$70:$O$70,'Coordenadas dos Polos'!$GB$2:$GO$2)))^2)</f>
        <v>2.7795387873256636E-5</v>
      </c>
      <c r="O70">
        <f>EXP(((-1)/(2*'Cálculos Diversos'!$B$5))*(SQRT(SUMXMY2('Tabela Entrada-Saída'!$B$70:$O$70,'Coordenadas dos Polos'!$GP$2:$HC$2)))^2)</f>
        <v>2.3325779539640081E-6</v>
      </c>
      <c r="P70">
        <v>1</v>
      </c>
    </row>
    <row r="71" spans="1:16" x14ac:dyDescent="0.25">
      <c r="A71">
        <v>70</v>
      </c>
      <c r="B71">
        <f>EXP(((-1)/(2*'Cálculos Diversos'!$B$5))*(SQRT(SUMXMY2('Tabela Entrada-Saída'!$B$71:$O$71,'Coordenadas dos Polos'!$P$2:$AC$2)))^2)</f>
        <v>0.10408470035318911</v>
      </c>
      <c r="C71">
        <f>EXP(((-1)/(2*'Cálculos Diversos'!$B$5))*(SQRT(SUMXMY2('Tabela Entrada-Saída'!$B$71:$O$71,'Coordenadas dos Polos'!$AD$2:$AQ$2)))^2)</f>
        <v>7.8687988327885813E-5</v>
      </c>
      <c r="D71">
        <f>EXP(((-1)/(2*'Cálculos Diversos'!$B$5))*(SQRT(SUMXMY2('Tabela Entrada-Saída'!$B$71:$O$71,'Coordenadas dos Polos'!$AR$2:$BE$2)))^2)</f>
        <v>2.7199124494015003E-5</v>
      </c>
      <c r="E71">
        <f>EXP(((-1)/(2*'Cálculos Diversos'!$B$5))*(SQRT(SUMXMY2('Tabela Entrada-Saída'!$B$71:$O$71,'Coordenadas dos Polos'!$BF$2:$BS$2)))^2)</f>
        <v>1.0885169013603218E-4</v>
      </c>
      <c r="F71">
        <f>EXP(((-1)/(2*'Cálculos Diversos'!$B$5))*(SQRT(SUMXMY2('Tabela Entrada-Saída'!$B$71:$O$71,'Coordenadas dos Polos'!$BT$2:$CG$2)))^2)</f>
        <v>2.8330571525851677E-6</v>
      </c>
      <c r="G71">
        <f>EXP(((-1)/(2*'Cálculos Diversos'!$B$5))*(SQRT(SUMXMY2('Tabela Entrada-Saída'!$B$71:$O$71,'Coordenadas dos Polos'!$CH$2:$CU$2)))^2)</f>
        <v>1.2790303283006238E-4</v>
      </c>
      <c r="H71">
        <f>EXP(((-1)/(2*'Cálculos Diversos'!$B$5))*(SQRT(SUMXMY2('Tabela Entrada-Saída'!$B$71:$O$71,'Coordenadas dos Polos'!$CV$2:$DI$2)))^2)</f>
        <v>6.0569587256881752E-6</v>
      </c>
      <c r="I71">
        <f>EXP(((-1)/(2*'Cálculos Diversos'!$B$5))*(SQRT(SUMXMY2('Tabela Entrada-Saída'!$B$71:$O$71,'Coordenadas dos Polos'!$DJ$2:$DW$2)))^2)</f>
        <v>2.6196648641159544E-4</v>
      </c>
      <c r="J71">
        <f>EXP(((-1)/(2*'Cálculos Diversos'!$B$5))*(SQRT(SUMXMY2('Tabela Entrada-Saída'!$B$71:$O$71,'Coordenadas dos Polos'!$DX$2:$EK$2)))^2)</f>
        <v>1.0376968987182403E-4</v>
      </c>
      <c r="K71">
        <f>EXP(((-1)/(2*'Cálculos Diversos'!$B$5))*(SQRT(SUMXMY2('Tabela Entrada-Saída'!$B$71:$O$71,'Coordenadas dos Polos'!$EL$2:$EY$2)))^2)</f>
        <v>4.2967331197834448E-6</v>
      </c>
      <c r="L71">
        <f>EXP(((-1)/(2*'Cálculos Diversos'!$B$5))*(SQRT(SUMXMY2('Tabela Entrada-Saída'!$B$71:$O$71,'Coordenadas dos Polos'!$EZ$2:$FM$2)))^2)</f>
        <v>6.8486984421546018E-7</v>
      </c>
      <c r="M71">
        <f>EXP(((-1)/(2*'Cálculos Diversos'!$B$5))*(SQRT(SUMXMY2('Tabela Entrada-Saída'!$B$71:$O$71,'Coordenadas dos Polos'!$FN$2:$GA$2)))^2)</f>
        <v>1.3646070223963229E-5</v>
      </c>
      <c r="N71">
        <f>EXP(((-1)/(2*'Cálculos Diversos'!$B$5))*(SQRT(SUMXMY2('Tabela Entrada-Saída'!$B$71:$O$71,'Coordenadas dos Polos'!$GB$2:$GO$2)))^2)</f>
        <v>3.3559566603184694E-5</v>
      </c>
      <c r="O71">
        <f>EXP(((-1)/(2*'Cálculos Diversos'!$B$5))*(SQRT(SUMXMY2('Tabela Entrada-Saída'!$B$71:$O$71,'Coordenadas dos Polos'!$GP$2:$HC$2)))^2)</f>
        <v>2.7418881897014879E-6</v>
      </c>
      <c r="P71">
        <v>1</v>
      </c>
    </row>
    <row r="72" spans="1:16" x14ac:dyDescent="0.25">
      <c r="A72">
        <v>71</v>
      </c>
      <c r="B72">
        <f>EXP(((-1)/(2*'Cálculos Diversos'!$B$5))*(SQRT(SUMXMY2('Tabela Entrada-Saída'!$B$72:$O$72,'Coordenadas dos Polos'!$P$2:$AC$2)))^2)</f>
        <v>0.10293309134280937</v>
      </c>
      <c r="C72">
        <f>EXP(((-1)/(2*'Cálculos Diversos'!$B$5))*(SQRT(SUMXMY2('Tabela Entrada-Saída'!$B$72:$O$72,'Coordenadas dos Polos'!$AD$2:$AQ$2)))^2)</f>
        <v>7.8410351025552351E-5</v>
      </c>
      <c r="D72">
        <f>EXP(((-1)/(2*'Cálculos Diversos'!$B$5))*(SQRT(SUMXMY2('Tabela Entrada-Saída'!$B$72:$O$72,'Coordenadas dos Polos'!$AR$2:$BE$2)))^2)</f>
        <v>2.7209147370080559E-5</v>
      </c>
      <c r="E72">
        <f>EXP(((-1)/(2*'Cálculos Diversos'!$B$5))*(SQRT(SUMXMY2('Tabela Entrada-Saída'!$B$72:$O$72,'Coordenadas dos Polos'!$BF$2:$BS$2)))^2)</f>
        <v>1.0798817829534832E-4</v>
      </c>
      <c r="F72">
        <f>EXP(((-1)/(2*'Cálculos Diversos'!$B$5))*(SQRT(SUMXMY2('Tabela Entrada-Saída'!$B$72:$O$72,'Coordenadas dos Polos'!$BT$2:$CG$2)))^2)</f>
        <v>2.8040660217963574E-6</v>
      </c>
      <c r="G72">
        <f>EXP(((-1)/(2*'Cálculos Diversos'!$B$5))*(SQRT(SUMXMY2('Tabela Entrada-Saída'!$B$72:$O$72,'Coordenadas dos Polos'!$CH$2:$CU$2)))^2)</f>
        <v>1.2784510108057834E-4</v>
      </c>
      <c r="H72">
        <f>EXP(((-1)/(2*'Cálculos Diversos'!$B$5))*(SQRT(SUMXMY2('Tabela Entrada-Saída'!$B$72:$O$72,'Coordenadas dos Polos'!$CV$2:$DI$2)))^2)</f>
        <v>6.0487099069261275E-6</v>
      </c>
      <c r="I72">
        <f>EXP(((-1)/(2*'Cálculos Diversos'!$B$5))*(SQRT(SUMXMY2('Tabela Entrada-Saída'!$B$72:$O$72,'Coordenadas dos Polos'!$DJ$2:$DW$2)))^2)</f>
        <v>2.6261987230465821E-4</v>
      </c>
      <c r="J72">
        <f>EXP(((-1)/(2*'Cálculos Diversos'!$B$5))*(SQRT(SUMXMY2('Tabela Entrada-Saída'!$B$72:$O$72,'Coordenadas dos Polos'!$DX$2:$EK$2)))^2)</f>
        <v>1.0357473765439297E-4</v>
      </c>
      <c r="K72">
        <f>EXP(((-1)/(2*'Cálculos Diversos'!$B$5))*(SQRT(SUMXMY2('Tabela Entrada-Saída'!$B$72:$O$72,'Coordenadas dos Polos'!$EL$2:$EY$2)))^2)</f>
        <v>4.2977983971494358E-6</v>
      </c>
      <c r="L72">
        <f>EXP(((-1)/(2*'Cálculos Diversos'!$B$5))*(SQRT(SUMXMY2('Tabela Entrada-Saída'!$B$72:$O$72,'Coordenadas dos Polos'!$EZ$2:$FM$2)))^2)</f>
        <v>6.7883617227830654E-7</v>
      </c>
      <c r="M72">
        <f>EXP(((-1)/(2*'Cálculos Diversos'!$B$5))*(SQRT(SUMXMY2('Tabela Entrada-Saída'!$B$72:$O$72,'Coordenadas dos Polos'!$FN$2:$GA$2)))^2)</f>
        <v>1.3535966212336192E-5</v>
      </c>
      <c r="N72">
        <f>EXP(((-1)/(2*'Cálculos Diversos'!$B$5))*(SQRT(SUMXMY2('Tabela Entrada-Saída'!$B$72:$O$72,'Coordenadas dos Polos'!$GB$2:$GO$2)))^2)</f>
        <v>3.3307638297649197E-5</v>
      </c>
      <c r="O72">
        <f>EXP(((-1)/(2*'Cálculos Diversos'!$B$5))*(SQRT(SUMXMY2('Tabela Entrada-Saída'!$B$72:$O$72,'Coordenadas dos Polos'!$GP$2:$HC$2)))^2)</f>
        <v>2.7247991699626898E-6</v>
      </c>
      <c r="P72">
        <v>1</v>
      </c>
    </row>
    <row r="73" spans="1:16" x14ac:dyDescent="0.25">
      <c r="A73">
        <v>72</v>
      </c>
      <c r="B73">
        <f>EXP(((-1)/(2*'Cálculos Diversos'!$B$5))*(SQRT(SUMXMY2('Tabela Entrada-Saída'!$B$73:$O$73,'Coordenadas dos Polos'!$P$2:$AC$2)))^2)</f>
        <v>8.8398636879048725E-2</v>
      </c>
      <c r="C73">
        <f>EXP(((-1)/(2*'Cálculos Diversos'!$B$5))*(SQRT(SUMXMY2('Tabela Entrada-Saída'!$B$73:$O$73,'Coordenadas dos Polos'!$AD$2:$AQ$2)))^2)</f>
        <v>7.4596469057495239E-5</v>
      </c>
      <c r="D73">
        <f>EXP(((-1)/(2*'Cálculos Diversos'!$B$5))*(SQRT(SUMXMY2('Tabela Entrada-Saída'!$B$73:$O$73,'Coordenadas dos Polos'!$AR$2:$BE$2)))^2)</f>
        <v>2.7289983463595065E-5</v>
      </c>
      <c r="E73">
        <f>EXP(((-1)/(2*'Cálculos Diversos'!$B$5))*(SQRT(SUMXMY2('Tabela Entrada-Saída'!$B$73:$O$73,'Coordenadas dos Polos'!$BF$2:$BS$2)))^2)</f>
        <v>9.6775875706824147E-5</v>
      </c>
      <c r="F73">
        <f>EXP(((-1)/(2*'Cálculos Diversos'!$B$5))*(SQRT(SUMXMY2('Tabela Entrada-Saída'!$B$73:$O$73,'Coordenadas dos Polos'!$BT$2:$CG$2)))^2)</f>
        <v>2.4391920397242186E-6</v>
      </c>
      <c r="G73">
        <f>EXP(((-1)/(2*'Cálculos Diversos'!$B$5))*(SQRT(SUMXMY2('Tabela Entrada-Saída'!$B$73:$O$73,'Coordenadas dos Polos'!$CH$2:$CU$2)))^2)</f>
        <v>1.2658685114979557E-4</v>
      </c>
      <c r="H73">
        <f>EXP(((-1)/(2*'Cálculos Diversos'!$B$5))*(SQRT(SUMXMY2('Tabela Entrada-Saída'!$B$73:$O$73,'Coordenadas dos Polos'!$CV$2:$DI$2)))^2)</f>
        <v>5.9283473030837087E-6</v>
      </c>
      <c r="I73">
        <f>EXP(((-1)/(2*'Cálculos Diversos'!$B$5))*(SQRT(SUMXMY2('Tabela Entrada-Saída'!$B$73:$O$73,'Coordenadas dos Polos'!$DJ$2:$DW$2)))^2)</f>
        <v>2.7083389471435734E-4</v>
      </c>
      <c r="J73">
        <f>EXP(((-1)/(2*'Cálculos Diversos'!$B$5))*(SQRT(SUMXMY2('Tabela Entrada-Saída'!$B$73:$O$73,'Coordenadas dos Polos'!$DX$2:$EK$2)))^2)</f>
        <v>1.0082462316930451E-4</v>
      </c>
      <c r="K73">
        <f>EXP(((-1)/(2*'Cálculos Diversos'!$B$5))*(SQRT(SUMXMY2('Tabela Entrada-Saída'!$B$73:$O$73,'Coordenadas dos Polos'!$EL$2:$EY$2)))^2)</f>
        <v>4.298091233472266E-6</v>
      </c>
      <c r="L73">
        <f>EXP(((-1)/(2*'Cálculos Diversos'!$B$5))*(SQRT(SUMXMY2('Tabela Entrada-Saída'!$B$73:$O$73,'Coordenadas dos Polos'!$EZ$2:$FM$2)))^2)</f>
        <v>6.0197562152108164E-7</v>
      </c>
      <c r="M73">
        <f>EXP(((-1)/(2*'Cálculos Diversos'!$B$5))*(SQRT(SUMXMY2('Tabela Entrada-Saída'!$B$73:$O$73,'Coordenadas dos Polos'!$FN$2:$GA$2)))^2)</f>
        <v>1.2117455734902755E-5</v>
      </c>
      <c r="N73">
        <f>EXP(((-1)/(2*'Cálculos Diversos'!$B$5))*(SQRT(SUMXMY2('Tabela Entrada-Saída'!$B$73:$O$73,'Coordenadas dos Polos'!$GB$2:$GO$2)))^2)</f>
        <v>3.0040160646992488E-5</v>
      </c>
      <c r="O73">
        <f>EXP(((-1)/(2*'Cálculos Diversos'!$B$5))*(SQRT(SUMXMY2('Tabela Entrada-Saída'!$B$73:$O$73,'Coordenadas dos Polos'!$GP$2:$HC$2)))^2)</f>
        <v>2.4967519974866575E-6</v>
      </c>
      <c r="P73">
        <v>1</v>
      </c>
    </row>
    <row r="74" spans="1:16" x14ac:dyDescent="0.25">
      <c r="A74">
        <v>73</v>
      </c>
      <c r="B74">
        <f>EXP(((-1)/(2*'Cálculos Diversos'!$B$5))*(SQRT(SUMXMY2('Tabela Entrada-Saída'!$B$74:$O$74,'Coordenadas dos Polos'!$P$2:$AC$2)))^2)</f>
        <v>0.10485192748526784</v>
      </c>
      <c r="C74">
        <f>EXP(((-1)/(2*'Cálculos Diversos'!$B$5))*(SQRT(SUMXMY2('Tabela Entrada-Saída'!$B$74:$O$74,'Coordenadas dos Polos'!$AD$2:$AQ$2)))^2)</f>
        <v>7.8915620208512314E-5</v>
      </c>
      <c r="D74">
        <f>EXP(((-1)/(2*'Cálculos Diversos'!$B$5))*(SQRT(SUMXMY2('Tabela Entrada-Saída'!$B$74:$O$74,'Coordenadas dos Polos'!$AR$2:$BE$2)))^2)</f>
        <v>2.7203818905271963E-5</v>
      </c>
      <c r="E74">
        <f>EXP(((-1)/(2*'Cálculos Diversos'!$B$5))*(SQRT(SUMXMY2('Tabela Entrada-Saída'!$B$74:$O$74,'Coordenadas dos Polos'!$BF$2:$BS$2)))^2)</f>
        <v>1.0944890602127751E-4</v>
      </c>
      <c r="F74">
        <f>EXP(((-1)/(2*'Cálculos Diversos'!$B$5))*(SQRT(SUMXMY2('Tabela Entrada-Saída'!$B$74:$O$74,'Coordenadas dos Polos'!$BT$2:$CG$2)))^2)</f>
        <v>2.8529043368971412E-6</v>
      </c>
      <c r="G74">
        <f>EXP(((-1)/(2*'Cálculos Diversos'!$B$5))*(SQRT(SUMXMY2('Tabela Entrada-Saída'!$B$74:$O$74,'Coordenadas dos Polos'!$CH$2:$CU$2)))^2)</f>
        <v>1.2797728470361267E-4</v>
      </c>
      <c r="H74">
        <f>EXP(((-1)/(2*'Cálculos Diversos'!$B$5))*(SQRT(SUMXMY2('Tabela Entrada-Saída'!$B$74:$O$74,'Coordenadas dos Polos'!$CV$2:$DI$2)))^2)</f>
        <v>6.0682208477574996E-6</v>
      </c>
      <c r="I74">
        <f>EXP(((-1)/(2*'Cálculos Diversos'!$B$5))*(SQRT(SUMXMY2('Tabela Entrada-Saída'!$B$74:$O$74,'Coordenadas dos Polos'!$DJ$2:$DW$2)))^2)</f>
        <v>2.6155870050467787E-4</v>
      </c>
      <c r="J74">
        <f>EXP(((-1)/(2*'Cálculos Diversos'!$B$5))*(SQRT(SUMXMY2('Tabela Entrada-Saída'!$B$74:$O$74,'Coordenadas dos Polos'!$DX$2:$EK$2)))^2)</f>
        <v>1.0394839154724477E-4</v>
      </c>
      <c r="K74">
        <f>EXP(((-1)/(2*'Cálculos Diversos'!$B$5))*(SQRT(SUMXMY2('Tabela Entrada-Saída'!$B$74:$O$74,'Coordenadas dos Polos'!$EL$2:$EY$2)))^2)</f>
        <v>4.2985076394560983E-6</v>
      </c>
      <c r="L74">
        <f>EXP(((-1)/(2*'Cálculos Diversos'!$B$5))*(SQRT(SUMXMY2('Tabela Entrada-Saída'!$B$74:$O$74,'Coordenadas dos Polos'!$EZ$2:$FM$2)))^2)</f>
        <v>6.89179149724461E-7</v>
      </c>
      <c r="M74">
        <f>EXP(((-1)/(2*'Cálculos Diversos'!$B$5))*(SQRT(SUMXMY2('Tabela Entrada-Saída'!$B$74:$O$74,'Coordenadas dos Polos'!$FN$2:$GA$2)))^2)</f>
        <v>1.3723897326640178E-5</v>
      </c>
      <c r="N74">
        <f>EXP(((-1)/(2*'Cálculos Diversos'!$B$5))*(SQRT(SUMXMY2('Tabela Entrada-Saída'!$B$74:$O$74,'Coordenadas dos Polos'!$GB$2:$GO$2)))^2)</f>
        <v>3.3757279102335267E-5</v>
      </c>
      <c r="O74">
        <f>EXP(((-1)/(2*'Cálculos Diversos'!$B$5))*(SQRT(SUMXMY2('Tabela Entrada-Saída'!$B$74:$O$74,'Coordenadas dos Polos'!$GP$2:$HC$2)))^2)</f>
        <v>2.7537337695088038E-6</v>
      </c>
      <c r="P74">
        <v>1</v>
      </c>
    </row>
    <row r="75" spans="1:16" x14ac:dyDescent="0.25">
      <c r="A75">
        <v>74</v>
      </c>
      <c r="B75">
        <f>EXP(((-1)/(2*'Cálculos Diversos'!$B$5))*(SQRT(SUMXMY2('Tabela Entrada-Saída'!$B$75:$O$75,'Coordenadas dos Polos'!$P$2:$AC$2)))^2)</f>
        <v>8.1917235164543134E-2</v>
      </c>
      <c r="C75">
        <f>EXP(((-1)/(2*'Cálculos Diversos'!$B$5))*(SQRT(SUMXMY2('Tabela Entrada-Saída'!$B$75:$O$75,'Coordenadas dos Polos'!$AD$2:$AQ$2)))^2)</f>
        <v>7.264743862189E-5</v>
      </c>
      <c r="D75">
        <f>EXP(((-1)/(2*'Cálculos Diversos'!$B$5))*(SQRT(SUMXMY2('Tabela Entrada-Saída'!$B$75:$O$75,'Coordenadas dos Polos'!$AR$2:$BE$2)))^2)</f>
        <v>2.7263700966920366E-5</v>
      </c>
      <c r="E75">
        <f>EXP(((-1)/(2*'Cálculos Diversos'!$B$5))*(SQRT(SUMXMY2('Tabela Entrada-Saída'!$B$75:$O$75,'Coordenadas dos Polos'!$BF$2:$BS$2)))^2)</f>
        <v>9.1542441363575528E-5</v>
      </c>
      <c r="F75">
        <f>EXP(((-1)/(2*'Cálculos Diversos'!$B$5))*(SQRT(SUMXMY2('Tabela Entrada-Saída'!$B$75:$O$75,'Coordenadas dos Polos'!$BT$2:$CG$2)))^2)</f>
        <v>2.2737810702517427E-6</v>
      </c>
      <c r="G75">
        <f>EXP(((-1)/(2*'Cálculos Diversos'!$B$5))*(SQRT(SUMXMY2('Tabela Entrada-Saída'!$B$75:$O$75,'Coordenadas dos Polos'!$CH$2:$CU$2)))^2)</f>
        <v>1.2565887856020051E-4</v>
      </c>
      <c r="H75">
        <f>EXP(((-1)/(2*'Cálculos Diversos'!$B$5))*(SQRT(SUMXMY2('Tabela Entrada-Saída'!$B$75:$O$75,'Coordenadas dos Polos'!$CV$2:$DI$2)))^2)</f>
        <v>5.8586326295529505E-6</v>
      </c>
      <c r="I75">
        <f>EXP(((-1)/(2*'Cálculos Diversos'!$B$5))*(SQRT(SUMXMY2('Tabela Entrada-Saída'!$B$75:$O$75,'Coordenadas dos Polos'!$DJ$2:$DW$2)))^2)</f>
        <v>2.7419201735118048E-4</v>
      </c>
      <c r="J75">
        <f>EXP(((-1)/(2*'Cálculos Diversos'!$B$5))*(SQRT(SUMXMY2('Tabela Entrada-Saída'!$B$75:$O$75,'Coordenadas dos Polos'!$DX$2:$EK$2)))^2)</f>
        <v>9.926400857951121E-5</v>
      </c>
      <c r="K75">
        <f>EXP(((-1)/(2*'Cálculos Diversos'!$B$5))*(SQRT(SUMXMY2('Tabela Entrada-Saída'!$B$75:$O$75,'Coordenadas dos Polos'!$EL$2:$EY$2)))^2)</f>
        <v>4.2886391519540972E-6</v>
      </c>
      <c r="L75">
        <f>EXP(((-1)/(2*'Cálculos Diversos'!$B$5))*(SQRT(SUMXMY2('Tabela Entrada-Saída'!$B$75:$O$75,'Coordenadas dos Polos'!$EZ$2:$FM$2)))^2)</f>
        <v>5.6648517833204985E-7</v>
      </c>
      <c r="M75">
        <f>EXP(((-1)/(2*'Cálculos Diversos'!$B$5))*(SQRT(SUMXMY2('Tabela Entrada-Saída'!$B$75:$O$75,'Coordenadas dos Polos'!$FN$2:$GA$2)))^2)</f>
        <v>1.1456668832475874E-5</v>
      </c>
      <c r="N75">
        <f>EXP(((-1)/(2*'Cálculos Diversos'!$B$5))*(SQRT(SUMXMY2('Tabela Entrada-Saída'!$B$75:$O$75,'Coordenadas dos Polos'!$GB$2:$GO$2)))^2)</f>
        <v>2.8514005387901156E-5</v>
      </c>
      <c r="O75">
        <f>EXP(((-1)/(2*'Cálculos Diversos'!$B$5))*(SQRT(SUMXMY2('Tabela Entrada-Saída'!$B$75:$O$75,'Coordenadas dos Polos'!$GP$2:$HC$2)))^2)</f>
        <v>2.3870951083821055E-6</v>
      </c>
      <c r="P75">
        <v>1</v>
      </c>
    </row>
    <row r="76" spans="1:16" x14ac:dyDescent="0.25">
      <c r="A76">
        <v>75</v>
      </c>
      <c r="B76">
        <f>EXP(((-1)/(2*'Cálculos Diversos'!$B$5))*(SQRT(SUMXMY2('Tabela Entrada-Saída'!$B$76:$O$76,'Coordenadas dos Polos'!$P$2:$AC$2)))^2)</f>
        <v>0.10413184598775371</v>
      </c>
      <c r="C76">
        <f>EXP(((-1)/(2*'Cálculos Diversos'!$B$5))*(SQRT(SUMXMY2('Tabela Entrada-Saída'!$B$76:$O$76,'Coordenadas dos Polos'!$AD$2:$AQ$2)))^2)</f>
        <v>7.8691160337568535E-5</v>
      </c>
      <c r="D76">
        <f>EXP(((-1)/(2*'Cálculos Diversos'!$B$5))*(SQRT(SUMXMY2('Tabela Entrada-Saída'!$B$76:$O$76,'Coordenadas dos Polos'!$AR$2:$BE$2)))^2)</f>
        <v>2.7192249920437698E-5</v>
      </c>
      <c r="E76">
        <f>EXP(((-1)/(2*'Cálculos Diversos'!$B$5))*(SQRT(SUMXMY2('Tabela Entrada-Saída'!$B$76:$O$76,'Coordenadas dos Polos'!$BF$2:$BS$2)))^2)</f>
        <v>1.0887685375315444E-4</v>
      </c>
      <c r="F76">
        <f>EXP(((-1)/(2*'Cálculos Diversos'!$B$5))*(SQRT(SUMXMY2('Tabela Entrada-Saída'!$B$76:$O$76,'Coordenadas dos Polos'!$BT$2:$CG$2)))^2)</f>
        <v>2.8343659240474783E-6</v>
      </c>
      <c r="G76">
        <f>EXP(((-1)/(2*'Cálculos Diversos'!$B$5))*(SQRT(SUMXMY2('Tabela Entrada-Saída'!$B$76:$O$76,'Coordenadas dos Polos'!$CH$2:$CU$2)))^2)</f>
        <v>1.2791428908334778E-4</v>
      </c>
      <c r="H76">
        <f>EXP(((-1)/(2*'Cálculos Diversos'!$B$5))*(SQRT(SUMXMY2('Tabela Entrada-Saída'!$B$76:$O$76,'Coordenadas dos Polos'!$CV$2:$DI$2)))^2)</f>
        <v>6.0564092845553321E-6</v>
      </c>
      <c r="I76">
        <f>EXP(((-1)/(2*'Cálculos Diversos'!$B$5))*(SQRT(SUMXMY2('Tabela Entrada-Saída'!$B$76:$O$76,'Coordenadas dos Polos'!$DJ$2:$DW$2)))^2)</f>
        <v>2.6187878726794501E-4</v>
      </c>
      <c r="J76">
        <f>EXP(((-1)/(2*'Cálculos Diversos'!$B$5))*(SQRT(SUMXMY2('Tabela Entrada-Saída'!$B$76:$O$76,'Coordenadas dos Polos'!$DX$2:$EK$2)))^2)</f>
        <v>1.0379205507267606E-4</v>
      </c>
      <c r="K76">
        <f>EXP(((-1)/(2*'Cálculos Diversos'!$B$5))*(SQRT(SUMXMY2('Tabela Entrada-Saída'!$B$76:$O$76,'Coordenadas dos Polos'!$EL$2:$EY$2)))^2)</f>
        <v>4.2958988112062109E-6</v>
      </c>
      <c r="L76">
        <f>EXP(((-1)/(2*'Cálculos Diversos'!$B$5))*(SQRT(SUMXMY2('Tabela Entrada-Saída'!$B$76:$O$76,'Coordenadas dos Polos'!$EZ$2:$FM$2)))^2)</f>
        <v>6.8508612791397744E-7</v>
      </c>
      <c r="M76">
        <f>EXP(((-1)/(2*'Cálculos Diversos'!$B$5))*(SQRT(SUMXMY2('Tabela Entrada-Saída'!$B$76:$O$76,'Coordenadas dos Polos'!$FN$2:$GA$2)))^2)</f>
        <v>1.3648917440212208E-5</v>
      </c>
      <c r="N76">
        <f>EXP(((-1)/(2*'Cálculos Diversos'!$B$5))*(SQRT(SUMXMY2('Tabela Entrada-Saída'!$B$76:$O$76,'Coordenadas dos Polos'!$GB$2:$GO$2)))^2)</f>
        <v>3.3568608976012732E-5</v>
      </c>
      <c r="O76">
        <f>EXP(((-1)/(2*'Cálculos Diversos'!$B$5))*(SQRT(SUMXMY2('Tabela Entrada-Saída'!$B$76:$O$76,'Coordenadas dos Polos'!$GP$2:$HC$2)))^2)</f>
        <v>2.7426270115864823E-6</v>
      </c>
      <c r="P76">
        <v>1</v>
      </c>
    </row>
    <row r="77" spans="1:16" x14ac:dyDescent="0.25">
      <c r="A77">
        <v>76</v>
      </c>
      <c r="B77">
        <f>EXP(((-1)/(2*'Cálculos Diversos'!$B$5))*(SQRT(SUMXMY2('Tabela Entrada-Saída'!$B$77:$O$77,'Coordenadas dos Polos'!$P$2:$AC$2)))^2)</f>
        <v>9.7671189483947346E-2</v>
      </c>
      <c r="C77">
        <f>EXP(((-1)/(2*'Cálculos Diversos'!$B$5))*(SQRT(SUMXMY2('Tabela Entrada-Saída'!$B$77:$O$77,'Coordenadas dos Polos'!$AD$2:$AQ$2)))^2)</f>
        <v>7.7091511184107059E-5</v>
      </c>
      <c r="D77">
        <f>EXP(((-1)/(2*'Cálculos Diversos'!$B$5))*(SQRT(SUMXMY2('Tabela Entrada-Saída'!$B$77:$O$77,'Coordenadas dos Polos'!$AR$2:$BE$2)))^2)</f>
        <v>2.7252739607939857E-5</v>
      </c>
      <c r="E77">
        <f>EXP(((-1)/(2*'Cálculos Diversos'!$B$5))*(SQRT(SUMXMY2('Tabela Entrada-Saída'!$B$77:$O$77,'Coordenadas dos Polos'!$BF$2:$BS$2)))^2)</f>
        <v>1.0399006627136102E-4</v>
      </c>
      <c r="F77">
        <f>EXP(((-1)/(2*'Cálculos Diversos'!$B$5))*(SQRT(SUMXMY2('Tabela Entrada-Saída'!$B$77:$O$77,'Coordenadas dos Polos'!$BT$2:$CG$2)))^2)</f>
        <v>2.6723340456795923E-6</v>
      </c>
      <c r="G77">
        <f>EXP(((-1)/(2*'Cálculos Diversos'!$B$5))*(SQRT(SUMXMY2('Tabela Entrada-Saída'!$B$77:$O$77,'Coordenadas dos Polos'!$CH$2:$CU$2)))^2)</f>
        <v>1.2747698912367198E-4</v>
      </c>
      <c r="H77">
        <f>EXP(((-1)/(2*'Cálculos Diversos'!$B$5))*(SQRT(SUMXMY2('Tabela Entrada-Saída'!$B$77:$O$77,'Coordenadas dos Polos'!$CV$2:$DI$2)))^2)</f>
        <v>6.0084316969720988E-6</v>
      </c>
      <c r="I77">
        <f>EXP(((-1)/(2*'Cálculos Diversos'!$B$5))*(SQRT(SUMXMY2('Tabela Entrada-Saída'!$B$77:$O$77,'Coordenadas dos Polos'!$DJ$2:$DW$2)))^2)</f>
        <v>2.6564089460407884E-4</v>
      </c>
      <c r="J77">
        <f>EXP(((-1)/(2*'Cálculos Diversos'!$B$5))*(SQRT(SUMXMY2('Tabela Entrada-Saída'!$B$77:$O$77,'Coordenadas dos Polos'!$DX$2:$EK$2)))^2)</f>
        <v>1.0266068395894876E-4</v>
      </c>
      <c r="K77">
        <f>EXP(((-1)/(2*'Cálculos Diversos'!$B$5))*(SQRT(SUMXMY2('Tabela Entrada-Saída'!$B$77:$O$77,'Coordenadas dos Polos'!$EL$2:$EY$2)))^2)</f>
        <v>4.2999675439177992E-6</v>
      </c>
      <c r="L77">
        <f>EXP(((-1)/(2*'Cálculos Diversos'!$B$5))*(SQRT(SUMXMY2('Tabela Entrada-Saída'!$B$77:$O$77,'Coordenadas dos Polos'!$EZ$2:$FM$2)))^2)</f>
        <v>6.512528386478318E-7</v>
      </c>
      <c r="M77">
        <f>EXP(((-1)/(2*'Cálculos Diversos'!$B$5))*(SQRT(SUMXMY2('Tabela Entrada-Saída'!$B$77:$O$77,'Coordenadas dos Polos'!$FN$2:$GA$2)))^2)</f>
        <v>1.3029180927950788E-5</v>
      </c>
      <c r="N77">
        <f>EXP(((-1)/(2*'Cálculos Diversos'!$B$5))*(SQRT(SUMXMY2('Tabela Entrada-Saída'!$B$77:$O$77,'Coordenadas dos Polos'!$GB$2:$GO$2)))^2)</f>
        <v>3.2138676764186219E-5</v>
      </c>
      <c r="O77">
        <f>EXP(((-1)/(2*'Cálculos Diversos'!$B$5))*(SQRT(SUMXMY2('Tabela Entrada-Saída'!$B$77:$O$77,'Coordenadas dos Polos'!$GP$2:$HC$2)))^2)</f>
        <v>2.6444233465838164E-6</v>
      </c>
      <c r="P77">
        <v>1</v>
      </c>
    </row>
    <row r="78" spans="1:16" x14ac:dyDescent="0.25">
      <c r="A78">
        <v>77</v>
      </c>
      <c r="B78">
        <f>EXP(((-1)/(2*'Cálculos Diversos'!$B$5))*(SQRT(SUMXMY2('Tabela Entrada-Saída'!$B$78:$O$78,'Coordenadas dos Polos'!$P$2:$AC$2)))^2)</f>
        <v>9.2388152706853841E-2</v>
      </c>
      <c r="C78">
        <f>EXP(((-1)/(2*'Cálculos Diversos'!$B$5))*(SQRT(SUMXMY2('Tabela Entrada-Saída'!$B$78:$O$78,'Coordenadas dos Polos'!$AD$2:$AQ$2)))^2)</f>
        <v>7.574464432361074E-5</v>
      </c>
      <c r="D78">
        <f>EXP(((-1)/(2*'Cálculos Diversos'!$B$5))*(SQRT(SUMXMY2('Tabela Entrada-Saída'!$B$78:$O$78,'Coordenadas dos Polos'!$AR$2:$BE$2)))^2)</f>
        <v>2.7290520156564317E-5</v>
      </c>
      <c r="E78">
        <f>EXP(((-1)/(2*'Cálculos Diversos'!$B$5))*(SQRT(SUMXMY2('Tabela Entrada-Saída'!$B$78:$O$78,'Coordenadas dos Polos'!$BF$2:$BS$2)))^2)</f>
        <v>9.9925495746579329E-5</v>
      </c>
      <c r="F78">
        <f>EXP(((-1)/(2*'Cálculos Diversos'!$B$5))*(SQRT(SUMXMY2('Tabela Entrada-Saída'!$B$78:$O$78,'Coordenadas dos Polos'!$BT$2:$CG$2)))^2)</f>
        <v>2.540045396628834E-6</v>
      </c>
      <c r="G78">
        <f>EXP(((-1)/(2*'Cálculos Diversos'!$B$5))*(SQRT(SUMXMY2('Tabela Entrada-Saída'!$B$78:$O$78,'Coordenadas dos Polos'!$CH$2:$CU$2)))^2)</f>
        <v>1.2705172459509187E-4</v>
      </c>
      <c r="H78">
        <f>EXP(((-1)/(2*'Cálculos Diversos'!$B$5))*(SQRT(SUMXMY2('Tabela Entrada-Saída'!$B$78:$O$78,'Coordenadas dos Polos'!$CV$2:$DI$2)))^2)</f>
        <v>5.9704750960455265E-6</v>
      </c>
      <c r="I78">
        <f>EXP(((-1)/(2*'Cálculos Diversos'!$B$5))*(SQRT(SUMXMY2('Tabela Entrada-Saída'!$B$78:$O$78,'Coordenadas dos Polos'!$DJ$2:$DW$2)))^2)</f>
        <v>2.686298082180688E-4</v>
      </c>
      <c r="J78">
        <f>EXP(((-1)/(2*'Cálculos Diversos'!$B$5))*(SQRT(SUMXMY2('Tabela Entrada-Saída'!$B$78:$O$78,'Coordenadas dos Polos'!$DX$2:$EK$2)))^2)</f>
        <v>1.0170787911751776E-4</v>
      </c>
      <c r="K78">
        <f>EXP(((-1)/(2*'Cálculos Diversos'!$B$5))*(SQRT(SUMXMY2('Tabela Entrada-Saída'!$B$78:$O$78,'Coordenadas dos Polos'!$EL$2:$EY$2)))^2)</f>
        <v>4.3024127681606053E-6</v>
      </c>
      <c r="L78">
        <f>EXP(((-1)/(2*'Cálculos Diversos'!$B$5))*(SQRT(SUMXMY2('Tabela Entrada-Saída'!$B$78:$O$78,'Coordenadas dos Polos'!$EZ$2:$FM$2)))^2)</f>
        <v>6.2350995315169285E-7</v>
      </c>
      <c r="M78">
        <f>EXP(((-1)/(2*'Cálculos Diversos'!$B$5))*(SQRT(SUMXMY2('Tabela Entrada-Saída'!$B$78:$O$78,'Coordenadas dos Polos'!$FN$2:$GA$2)))^2)</f>
        <v>1.2517014190134806E-5</v>
      </c>
      <c r="N78">
        <f>EXP(((-1)/(2*'Cálculos Diversos'!$B$5))*(SQRT(SUMXMY2('Tabela Entrada-Saída'!$B$78:$O$78,'Coordenadas dos Polos'!$GB$2:$GO$2)))^2)</f>
        <v>3.0978369285767541E-5</v>
      </c>
      <c r="O78">
        <f>EXP(((-1)/(2*'Cálculos Diversos'!$B$5))*(SQRT(SUMXMY2('Tabela Entrada-Saída'!$B$78:$O$78,'Coordenadas dos Polos'!$GP$2:$HC$2)))^2)</f>
        <v>2.5616417784814242E-6</v>
      </c>
      <c r="P78">
        <v>1</v>
      </c>
    </row>
    <row r="79" spans="1:16" x14ac:dyDescent="0.25">
      <c r="A79">
        <v>78</v>
      </c>
      <c r="B79">
        <f>EXP(((-1)/(2*'Cálculos Diversos'!$B$5))*(SQRT(SUMXMY2('Tabela Entrada-Saída'!$B$79:$O$79,'Coordenadas dos Polos'!$P$2:$AC$2)))^2)</f>
        <v>8.2888440307222075E-2</v>
      </c>
      <c r="C79">
        <f>EXP(((-1)/(2*'Cálculos Diversos'!$B$5))*(SQRT(SUMXMY2('Tabela Entrada-Saída'!$B$79:$O$79,'Coordenadas dos Polos'!$AD$2:$AQ$2)))^2)</f>
        <v>7.2942231843825409E-5</v>
      </c>
      <c r="D79">
        <f>EXP(((-1)/(2*'Cálculos Diversos'!$B$5))*(SQRT(SUMXMY2('Tabela Entrada-Saída'!$B$79:$O$79,'Coordenadas dos Polos'!$AR$2:$BE$2)))^2)</f>
        <v>2.7267155080251394E-5</v>
      </c>
      <c r="E79">
        <f>EXP(((-1)/(2*'Cálculos Diversos'!$B$5))*(SQRT(SUMXMY2('Tabela Entrada-Saída'!$B$79:$O$79,'Coordenadas dos Polos'!$BF$2:$BS$2)))^2)</f>
        <v>9.2325575398033644E-5</v>
      </c>
      <c r="F79">
        <f>EXP(((-1)/(2*'Cálculos Diversos'!$B$5))*(SQRT(SUMXMY2('Tabela Entrada-Saída'!$B$79:$O$79,'Coordenadas dos Polos'!$BT$2:$CG$2)))^2)</f>
        <v>2.2979587840229972E-6</v>
      </c>
      <c r="G79">
        <f>EXP(((-1)/(2*'Cálculos Diversos'!$B$5))*(SQRT(SUMXMY2('Tabela Entrada-Saída'!$B$79:$O$79,'Coordenadas dos Polos'!$CH$2:$CU$2)))^2)</f>
        <v>1.2579314847100485E-4</v>
      </c>
      <c r="H79">
        <f>EXP(((-1)/(2*'Cálculos Diversos'!$B$5))*(SQRT(SUMXMY2('Tabela Entrada-Saída'!$B$79:$O$79,'Coordenadas dos Polos'!$CV$2:$DI$2)))^2)</f>
        <v>5.8692147709433241E-6</v>
      </c>
      <c r="I79">
        <f>EXP(((-1)/(2*'Cálculos Diversos'!$B$5))*(SQRT(SUMXMY2('Tabela Entrada-Saída'!$B$79:$O$79,'Coordenadas dos Polos'!$DJ$2:$DW$2)))^2)</f>
        <v>2.7366964799739049E-4</v>
      </c>
      <c r="J79">
        <f>EXP(((-1)/(2*'Cálculos Diversos'!$B$5))*(SQRT(SUMXMY2('Tabela Entrada-Saída'!$B$79:$O$79,'Coordenadas dos Polos'!$DX$2:$EK$2)))^2)</f>
        <v>9.9481733822337807E-5</v>
      </c>
      <c r="K79">
        <f>EXP(((-1)/(2*'Cálculos Diversos'!$B$5))*(SQRT(SUMXMY2('Tabela Entrada-Saída'!$B$79:$O$79,'Coordenadas dos Polos'!$EL$2:$EY$2)))^2)</f>
        <v>4.2903868985126499E-6</v>
      </c>
      <c r="L79">
        <f>EXP(((-1)/(2*'Cálculos Diversos'!$B$5))*(SQRT(SUMXMY2('Tabela Entrada-Saída'!$B$79:$O$79,'Coordenadas dos Polos'!$EZ$2:$FM$2)))^2)</f>
        <v>5.7168967207932684E-7</v>
      </c>
      <c r="M79">
        <f>EXP(((-1)/(2*'Cálculos Diversos'!$B$5))*(SQRT(SUMXMY2('Tabela Entrada-Saída'!$B$79:$O$79,'Coordenadas dos Polos'!$FN$2:$GA$2)))^2)</f>
        <v>1.155519055427761E-5</v>
      </c>
      <c r="N79">
        <f>EXP(((-1)/(2*'Cálculos Diversos'!$B$5))*(SQRT(SUMXMY2('Tabela Entrada-Saída'!$B$79:$O$79,'Coordenadas dos Polos'!$GB$2:$GO$2)))^2)</f>
        <v>2.8742338784417363E-5</v>
      </c>
      <c r="O79">
        <f>EXP(((-1)/(2*'Cálculos Diversos'!$B$5))*(SQRT(SUMXMY2('Tabela Entrada-Saída'!$B$79:$O$79,'Coordenadas dos Polos'!$GP$2:$HC$2)))^2)</f>
        <v>2.4034890113214088E-6</v>
      </c>
      <c r="P79">
        <v>1</v>
      </c>
    </row>
    <row r="80" spans="1:16" x14ac:dyDescent="0.25">
      <c r="A80">
        <v>79</v>
      </c>
      <c r="B80">
        <f>EXP(((-1)/(2*'Cálculos Diversos'!$B$5))*(SQRT(SUMXMY2('Tabela Entrada-Saída'!$B$80:$O$80,'Coordenadas dos Polos'!$P$2:$AC$2)))^2)</f>
        <v>0.10409593226516842</v>
      </c>
      <c r="C80">
        <f>EXP(((-1)/(2*'Cálculos Diversos'!$B$5))*(SQRT(SUMXMY2('Tabela Entrada-Saída'!$B$80:$O$80,'Coordenadas dos Polos'!$AD$2:$AQ$2)))^2)</f>
        <v>7.8729782248481876E-5</v>
      </c>
      <c r="D80">
        <f>EXP(((-1)/(2*'Cálculos Diversos'!$B$5))*(SQRT(SUMXMY2('Tabela Entrada-Saída'!$B$80:$O$80,'Coordenadas dos Polos'!$AR$2:$BE$2)))^2)</f>
        <v>2.7207971536868725E-5</v>
      </c>
      <c r="E80">
        <f>EXP(((-1)/(2*'Cálculos Diversos'!$B$5))*(SQRT(SUMXMY2('Tabela Entrada-Saída'!$B$80:$O$80,'Coordenadas dos Polos'!$BF$2:$BS$2)))^2)</f>
        <v>1.0887155606978453E-4</v>
      </c>
      <c r="F80">
        <f>EXP(((-1)/(2*'Cálculos Diversos'!$B$5))*(SQRT(SUMXMY2('Tabela Entrada-Saída'!$B$80:$O$80,'Coordenadas dos Polos'!$BT$2:$CG$2)))^2)</f>
        <v>2.8339121160052673E-6</v>
      </c>
      <c r="G80">
        <f>EXP(((-1)/(2*'Cálculos Diversos'!$B$5))*(SQRT(SUMXMY2('Tabela Entrada-Saída'!$B$80:$O$80,'Coordenadas dos Polos'!$CH$2:$CU$2)))^2)</f>
        <v>1.27932277827622E-4</v>
      </c>
      <c r="H80">
        <f>EXP(((-1)/(2*'Cálculos Diversos'!$B$5))*(SQRT(SUMXMY2('Tabela Entrada-Saída'!$B$80:$O$80,'Coordenadas dos Polos'!$CV$2:$DI$2)))^2)</f>
        <v>6.0626765586437674E-6</v>
      </c>
      <c r="I80">
        <f>EXP(((-1)/(2*'Cálculos Diversos'!$B$5))*(SQRT(SUMXMY2('Tabela Entrada-Saída'!$B$80:$O$80,'Coordenadas dos Polos'!$DJ$2:$DW$2)))^2)</f>
        <v>2.6195155605910334E-4</v>
      </c>
      <c r="J80">
        <f>EXP(((-1)/(2*'Cálculos Diversos'!$B$5))*(SQRT(SUMXMY2('Tabela Entrada-Saída'!$B$80:$O$80,'Coordenadas dos Polos'!$DX$2:$EK$2)))^2)</f>
        <v>1.0383494398580123E-4</v>
      </c>
      <c r="K80">
        <f>EXP(((-1)/(2*'Cálculos Diversos'!$B$5))*(SQRT(SUMXMY2('Tabela Entrada-Saída'!$B$80:$O$80,'Coordenadas dos Polos'!$EL$2:$EY$2)))^2)</f>
        <v>4.298649184423776E-6</v>
      </c>
      <c r="L80">
        <f>EXP(((-1)/(2*'Cálculos Diversos'!$B$5))*(SQRT(SUMXMY2('Tabela Entrada-Saída'!$B$80:$O$80,'Coordenadas dos Polos'!$EZ$2:$FM$2)))^2)</f>
        <v>6.8519031594591858E-7</v>
      </c>
      <c r="M80">
        <f>EXP(((-1)/(2*'Cálculos Diversos'!$B$5))*(SQRT(SUMXMY2('Tabela Entrada-Saída'!$B$80:$O$80,'Coordenadas dos Polos'!$FN$2:$GA$2)))^2)</f>
        <v>1.365071786745967E-5</v>
      </c>
      <c r="N80">
        <f>EXP(((-1)/(2*'Cálculos Diversos'!$B$5))*(SQRT(SUMXMY2('Tabela Entrada-Saída'!$B$80:$O$80,'Coordenadas dos Polos'!$GB$2:$GO$2)))^2)</f>
        <v>3.3591041222229105E-5</v>
      </c>
      <c r="O80">
        <f>EXP(((-1)/(2*'Cálculos Diversos'!$B$5))*(SQRT(SUMXMY2('Tabela Entrada-Saída'!$B$80:$O$80,'Coordenadas dos Polos'!$GP$2:$HC$2)))^2)</f>
        <v>2.7422675756004068E-6</v>
      </c>
      <c r="P80">
        <v>1</v>
      </c>
    </row>
    <row r="81" spans="1:16" x14ac:dyDescent="0.25">
      <c r="A81">
        <v>80</v>
      </c>
      <c r="B81">
        <f>EXP(((-1)/(2*'Cálculos Diversos'!$B$5))*(SQRT(SUMXMY2('Tabela Entrada-Saída'!$B$81:$O$81,'Coordenadas dos Polos'!$P$2:$AC$2)))^2)</f>
        <v>0.10018272389146736</v>
      </c>
      <c r="C81">
        <f>EXP(((-1)/(2*'Cálculos Diversos'!$B$5))*(SQRT(SUMXMY2('Tabela Entrada-Saída'!$B$81:$O$81,'Coordenadas dos Polos'!$AD$2:$AQ$2)))^2)</f>
        <v>7.7744133299698719E-5</v>
      </c>
      <c r="D81">
        <f>EXP(((-1)/(2*'Cálculos Diversos'!$B$5))*(SQRT(SUMXMY2('Tabela Entrada-Saída'!$B$81:$O$81,'Coordenadas dos Polos'!$AR$2:$BE$2)))^2)</f>
        <v>2.7238436917477328E-5</v>
      </c>
      <c r="E81">
        <f>EXP(((-1)/(2*'Cálculos Diversos'!$B$5))*(SQRT(SUMXMY2('Tabela Entrada-Saída'!$B$81:$O$81,'Coordenadas dos Polos'!$BF$2:$BS$2)))^2)</f>
        <v>1.0591636648631927E-4</v>
      </c>
      <c r="F81">
        <f>EXP(((-1)/(2*'Cálculos Diversos'!$B$5))*(SQRT(SUMXMY2('Tabela Entrada-Saída'!$B$81:$O$81,'Coordenadas dos Polos'!$BT$2:$CG$2)))^2)</f>
        <v>2.7356591886504469E-6</v>
      </c>
      <c r="G81">
        <f>EXP(((-1)/(2*'Cálculos Diversos'!$B$5))*(SQRT(SUMXMY2('Tabela Entrada-Saída'!$B$81:$O$81,'Coordenadas dos Polos'!$CH$2:$CU$2)))^2)</f>
        <v>1.2767801505709445E-4</v>
      </c>
      <c r="H81">
        <f>EXP(((-1)/(2*'Cálculos Diversos'!$B$5))*(SQRT(SUMXMY2('Tabela Entrada-Saída'!$B$81:$O$81,'Coordenadas dos Polos'!$CV$2:$DI$2)))^2)</f>
        <v>6.0298851997125866E-6</v>
      </c>
      <c r="I81">
        <f>EXP(((-1)/(2*'Cálculos Diversos'!$B$5))*(SQRT(SUMXMY2('Tabela Entrada-Saída'!$B$81:$O$81,'Coordenadas dos Polos'!$DJ$2:$DW$2)))^2)</f>
        <v>2.6422648676633601E-4</v>
      </c>
      <c r="J81">
        <f>EXP(((-1)/(2*'Cálculos Diversos'!$B$5))*(SQRT(SUMXMY2('Tabela Entrada-Saída'!$B$81:$O$81,'Coordenadas dos Polos'!$DX$2:$EK$2)))^2)</f>
        <v>1.0313205787190374E-4</v>
      </c>
      <c r="K81">
        <f>EXP(((-1)/(2*'Cálculos Diversos'!$B$5))*(SQRT(SUMXMY2('Tabela Entrada-Saída'!$B$81:$O$81,'Coordenadas dos Polos'!$EL$2:$EY$2)))^2)</f>
        <v>4.2999077962181076E-6</v>
      </c>
      <c r="L81">
        <f>EXP(((-1)/(2*'Cálculos Diversos'!$B$5))*(SQRT(SUMXMY2('Tabela Entrada-Saída'!$B$81:$O$81,'Coordenadas dos Polos'!$EZ$2:$FM$2)))^2)</f>
        <v>6.6458466229355219E-7</v>
      </c>
      <c r="M81">
        <f>EXP(((-1)/(2*'Cálculos Diversos'!$B$5))*(SQRT(SUMXMY2('Tabela Entrada-Saída'!$B$81:$O$81,'Coordenadas dos Polos'!$FN$2:$GA$2)))^2)</f>
        <v>1.3273920671194857E-5</v>
      </c>
      <c r="N81">
        <f>EXP(((-1)/(2*'Cálculos Diversos'!$B$5))*(SQRT(SUMXMY2('Tabela Entrada-Saída'!$B$81:$O$81,'Coordenadas dos Polos'!$GB$2:$GO$2)))^2)</f>
        <v>3.2707031209447472E-5</v>
      </c>
      <c r="O81">
        <f>EXP(((-1)/(2*'Cálculos Diversos'!$B$5))*(SQRT(SUMXMY2('Tabela Entrada-Saída'!$B$81:$O$81,'Coordenadas dos Polos'!$GP$2:$HC$2)))^2)</f>
        <v>2.683285617485286E-6</v>
      </c>
      <c r="P81">
        <v>1</v>
      </c>
    </row>
    <row r="82" spans="1:16" x14ac:dyDescent="0.25">
      <c r="A82">
        <v>81</v>
      </c>
      <c r="B82">
        <f>EXP(((-1)/(2*'Cálculos Diversos'!$B$5))*(SQRT(SUMXMY2('Tabela Entrada-Saída'!$B$82:$O$82,'Coordenadas dos Polos'!$P$2:$AC$2)))^2)</f>
        <v>0.10233174054212163</v>
      </c>
      <c r="C82">
        <f>EXP(((-1)/(2*'Cálculos Diversos'!$B$5))*(SQRT(SUMXMY2('Tabela Entrada-Saída'!$B$82:$O$82,'Coordenadas dos Polos'!$AD$2:$AQ$2)))^2)</f>
        <v>7.8314818161391524E-5</v>
      </c>
      <c r="D82">
        <f>EXP(((-1)/(2*'Cálculos Diversos'!$B$5))*(SQRT(SUMXMY2('Tabela Entrada-Saída'!$B$82:$O$82,'Coordenadas dos Polos'!$AR$2:$BE$2)))^2)</f>
        <v>2.7230560532545745E-5</v>
      </c>
      <c r="E82">
        <f>EXP(((-1)/(2*'Cálculos Diversos'!$B$5))*(SQRT(SUMXMY2('Tabela Entrada-Saída'!$B$82:$O$82,'Coordenadas dos Polos'!$BF$2:$BS$2)))^2)</f>
        <v>1.0755939174363461E-4</v>
      </c>
      <c r="F82">
        <f>EXP(((-1)/(2*'Cálculos Diversos'!$B$5))*(SQRT(SUMXMY2('Tabela Entrada-Saída'!$B$82:$O$82,'Coordenadas dos Polos'!$BT$2:$CG$2)))^2)</f>
        <v>2.7903141895110814E-6</v>
      </c>
      <c r="G82">
        <f>EXP(((-1)/(2*'Cálculos Diversos'!$B$5))*(SQRT(SUMXMY2('Tabela Entrada-Saída'!$B$82:$O$82,'Coordenadas dos Polos'!$CH$2:$CU$2)))^2)</f>
        <v>1.2784790230602311E-4</v>
      </c>
      <c r="H82">
        <f>EXP(((-1)/(2*'Cálculos Diversos'!$B$5))*(SQRT(SUMXMY2('Tabela Entrada-Saída'!$B$82:$O$82,'Coordenadas dos Polos'!$CV$2:$DI$2)))^2)</f>
        <v>6.051339424825436E-6</v>
      </c>
      <c r="I82">
        <f>EXP(((-1)/(2*'Cálculos Diversos'!$B$5))*(SQRT(SUMXMY2('Tabela Entrada-Saída'!$B$82:$O$82,'Coordenadas dos Polos'!$DJ$2:$DW$2)))^2)</f>
        <v>2.6301251151123394E-4</v>
      </c>
      <c r="J82">
        <f>EXP(((-1)/(2*'Cálculos Diversos'!$B$5))*(SQRT(SUMXMY2('Tabela Entrada-Saída'!$B$82:$O$82,'Coordenadas dos Polos'!$DX$2:$EK$2)))^2)</f>
        <v>1.035631904703358E-4</v>
      </c>
      <c r="K82">
        <f>EXP(((-1)/(2*'Cálculos Diversos'!$B$5))*(SQRT(SUMXMY2('Tabela Entrada-Saída'!$B$82:$O$82,'Coordenadas dos Polos'!$EL$2:$EY$2)))^2)</f>
        <v>4.3006034947094487E-6</v>
      </c>
      <c r="L82">
        <f>EXP(((-1)/(2*'Cálculos Diversos'!$B$5))*(SQRT(SUMXMY2('Tabela Entrada-Saída'!$B$82:$O$82,'Coordenadas dos Polos'!$EZ$2:$FM$2)))^2)</f>
        <v>6.7615034363587002E-7</v>
      </c>
      <c r="M82">
        <f>EXP(((-1)/(2*'Cálculos Diversos'!$B$5))*(SQRT(SUMXMY2('Tabela Entrada-Saída'!$B$82:$O$82,'Coordenadas dos Polos'!$FN$2:$GA$2)))^2)</f>
        <v>1.3484455340997775E-5</v>
      </c>
      <c r="N82">
        <f>EXP(((-1)/(2*'Cálculos Diversos'!$B$5))*(SQRT(SUMXMY2('Tabela Entrada-Saída'!$B$82:$O$82,'Coordenadas dos Polos'!$GB$2:$GO$2)))^2)</f>
        <v>3.3209659168347781E-5</v>
      </c>
      <c r="O82">
        <f>EXP(((-1)/(2*'Cálculos Diversos'!$B$5))*(SQRT(SUMXMY2('Tabela Entrada-Saída'!$B$82:$O$82,'Coordenadas dos Polos'!$GP$2:$HC$2)))^2)</f>
        <v>2.7161954288572709E-6</v>
      </c>
      <c r="P82">
        <v>1</v>
      </c>
    </row>
    <row r="83" spans="1:16" x14ac:dyDescent="0.25">
      <c r="A83">
        <v>82</v>
      </c>
      <c r="B83">
        <f>EXP(((-1)/(2*'Cálculos Diversos'!$B$5))*(SQRT(SUMXMY2('Tabela Entrada-Saída'!$B$83:$O$83,'Coordenadas dos Polos'!$P$2:$AC$2)))^2)</f>
        <v>8.9233019854317752E-2</v>
      </c>
      <c r="C83">
        <f>EXP(((-1)/(2*'Cálculos Diversos'!$B$5))*(SQRT(SUMXMY2('Tabela Entrada-Saída'!$B$83:$O$83,'Coordenadas dos Polos'!$AD$2:$AQ$2)))^2)</f>
        <v>7.4869322340692201E-5</v>
      </c>
      <c r="D83">
        <f>EXP(((-1)/(2*'Cálculos Diversos'!$B$5))*(SQRT(SUMXMY2('Tabela Entrada-Saída'!$B$83:$O$83,'Coordenadas dos Polos'!$AR$2:$BE$2)))^2)</f>
        <v>2.7296656928886032E-5</v>
      </c>
      <c r="E83">
        <f>EXP(((-1)/(2*'Cálculos Diversos'!$B$5))*(SQRT(SUMXMY2('Tabela Entrada-Saída'!$B$83:$O$83,'Coordenadas dos Polos'!$BF$2:$BS$2)))^2)</f>
        <v>9.7440537684841884E-5</v>
      </c>
      <c r="F83">
        <f>EXP(((-1)/(2*'Cálculos Diversos'!$B$5))*(SQRT(SUMXMY2('Tabela Entrada-Saída'!$B$83:$O$83,'Coordenadas dos Polos'!$BT$2:$CG$2)))^2)</f>
        <v>2.4602360540819834E-6</v>
      </c>
      <c r="G83">
        <f>EXP(((-1)/(2*'Cálculos Diversos'!$B$5))*(SQRT(SUMXMY2('Tabela Entrada-Saída'!$B$83:$O$83,'Coordenadas dos Polos'!$CH$2:$CU$2)))^2)</f>
        <v>1.26702077994516E-4</v>
      </c>
      <c r="H83">
        <f>EXP(((-1)/(2*'Cálculos Diversos'!$B$5))*(SQRT(SUMXMY2('Tabela Entrada-Saída'!$B$83:$O$83,'Coordenadas dos Polos'!$CV$2:$DI$2)))^2)</f>
        <v>5.9419239162523808E-6</v>
      </c>
      <c r="I83">
        <f>EXP(((-1)/(2*'Cálculos Diversos'!$B$5))*(SQRT(SUMXMY2('Tabela Entrada-Saída'!$B$83:$O$83,'Coordenadas dos Polos'!$DJ$2:$DW$2)))^2)</f>
        <v>2.7034520090643533E-4</v>
      </c>
      <c r="J83">
        <f>EXP(((-1)/(2*'Cálculos Diversos'!$B$5))*(SQRT(SUMXMY2('Tabela Entrada-Saída'!$B$83:$O$83,'Coordenadas dos Polos'!$DX$2:$EK$2)))^2)</f>
        <v>1.0105125303315139E-4</v>
      </c>
      <c r="K83">
        <f>EXP(((-1)/(2*'Cálculos Diversos'!$B$5))*(SQRT(SUMXMY2('Tabela Entrada-Saída'!$B$83:$O$83,'Coordenadas dos Polos'!$EL$2:$EY$2)))^2)</f>
        <v>4.3008139709701797E-6</v>
      </c>
      <c r="L83">
        <f>EXP(((-1)/(2*'Cálculos Diversos'!$B$5))*(SQRT(SUMXMY2('Tabela Entrada-Saída'!$B$83:$O$83,'Coordenadas dos Polos'!$EZ$2:$FM$2)))^2)</f>
        <v>6.0658210352601786E-7</v>
      </c>
      <c r="M83">
        <f>EXP(((-1)/(2*'Cálculos Diversos'!$B$5))*(SQRT(SUMXMY2('Tabela Entrada-Saída'!$B$83:$O$83,'Coordenadas dos Polos'!$FN$2:$GA$2)))^2)</f>
        <v>1.2203239096542798E-5</v>
      </c>
      <c r="N83">
        <f>EXP(((-1)/(2*'Cálculos Diversos'!$B$5))*(SQRT(SUMXMY2('Tabela Entrada-Saída'!$B$83:$O$83,'Coordenadas dos Polos'!$GB$2:$GO$2)))^2)</f>
        <v>3.0257939628914324E-5</v>
      </c>
      <c r="O83">
        <f>EXP(((-1)/(2*'Cálculos Diversos'!$B$5))*(SQRT(SUMXMY2('Tabela Entrada-Saída'!$B$83:$O$83,'Coordenadas dos Polos'!$GP$2:$HC$2)))^2)</f>
        <v>2.5103763864183075E-6</v>
      </c>
      <c r="P83">
        <v>1</v>
      </c>
    </row>
    <row r="84" spans="1:16" x14ac:dyDescent="0.25">
      <c r="A84">
        <v>83</v>
      </c>
      <c r="B84">
        <f>EXP(((-1)/(2*'Cálculos Diversos'!$B$5))*(SQRT(SUMXMY2('Tabela Entrada-Saída'!$B$84:$O$84,'Coordenadas dos Polos'!$P$2:$AC$2)))^2)</f>
        <v>8.5143112799117363E-2</v>
      </c>
      <c r="C84">
        <f>EXP(((-1)/(2*'Cálculos Diversos'!$B$5))*(SQRT(SUMXMY2('Tabela Entrada-Saída'!$B$84:$O$84,'Coordenadas dos Polos'!$AD$2:$AQ$2)))^2)</f>
        <v>7.3688414441928845E-5</v>
      </c>
      <c r="D84">
        <f>EXP(((-1)/(2*'Cálculos Diversos'!$B$5))*(SQRT(SUMXMY2('Tabela Entrada-Saída'!$B$84:$O$84,'Coordenadas dos Polos'!$AR$2:$BE$2)))^2)</f>
        <v>2.7295165988273404E-5</v>
      </c>
      <c r="E84">
        <f>EXP(((-1)/(2*'Cálculos Diversos'!$B$5))*(SQRT(SUMXMY2('Tabela Entrada-Saída'!$B$84:$O$84,'Coordenadas dos Polos'!$BF$2:$BS$2)))^2)</f>
        <v>9.4175412312506794E-5</v>
      </c>
      <c r="F84">
        <f>EXP(((-1)/(2*'Cálculos Diversos'!$B$5))*(SQRT(SUMXMY2('Tabela Entrada-Saída'!$B$84:$O$84,'Coordenadas dos Polos'!$BT$2:$CG$2)))^2)</f>
        <v>2.3567052318896597E-6</v>
      </c>
      <c r="G84">
        <f>EXP(((-1)/(2*'Cálculos Diversos'!$B$5))*(SQRT(SUMXMY2('Tabela Entrada-Saída'!$B$84:$O$84,'Coordenadas dos Polos'!$CH$2:$CU$2)))^2)</f>
        <v>1.2617883871152518E-4</v>
      </c>
      <c r="H84">
        <f>EXP(((-1)/(2*'Cálculos Diversos'!$B$5))*(SQRT(SUMXMY2('Tabela Entrada-Saída'!$B$84:$O$84,'Coordenadas dos Polos'!$CV$2:$DI$2)))^2)</f>
        <v>5.902539502701324E-6</v>
      </c>
      <c r="I84">
        <f>EXP(((-1)/(2*'Cálculos Diversos'!$B$5))*(SQRT(SUMXMY2('Tabela Entrada-Saída'!$B$84:$O$84,'Coordenadas dos Polos'!$DJ$2:$DW$2)))^2)</f>
        <v>2.725364693673702E-4</v>
      </c>
      <c r="J84">
        <f>EXP(((-1)/(2*'Cálculos Diversos'!$B$5))*(SQRT(SUMXMY2('Tabela Entrada-Saída'!$B$84:$O$84,'Coordenadas dos Polos'!$DX$2:$EK$2)))^2)</f>
        <v>1.0014188948960993E-4</v>
      </c>
      <c r="K84">
        <f>EXP(((-1)/(2*'Cálculos Diversos'!$B$5))*(SQRT(SUMXMY2('Tabela Entrada-Saída'!$B$84:$O$84,'Coordenadas dos Polos'!$EL$2:$EY$2)))^2)</f>
        <v>4.2969321187970116E-6</v>
      </c>
      <c r="L84">
        <f>EXP(((-1)/(2*'Cálculos Diversos'!$B$5))*(SQRT(SUMXMY2('Tabela Entrada-Saída'!$B$84:$O$84,'Coordenadas dos Polos'!$EZ$2:$FM$2)))^2)</f>
        <v>5.8449837569875984E-7</v>
      </c>
      <c r="M84">
        <f>EXP(((-1)/(2*'Cálculos Diversos'!$B$5))*(SQRT(SUMXMY2('Tabela Entrada-Saída'!$B$84:$O$84,'Coordenadas dos Polos'!$FN$2:$GA$2)))^2)</f>
        <v>1.179181687678252E-5</v>
      </c>
      <c r="N84">
        <f>EXP(((-1)/(2*'Cálculos Diversos'!$B$5))*(SQRT(SUMXMY2('Tabela Entrada-Saída'!$B$84:$O$84,'Coordenadas dos Polos'!$GB$2:$GO$2)))^2)</f>
        <v>2.9313991492337267E-5</v>
      </c>
      <c r="O84">
        <f>EXP(((-1)/(2*'Cálculos Diversos'!$B$5))*(SQRT(SUMXMY2('Tabela Entrada-Saída'!$B$84:$O$84,'Coordenadas dos Polos'!$GP$2:$HC$2)))^2)</f>
        <v>2.442331560534388E-6</v>
      </c>
      <c r="P84">
        <v>1</v>
      </c>
    </row>
    <row r="85" spans="1:16" x14ac:dyDescent="0.25">
      <c r="A85">
        <v>84</v>
      </c>
      <c r="B85">
        <f>EXP(((-1)/(2*'Cálculos Diversos'!$B$5))*(SQRT(SUMXMY2('Tabela Entrada-Saída'!$B$85:$O$85,'Coordenadas dos Polos'!$P$2:$AC$2)))^2)</f>
        <v>0.10278072646058942</v>
      </c>
      <c r="C85">
        <f>EXP(((-1)/(2*'Cálculos Diversos'!$B$5))*(SQRT(SUMXMY2('Tabela Entrada-Saída'!$B$85:$O$85,'Coordenadas dos Polos'!$AD$2:$AQ$2)))^2)</f>
        <v>7.8356483442564741E-5</v>
      </c>
      <c r="D85">
        <f>EXP(((-1)/(2*'Cálculos Diversos'!$B$5))*(SQRT(SUMXMY2('Tabela Entrada-Saída'!$B$85:$O$85,'Coordenadas dos Polos'!$AR$2:$BE$2)))^2)</f>
        <v>2.720726078767258E-5</v>
      </c>
      <c r="E85">
        <f>EXP(((-1)/(2*'Cálculos Diversos'!$B$5))*(SQRT(SUMXMY2('Tabela Entrada-Saída'!$B$85:$O$85,'Coordenadas dos Polos'!$BF$2:$BS$2)))^2)</f>
        <v>1.0787251986806156E-4</v>
      </c>
      <c r="F85">
        <f>EXP(((-1)/(2*'Cálculos Diversos'!$B$5))*(SQRT(SUMXMY2('Tabela Entrada-Saída'!$B$85:$O$85,'Coordenadas dos Polos'!$BT$2:$CG$2)))^2)</f>
        <v>2.8006096142718356E-6</v>
      </c>
      <c r="G85">
        <f>EXP(((-1)/(2*'Cálculos Diversos'!$B$5))*(SQRT(SUMXMY2('Tabela Entrada-Saída'!$B$85:$O$85,'Coordenadas dos Polos'!$CH$2:$CU$2)))^2)</f>
        <v>1.2783381330084892E-4</v>
      </c>
      <c r="H85">
        <f>EXP(((-1)/(2*'Cálculos Diversos'!$B$5))*(SQRT(SUMXMY2('Tabela Entrada-Saída'!$B$85:$O$85,'Coordenadas dos Polos'!$CV$2:$DI$2)))^2)</f>
        <v>6.0449478018255001E-6</v>
      </c>
      <c r="I85">
        <f>EXP(((-1)/(2*'Cálculos Diversos'!$B$5))*(SQRT(SUMXMY2('Tabela Entrada-Saída'!$B$85:$O$85,'Coordenadas dos Polos'!$DJ$2:$DW$2)))^2)</f>
        <v>2.6272232944816933E-4</v>
      </c>
      <c r="J85">
        <f>EXP(((-1)/(2*'Cálculos Diversos'!$B$5))*(SQRT(SUMXMY2('Tabela Entrada-Saída'!$B$85:$O$85,'Coordenadas dos Polos'!$DX$2:$EK$2)))^2)</f>
        <v>1.0354333496324464E-4</v>
      </c>
      <c r="K85">
        <f>EXP(((-1)/(2*'Cálculos Diversos'!$B$5))*(SQRT(SUMXMY2('Tabela Entrada-Saída'!$B$85:$O$85,'Coordenadas dos Polos'!$EL$2:$EY$2)))^2)</f>
        <v>4.2967369084236015E-6</v>
      </c>
      <c r="L85">
        <f>EXP(((-1)/(2*'Cálculos Diversos'!$B$5))*(SQRT(SUMXMY2('Tabela Entrada-Saída'!$B$85:$O$85,'Coordenadas dos Polos'!$EZ$2:$FM$2)))^2)</f>
        <v>6.7803900393899652E-7</v>
      </c>
      <c r="M85">
        <f>EXP(((-1)/(2*'Cálculos Diversos'!$B$5))*(SQRT(SUMXMY2('Tabela Entrada-Saída'!$B$85:$O$85,'Coordenadas dos Polos'!$FN$2:$GA$2)))^2)</f>
        <v>1.3520499816363486E-5</v>
      </c>
      <c r="N85">
        <f>EXP(((-1)/(2*'Cálculos Diversos'!$B$5))*(SQRT(SUMXMY2('Tabela Entrada-Saída'!$B$85:$O$85,'Coordenadas dos Polos'!$GB$2:$GO$2)))^2)</f>
        <v>3.32614300246816E-5</v>
      </c>
      <c r="O85">
        <f>EXP(((-1)/(2*'Cálculos Diversos'!$B$5))*(SQRT(SUMXMY2('Tabela Entrada-Saída'!$B$85:$O$85,'Coordenadas dos Polos'!$GP$2:$HC$2)))^2)</f>
        <v>2.7226265071594697E-6</v>
      </c>
      <c r="P85">
        <v>1</v>
      </c>
    </row>
    <row r="86" spans="1:16" x14ac:dyDescent="0.25">
      <c r="A86">
        <v>85</v>
      </c>
      <c r="B86">
        <f>EXP(((-1)/(2*'Cálculos Diversos'!$B$5))*(SQRT(SUMXMY2('Tabela Entrada-Saída'!$B$86:$O$86,'Coordenadas dos Polos'!$P$2:$AC$2)))^2)</f>
        <v>8.3293147329383727E-2</v>
      </c>
      <c r="C86">
        <f>EXP(((-1)/(2*'Cálculos Diversos'!$B$5))*(SQRT(SUMXMY2('Tabela Entrada-Saída'!$B$86:$O$86,'Coordenadas dos Polos'!$AD$2:$AQ$2)))^2)</f>
        <v>7.3130466084106205E-5</v>
      </c>
      <c r="D86">
        <f>EXP(((-1)/(2*'Cálculos Diversos'!$B$5))*(SQRT(SUMXMY2('Tabela Entrada-Saída'!$B$86:$O$86,'Coordenadas dos Polos'!$AR$2:$BE$2)))^2)</f>
        <v>2.7287755591804509E-5</v>
      </c>
      <c r="E86">
        <f>EXP(((-1)/(2*'Cálculos Diversos'!$B$5))*(SQRT(SUMXMY2('Tabela Entrada-Saída'!$B$86:$O$86,'Coordenadas dos Polos'!$BF$2:$BS$2)))^2)</f>
        <v>9.2674830624045213E-5</v>
      </c>
      <c r="F86">
        <f>EXP(((-1)/(2*'Cálculos Diversos'!$B$5))*(SQRT(SUMXMY2('Tabela Entrada-Saída'!$B$86:$O$86,'Coordenadas dos Polos'!$BT$2:$CG$2)))^2)</f>
        <v>2.3090288597846253E-6</v>
      </c>
      <c r="G86">
        <f>EXP(((-1)/(2*'Cálculos Diversos'!$B$5))*(SQRT(SUMXMY2('Tabela Entrada-Saída'!$B$86:$O$86,'Coordenadas dos Polos'!$CH$2:$CU$2)))^2)</f>
        <v>1.2589646734222106E-4</v>
      </c>
      <c r="H86">
        <f>EXP(((-1)/(2*'Cálculos Diversos'!$B$5))*(SQRT(SUMXMY2('Tabela Entrada-Saída'!$B$86:$O$86,'Coordenadas dos Polos'!$CV$2:$DI$2)))^2)</f>
        <v>5.8831694346588287E-6</v>
      </c>
      <c r="I86">
        <f>EXP(((-1)/(2*'Cálculos Diversos'!$B$5))*(SQRT(SUMXMY2('Tabela Entrada-Saída'!$B$86:$O$86,'Coordenadas dos Polos'!$DJ$2:$DW$2)))^2)</f>
        <v>2.7348893685215614E-4</v>
      </c>
      <c r="J86">
        <f>EXP(((-1)/(2*'Cálculos Diversos'!$B$5))*(SQRT(SUMXMY2('Tabela Entrada-Saída'!$B$86:$O$86,'Coordenadas dos Polos'!$DX$2:$EK$2)))^2)</f>
        <v>9.9672441041526925E-5</v>
      </c>
      <c r="K86">
        <f>EXP(((-1)/(2*'Cálculos Diversos'!$B$5))*(SQRT(SUMXMY2('Tabela Entrada-Saída'!$B$86:$O$86,'Coordenadas dos Polos'!$EL$2:$EY$2)))^2)</f>
        <v>4.2946030348602002E-6</v>
      </c>
      <c r="L86">
        <f>EXP(((-1)/(2*'Cálculos Diversos'!$B$5))*(SQRT(SUMXMY2('Tabela Entrada-Saída'!$B$86:$O$86,'Coordenadas dos Polos'!$EZ$2:$FM$2)))^2)</f>
        <v>5.7427946923473296E-7</v>
      </c>
      <c r="M86">
        <f>EXP(((-1)/(2*'Cálculos Diversos'!$B$5))*(SQRT(SUMXMY2('Tabela Entrada-Saída'!$B$86:$O$86,'Coordenadas dos Polos'!$FN$2:$GA$2)))^2)</f>
        <v>1.1602563588627512E-5</v>
      </c>
      <c r="N86">
        <f>EXP(((-1)/(2*'Cálculos Diversos'!$B$5))*(SQRT(SUMXMY2('Tabela Entrada-Saída'!$B$86:$O$86,'Coordenadas dos Polos'!$GB$2:$GO$2)))^2)</f>
        <v>2.8879235792904908E-5</v>
      </c>
      <c r="O86">
        <f>EXP(((-1)/(2*'Cálculos Diversos'!$B$5))*(SQRT(SUMXMY2('Tabela Entrada-Saída'!$B$86:$O$86,'Coordenadas dos Polos'!$GP$2:$HC$2)))^2)</f>
        <v>2.4106573629417115E-6</v>
      </c>
      <c r="P86">
        <v>1</v>
      </c>
    </row>
    <row r="87" spans="1:16" x14ac:dyDescent="0.25">
      <c r="A87">
        <v>86</v>
      </c>
      <c r="B87">
        <f>EXP(((-1)/(2*'Cálculos Diversos'!$B$5))*(SQRT(SUMXMY2('Tabela Entrada-Saída'!$B$87:$O$87,'Coordenadas dos Polos'!$P$2:$AC$2)))^2)</f>
        <v>8.5515136797971764E-2</v>
      </c>
      <c r="C87">
        <f>EXP(((-1)/(2*'Cálculos Diversos'!$B$5))*(SQRT(SUMXMY2('Tabela Entrada-Saída'!$B$87:$O$87,'Coordenadas dos Polos'!$AD$2:$AQ$2)))^2)</f>
        <v>7.3789305771388157E-5</v>
      </c>
      <c r="D87">
        <f>EXP(((-1)/(2*'Cálculos Diversos'!$B$5))*(SQRT(SUMXMY2('Tabela Entrada-Saída'!$B$87:$O$87,'Coordenadas dos Polos'!$AR$2:$BE$2)))^2)</f>
        <v>2.7293797584248271E-5</v>
      </c>
      <c r="E87">
        <f>EXP(((-1)/(2*'Cálculos Diversos'!$B$5))*(SQRT(SUMXMY2('Tabela Entrada-Saída'!$B$87:$O$87,'Coordenadas dos Polos'!$BF$2:$BS$2)))^2)</f>
        <v>9.4474616968435058E-5</v>
      </c>
      <c r="F87">
        <f>EXP(((-1)/(2*'Cálculos Diversos'!$B$5))*(SQRT(SUMXMY2('Tabela Entrada-Saída'!$B$87:$O$87,'Coordenadas dos Polos'!$BT$2:$CG$2)))^2)</f>
        <v>2.3660597218271459E-6</v>
      </c>
      <c r="G87">
        <f>EXP(((-1)/(2*'Cálculos Diversos'!$B$5))*(SQRT(SUMXMY2('Tabela Entrada-Saída'!$B$87:$O$87,'Coordenadas dos Polos'!$CH$2:$CU$2)))^2)</f>
        <v>1.2622644924235421E-4</v>
      </c>
      <c r="H87">
        <f>EXP(((-1)/(2*'Cálculos Diversos'!$B$5))*(SQRT(SUMXMY2('Tabela Entrada-Saída'!$B$87:$O$87,'Coordenadas dos Polos'!$CV$2:$DI$2)))^2)</f>
        <v>5.9047527940403495E-6</v>
      </c>
      <c r="I87">
        <f>EXP(((-1)/(2*'Cálculos Diversos'!$B$5))*(SQRT(SUMXMY2('Tabela Entrada-Saída'!$B$87:$O$87,'Coordenadas dos Polos'!$DJ$2:$DW$2)))^2)</f>
        <v>2.7234900749471353E-4</v>
      </c>
      <c r="J87">
        <f>EXP(((-1)/(2*'Cálculos Diversos'!$B$5))*(SQRT(SUMXMY2('Tabela Entrada-Saída'!$B$87:$O$87,'Coordenadas dos Polos'!$DX$2:$EK$2)))^2)</f>
        <v>1.0021175034863779E-4</v>
      </c>
      <c r="K87">
        <f>EXP(((-1)/(2*'Cálculos Diversos'!$B$5))*(SQRT(SUMXMY2('Tabela Entrada-Saída'!$B$87:$O$87,'Coordenadas dos Polos'!$EL$2:$EY$2)))^2)</f>
        <v>4.296937717413318E-6</v>
      </c>
      <c r="L87">
        <f>EXP(((-1)/(2*'Cálculos Diversos'!$B$5))*(SQRT(SUMXMY2('Tabela Entrada-Saída'!$B$87:$O$87,'Coordenadas dos Polos'!$EZ$2:$FM$2)))^2)</f>
        <v>5.8647148970778839E-7</v>
      </c>
      <c r="M87">
        <f>EXP(((-1)/(2*'Cálculos Diversos'!$B$5))*(SQRT(SUMXMY2('Tabela Entrada-Saída'!$B$87:$O$87,'Coordenadas dos Polos'!$FN$2:$GA$2)))^2)</f>
        <v>1.1828886013548264E-5</v>
      </c>
      <c r="N87">
        <f>EXP(((-1)/(2*'Cálculos Diversos'!$B$5))*(SQRT(SUMXMY2('Tabela Entrada-Saída'!$B$87:$O$87,'Coordenadas dos Polos'!$GB$2:$GO$2)))^2)</f>
        <v>2.9393683108925191E-5</v>
      </c>
      <c r="O87">
        <f>EXP(((-1)/(2*'Cálculos Diversos'!$B$5))*(SQRT(SUMXMY2('Tabela Entrada-Saída'!$B$87:$O$87,'Coordenadas dos Polos'!$GP$2:$HC$2)))^2)</f>
        <v>2.4486425278549937E-6</v>
      </c>
      <c r="P87">
        <v>1</v>
      </c>
    </row>
    <row r="88" spans="1:16" x14ac:dyDescent="0.25">
      <c r="A88">
        <v>87</v>
      </c>
      <c r="B88">
        <f>EXP(((-1)/(2*'Cálculos Diversos'!$B$5))*(SQRT(SUMXMY2('Tabela Entrada-Saída'!$B$88:$O$88,'Coordenadas dos Polos'!$P$2:$AC$2)))^2)</f>
        <v>9.1383021806502374E-2</v>
      </c>
      <c r="C88">
        <f>EXP(((-1)/(2*'Cálculos Diversos'!$B$5))*(SQRT(SUMXMY2('Tabela Entrada-Saída'!$B$88:$O$88,'Coordenadas dos Polos'!$AD$2:$AQ$2)))^2)</f>
        <v>7.5479317446234216E-5</v>
      </c>
      <c r="D88">
        <f>EXP(((-1)/(2*'Cálculos Diversos'!$B$5))*(SQRT(SUMXMY2('Tabela Entrada-Saída'!$B$88:$O$88,'Coordenadas dos Polos'!$AR$2:$BE$2)))^2)</f>
        <v>2.7299181948680136E-5</v>
      </c>
      <c r="E88">
        <f>EXP(((-1)/(2*'Cálculos Diversos'!$B$5))*(SQRT(SUMXMY2('Tabela Entrada-Saída'!$B$88:$O$88,'Coordenadas dos Polos'!$BF$2:$BS$2)))^2)</f>
        <v>9.9140958155890122E-5</v>
      </c>
      <c r="F88">
        <f>EXP(((-1)/(2*'Cálculos Diversos'!$B$5))*(SQRT(SUMXMY2('Tabela Entrada-Saída'!$B$88:$O$88,'Coordenadas dos Polos'!$BT$2:$CG$2)))^2)</f>
        <v>2.5147071172432832E-6</v>
      </c>
      <c r="G88">
        <f>EXP(((-1)/(2*'Cálculos Diversos'!$B$5))*(SQRT(SUMXMY2('Tabela Entrada-Saída'!$B$88:$O$88,'Coordenadas dos Polos'!$CH$2:$CU$2)))^2)</f>
        <v>1.2694010118708223E-4</v>
      </c>
      <c r="H88">
        <f>EXP(((-1)/(2*'Cálculos Diversos'!$B$5))*(SQRT(SUMXMY2('Tabela Entrada-Saída'!$B$88:$O$88,'Coordenadas dos Polos'!$CV$2:$DI$2)))^2)</f>
        <v>5.9633453469699638E-6</v>
      </c>
      <c r="I88">
        <f>EXP(((-1)/(2*'Cálculos Diversos'!$B$5))*(SQRT(SUMXMY2('Tabela Entrada-Saída'!$B$88:$O$88,'Coordenadas dos Polos'!$DJ$2:$DW$2)))^2)</f>
        <v>2.6920877650841389E-4</v>
      </c>
      <c r="J88">
        <f>EXP(((-1)/(2*'Cálculos Diversos'!$B$5))*(SQRT(SUMXMY2('Tabela Entrada-Saída'!$B$88:$O$88,'Coordenadas dos Polos'!$DX$2:$EK$2)))^2)</f>
        <v>1.0150860556989533E-4</v>
      </c>
      <c r="K88">
        <f>EXP(((-1)/(2*'Cálculos Diversos'!$B$5))*(SQRT(SUMXMY2('Tabela Entrada-Saída'!$B$88:$O$88,'Coordenadas dos Polos'!$EL$2:$EY$2)))^2)</f>
        <v>4.3027616697963358E-6</v>
      </c>
      <c r="L88">
        <f>EXP(((-1)/(2*'Cálculos Diversos'!$B$5))*(SQRT(SUMXMY2('Tabela Entrada-Saída'!$B$88:$O$88,'Coordenadas dos Polos'!$EZ$2:$FM$2)))^2)</f>
        <v>6.1820293851785713E-7</v>
      </c>
      <c r="M88">
        <f>EXP(((-1)/(2*'Cálculos Diversos'!$B$5))*(SQRT(SUMXMY2('Tabela Entrada-Saída'!$B$88:$O$88,'Coordenadas dos Polos'!$FN$2:$GA$2)))^2)</f>
        <v>1.2418632845949803E-5</v>
      </c>
      <c r="N88">
        <f>EXP(((-1)/(2*'Cálculos Diversos'!$B$5))*(SQRT(SUMXMY2('Tabela Entrada-Saída'!$B$88:$O$88,'Coordenadas dos Polos'!$GB$2:$GO$2)))^2)</f>
        <v>3.0756674941517736E-5</v>
      </c>
      <c r="O88">
        <f>EXP(((-1)/(2*'Cálculos Diversos'!$B$5))*(SQRT(SUMXMY2('Tabela Entrada-Saída'!$B$88:$O$88,'Coordenadas dos Polos'!$GP$2:$HC$2)))^2)</f>
        <v>2.545338089416423E-6</v>
      </c>
      <c r="P88">
        <v>1</v>
      </c>
    </row>
    <row r="89" spans="1:16" x14ac:dyDescent="0.25">
      <c r="A89">
        <v>88</v>
      </c>
      <c r="B89">
        <f>EXP(((-1)/(2*'Cálculos Diversos'!$B$5))*(SQRT(SUMXMY2('Tabela Entrada-Saída'!$B$89:$O$89,'Coordenadas dos Polos'!$P$2:$AC$2)))^2)</f>
        <v>8.3469608252538366E-2</v>
      </c>
      <c r="C89">
        <f>EXP(((-1)/(2*'Cálculos Diversos'!$B$5))*(SQRT(SUMXMY2('Tabela Entrada-Saída'!$B$89:$O$89,'Coordenadas dos Polos'!$AD$2:$AQ$2)))^2)</f>
        <v>7.3179929552683739E-5</v>
      </c>
      <c r="D89">
        <f>EXP(((-1)/(2*'Cálculos Diversos'!$B$5))*(SQRT(SUMXMY2('Tabela Entrada-Saída'!$B$89:$O$89,'Coordenadas dos Polos'!$AR$2:$BE$2)))^2)</f>
        <v>2.7286796671005247E-5</v>
      </c>
      <c r="E89">
        <f>EXP(((-1)/(2*'Cálculos Diversos'!$B$5))*(SQRT(SUMXMY2('Tabela Entrada-Saída'!$B$89:$O$89,'Coordenadas dos Polos'!$BF$2:$BS$2)))^2)</f>
        <v>9.2817719379342366E-5</v>
      </c>
      <c r="F89">
        <f>EXP(((-1)/(2*'Cálculos Diversos'!$B$5))*(SQRT(SUMXMY2('Tabela Entrada-Saída'!$B$89:$O$89,'Coordenadas dos Polos'!$BT$2:$CG$2)))^2)</f>
        <v>2.313828852196985E-6</v>
      </c>
      <c r="G89">
        <f>EXP(((-1)/(2*'Cálculos Diversos'!$B$5))*(SQRT(SUMXMY2('Tabela Entrada-Saída'!$B$89:$O$89,'Coordenadas dos Polos'!$CH$2:$CU$2)))^2)</f>
        <v>1.2592982561018069E-4</v>
      </c>
      <c r="H89">
        <f>EXP(((-1)/(2*'Cálculos Diversos'!$B$5))*(SQRT(SUMXMY2('Tabela Entrada-Saída'!$B$89:$O$89,'Coordenadas dos Polos'!$CV$2:$DI$2)))^2)</f>
        <v>5.8843862483455598E-6</v>
      </c>
      <c r="I89">
        <f>EXP(((-1)/(2*'Cálculos Diversos'!$B$5))*(SQRT(SUMXMY2('Tabela Entrada-Saída'!$B$89:$O$89,'Coordenadas dos Polos'!$DJ$2:$DW$2)))^2)</f>
        <v>2.7338841399962002E-4</v>
      </c>
      <c r="J89">
        <f>EXP(((-1)/(2*'Cálculos Diversos'!$B$5))*(SQRT(SUMXMY2('Tabela Entrada-Saída'!$B$89:$O$89,'Coordenadas dos Polos'!$DX$2:$EK$2)))^2)</f>
        <v>9.9728449591167617E-5</v>
      </c>
      <c r="K89">
        <f>EXP(((-1)/(2*'Cálculos Diversos'!$B$5))*(SQRT(SUMXMY2('Tabela Entrada-Saída'!$B$89:$O$89,'Coordenadas dos Polos'!$EL$2:$EY$2)))^2)</f>
        <v>4.2943848522659425E-6</v>
      </c>
      <c r="L89">
        <f>EXP(((-1)/(2*'Cálculos Diversos'!$B$5))*(SQRT(SUMXMY2('Tabela Entrada-Saída'!$B$89:$O$89,'Coordenadas dos Polos'!$EZ$2:$FM$2)))^2)</f>
        <v>5.7528923179829946E-7</v>
      </c>
      <c r="M89">
        <f>EXP(((-1)/(2*'Cálculos Diversos'!$B$5))*(SQRT(SUMXMY2('Tabela Entrada-Saída'!$B$89:$O$89,'Coordenadas dos Polos'!$FN$2:$GA$2)))^2)</f>
        <v>1.1620373679243836E-5</v>
      </c>
      <c r="N89">
        <f>EXP(((-1)/(2*'Cálculos Diversos'!$B$5))*(SQRT(SUMXMY2('Tabela Entrada-Saída'!$B$89:$O$89,'Coordenadas dos Polos'!$GB$2:$GO$2)))^2)</f>
        <v>2.8919165979765999E-5</v>
      </c>
      <c r="O89">
        <f>EXP(((-1)/(2*'Cálculos Diversos'!$B$5))*(SQRT(SUMXMY2('Tabela Entrada-Saída'!$B$89:$O$89,'Coordenadas dos Polos'!$GP$2:$HC$2)))^2)</f>
        <v>2.4138096801793711E-6</v>
      </c>
      <c r="P89">
        <v>1</v>
      </c>
    </row>
    <row r="90" spans="1:16" x14ac:dyDescent="0.25">
      <c r="A90">
        <v>89</v>
      </c>
      <c r="B90">
        <f>EXP(((-1)/(2*'Cálculos Diversos'!$B$5))*(SQRT(SUMXMY2('Tabela Entrada-Saída'!$B$90:$O$90,'Coordenadas dos Polos'!$P$2:$AC$2)))^2)</f>
        <v>9.8469450491923141E-2</v>
      </c>
      <c r="C90">
        <f>EXP(((-1)/(2*'Cálculos Diversos'!$B$5))*(SQRT(SUMXMY2('Tabela Entrada-Saída'!$B$90:$O$90,'Coordenadas dos Polos'!$AD$2:$AQ$2)))^2)</f>
        <v>7.7356424740742939E-5</v>
      </c>
      <c r="D90">
        <f>EXP(((-1)/(2*'Cálculos Diversos'!$B$5))*(SQRT(SUMXMY2('Tabela Entrada-Saída'!$B$90:$O$90,'Coordenadas dos Polos'!$AR$2:$BE$2)))^2)</f>
        <v>2.7261828659683473E-5</v>
      </c>
      <c r="E90">
        <f>EXP(((-1)/(2*'Cálculos Diversos'!$B$5))*(SQRT(SUMXMY2('Tabela Entrada-Saída'!$B$90:$O$90,'Coordenadas dos Polos'!$BF$2:$BS$2)))^2)</f>
        <v>1.0462037319856344E-4</v>
      </c>
      <c r="F90">
        <f>EXP(((-1)/(2*'Cálculos Diversos'!$B$5))*(SQRT(SUMXMY2('Tabela Entrada-Saída'!$B$90:$O$90,'Coordenadas dos Polos'!$BT$2:$CG$2)))^2)</f>
        <v>2.6930154456134563E-6</v>
      </c>
      <c r="G90">
        <f>EXP(((-1)/(2*'Cálculos Diversos'!$B$5))*(SQRT(SUMXMY2('Tabela Entrada-Saída'!$B$90:$O$90,'Coordenadas dos Polos'!$CH$2:$CU$2)))^2)</f>
        <v>1.2758028677584295E-4</v>
      </c>
      <c r="H90">
        <f>EXP(((-1)/(2*'Cálculos Diversos'!$B$5))*(SQRT(SUMXMY2('Tabela Entrada-Saída'!$B$90:$O$90,'Coordenadas dos Polos'!$CV$2:$DI$2)))^2)</f>
        <v>6.0233775568729938E-6</v>
      </c>
      <c r="I90">
        <f>EXP(((-1)/(2*'Cálculos Diversos'!$B$5))*(SQRT(SUMXMY2('Tabela Entrada-Saída'!$B$90:$O$90,'Coordenadas dos Polos'!$DJ$2:$DW$2)))^2)</f>
        <v>2.6518851942776753E-4</v>
      </c>
      <c r="J90">
        <f>EXP(((-1)/(2*'Cálculos Diversos'!$B$5))*(SQRT(SUMXMY2('Tabela Entrada-Saída'!$B$90:$O$90,'Coordenadas dos Polos'!$DX$2:$EK$2)))^2)</f>
        <v>1.0289073440581932E-4</v>
      </c>
      <c r="K90">
        <f>EXP(((-1)/(2*'Cálculos Diversos'!$B$5))*(SQRT(SUMXMY2('Tabela Entrada-Saída'!$B$90:$O$90,'Coordenadas dos Polos'!$EL$2:$EY$2)))^2)</f>
        <v>4.3029584654601004E-6</v>
      </c>
      <c r="L90">
        <f>EXP(((-1)/(2*'Cálculos Diversos'!$B$5))*(SQRT(SUMXMY2('Tabela Entrada-Saída'!$B$90:$O$90,'Coordenadas dos Polos'!$EZ$2:$FM$2)))^2)</f>
        <v>6.5580984187314819E-7</v>
      </c>
      <c r="M90">
        <f>EXP(((-1)/(2*'Cálculos Diversos'!$B$5))*(SQRT(SUMXMY2('Tabela Entrada-Saída'!$B$90:$O$90,'Coordenadas dos Polos'!$FN$2:$GA$2)))^2)</f>
        <v>1.3112126217803562E-5</v>
      </c>
      <c r="N90">
        <f>EXP(((-1)/(2*'Cálculos Diversos'!$B$5))*(SQRT(SUMXMY2('Tabela Entrada-Saída'!$B$90:$O$90,'Coordenadas dos Polos'!$GB$2:$GO$2)))^2)</f>
        <v>3.23587436522459E-5</v>
      </c>
      <c r="O90">
        <f>EXP(((-1)/(2*'Cálculos Diversos'!$B$5))*(SQRT(SUMXMY2('Tabela Entrada-Saída'!$B$90:$O$90,'Coordenadas dos Polos'!$GP$2:$HC$2)))^2)</f>
        <v>2.6570605655791219E-6</v>
      </c>
      <c r="P90">
        <v>1</v>
      </c>
    </row>
    <row r="91" spans="1:16" x14ac:dyDescent="0.25">
      <c r="A91">
        <v>90</v>
      </c>
      <c r="B91">
        <f>EXP(((-1)/(2*'Cálculos Diversos'!$B$5))*(SQRT(SUMXMY2('Tabela Entrada-Saída'!$B$91:$O$91,'Coordenadas dos Polos'!$P$2:$AC$2)))^2)</f>
        <v>8.8764434414830978E-2</v>
      </c>
      <c r="C91">
        <f>EXP(((-1)/(2*'Cálculos Diversos'!$B$5))*(SQRT(SUMXMY2('Tabela Entrada-Saída'!$B$91:$O$91,'Coordenadas dos Polos'!$AD$2:$AQ$2)))^2)</f>
        <v>7.4709805671989619E-5</v>
      </c>
      <c r="D91">
        <f>EXP(((-1)/(2*'Cálculos Diversos'!$B$5))*(SQRT(SUMXMY2('Tabela Entrada-Saída'!$B$91:$O$91,'Coordenadas dos Polos'!$AR$2:$BE$2)))^2)</f>
        <v>2.7290708746116285E-5</v>
      </c>
      <c r="E91">
        <f>EXP(((-1)/(2*'Cálculos Diversos'!$B$5))*(SQRT(SUMXMY2('Tabela Entrada-Saída'!$B$91:$O$91,'Coordenadas dos Polos'!$BF$2:$BS$2)))^2)</f>
        <v>9.7059085211627461E-5</v>
      </c>
      <c r="F91">
        <f>EXP(((-1)/(2*'Cálculos Diversos'!$B$5))*(SQRT(SUMXMY2('Tabela Entrada-Saída'!$B$91:$O$91,'Coordenadas dos Polos'!$BT$2:$CG$2)))^2)</f>
        <v>2.4481229369074938E-6</v>
      </c>
      <c r="G91">
        <f>EXP(((-1)/(2*'Cálculos Diversos'!$B$5))*(SQRT(SUMXMY2('Tabela Entrada-Saída'!$B$91:$O$91,'Coordenadas dos Polos'!$CH$2:$CU$2)))^2)</f>
        <v>1.2662538797899252E-4</v>
      </c>
      <c r="H91">
        <f>EXP(((-1)/(2*'Cálculos Diversos'!$B$5))*(SQRT(SUMXMY2('Tabela Entrada-Saída'!$B$91:$O$91,'Coordenadas dos Polos'!$CV$2:$DI$2)))^2)</f>
        <v>5.9339086278514359E-6</v>
      </c>
      <c r="I91">
        <f>EXP(((-1)/(2*'Cálculos Diversos'!$B$5))*(SQRT(SUMXMY2('Tabela Entrada-Saída'!$B$91:$O$91,'Coordenadas dos Polos'!$DJ$2:$DW$2)))^2)</f>
        <v>2.7059325258586397E-4</v>
      </c>
      <c r="J91">
        <f>EXP(((-1)/(2*'Cálculos Diversos'!$B$5))*(SQRT(SUMXMY2('Tabela Entrada-Saída'!$B$91:$O$91,'Coordenadas dos Polos'!$DX$2:$EK$2)))^2)</f>
        <v>1.0091355250031822E-4</v>
      </c>
      <c r="K91">
        <f>EXP(((-1)/(2*'Cálculos Diversos'!$B$5))*(SQRT(SUMXMY2('Tabela Entrada-Saída'!$B$91:$O$91,'Coordenadas dos Polos'!$EL$2:$EY$2)))^2)</f>
        <v>4.2990212871347338E-6</v>
      </c>
      <c r="L91">
        <f>EXP(((-1)/(2*'Cálculos Diversos'!$B$5))*(SQRT(SUMXMY2('Tabela Entrada-Saída'!$B$91:$O$91,'Coordenadas dos Polos'!$EZ$2:$FM$2)))^2)</f>
        <v>6.0392118040936702E-7</v>
      </c>
      <c r="M91">
        <f>EXP(((-1)/(2*'Cálculos Diversos'!$B$5))*(SQRT(SUMXMY2('Tabela Entrada-Saída'!$B$91:$O$91,'Coordenadas dos Polos'!$FN$2:$GA$2)))^2)</f>
        <v>1.215389085863541E-5</v>
      </c>
      <c r="N91">
        <f>EXP(((-1)/(2*'Cálculos Diversos'!$B$5))*(SQRT(SUMXMY2('Tabela Entrada-Saída'!$B$91:$O$91,'Coordenadas dos Polos'!$GB$2:$GO$2)))^2)</f>
        <v>3.0133977781274592E-5</v>
      </c>
      <c r="O91">
        <f>EXP(((-1)/(2*'Cálculos Diversos'!$B$5))*(SQRT(SUMXMY2('Tabela Entrada-Saída'!$B$91:$O$91,'Coordenadas dos Polos'!$GP$2:$HC$2)))^2)</f>
        <v>2.502505822246592E-6</v>
      </c>
      <c r="P91">
        <v>1</v>
      </c>
    </row>
    <row r="92" spans="1:16" x14ac:dyDescent="0.25">
      <c r="A92">
        <v>91</v>
      </c>
      <c r="B92">
        <f>EXP(((-1)/(2*'Cálculos Diversos'!$B$5))*(SQRT(SUMXMY2('Tabela Entrada-Saída'!$B$92:$O$92,'Coordenadas dos Polos'!$P$2:$AC$2)))^2)</f>
        <v>9.2453651701740844E-2</v>
      </c>
      <c r="C92">
        <f>EXP(((-1)/(2*'Cálculos Diversos'!$B$5))*(SQRT(SUMXMY2('Tabela Entrada-Saída'!$B$92:$O$92,'Coordenadas dos Polos'!$AD$2:$AQ$2)))^2)</f>
        <v>7.5779520889400576E-5</v>
      </c>
      <c r="D92">
        <f>EXP(((-1)/(2*'Cálculos Diversos'!$B$5))*(SQRT(SUMXMY2('Tabela Entrada-Saída'!$B$92:$O$92,'Coordenadas dos Polos'!$AR$2:$BE$2)))^2)</f>
        <v>2.7296396129913029E-5</v>
      </c>
      <c r="E92">
        <f>EXP(((-1)/(2*'Cálculos Diversos'!$B$5))*(SQRT(SUMXMY2('Tabela Entrada-Saída'!$B$92:$O$92,'Coordenadas dos Polos'!$BF$2:$BS$2)))^2)</f>
        <v>9.9976208735976793E-5</v>
      </c>
      <c r="F92">
        <f>EXP(((-1)/(2*'Cálculos Diversos'!$B$5))*(SQRT(SUMXMY2('Tabela Entrada-Saída'!$B$92:$O$92,'Coordenadas dos Polos'!$BT$2:$CG$2)))^2)</f>
        <v>2.541702682256548E-6</v>
      </c>
      <c r="G92">
        <f>EXP(((-1)/(2*'Cálculos Diversos'!$B$5))*(SQRT(SUMXMY2('Tabela Entrada-Saída'!$B$92:$O$92,'Coordenadas dos Polos'!$CH$2:$CU$2)))^2)</f>
        <v>1.2705521541614683E-4</v>
      </c>
      <c r="H92">
        <f>EXP(((-1)/(2*'Cálculos Diversos'!$B$5))*(SQRT(SUMXMY2('Tabela Entrada-Saída'!$B$92:$O$92,'Coordenadas dos Polos'!$CV$2:$DI$2)))^2)</f>
        <v>5.9742931722923017E-6</v>
      </c>
      <c r="I92">
        <f>EXP(((-1)/(2*'Cálculos Diversos'!$B$5))*(SQRT(SUMXMY2('Tabela Entrada-Saída'!$B$92:$O$92,'Coordenadas dos Polos'!$DJ$2:$DW$2)))^2)</f>
        <v>2.6858718275799101E-4</v>
      </c>
      <c r="J92">
        <f>EXP(((-1)/(2*'Cálculos Diversos'!$B$5))*(SQRT(SUMXMY2('Tabela Entrada-Saída'!$B$92:$O$92,'Coordenadas dos Polos'!$DX$2:$EK$2)))^2)</f>
        <v>1.0174251606081604E-4</v>
      </c>
      <c r="K92">
        <f>EXP(((-1)/(2*'Cálculos Diversos'!$B$5))*(SQRT(SUMXMY2('Tabela Entrada-Saída'!$B$92:$O$92,'Coordenadas dos Polos'!$EL$2:$EY$2)))^2)</f>
        <v>4.3035129957315597E-6</v>
      </c>
      <c r="L92">
        <f>EXP(((-1)/(2*'Cálculos Diversos'!$B$5))*(SQRT(SUMXMY2('Tabela Entrada-Saída'!$B$92:$O$92,'Coordenadas dos Polos'!$EZ$2:$FM$2)))^2)</f>
        <v>6.2394855720740134E-7</v>
      </c>
      <c r="M92">
        <f>EXP(((-1)/(2*'Cálculos Diversos'!$B$5))*(SQRT(SUMXMY2('Tabela Entrada-Saída'!$B$92:$O$92,'Coordenadas dos Polos'!$FN$2:$GA$2)))^2)</f>
        <v>1.2524637040311926E-5</v>
      </c>
      <c r="N92">
        <f>EXP(((-1)/(2*'Cálculos Diversos'!$B$5))*(SQRT(SUMXMY2('Tabela Entrada-Saída'!$B$92:$O$92,'Coordenadas dos Polos'!$GB$2:$GO$2)))^2)</f>
        <v>3.1008072155983247E-5</v>
      </c>
      <c r="O92">
        <f>EXP(((-1)/(2*'Cálculos Diversos'!$B$5))*(SQRT(SUMXMY2('Tabela Entrada-Saída'!$B$92:$O$92,'Coordenadas dos Polos'!$GP$2:$HC$2)))^2)</f>
        <v>2.5625102122060346E-6</v>
      </c>
      <c r="P92">
        <v>1</v>
      </c>
    </row>
    <row r="93" spans="1:16" x14ac:dyDescent="0.25">
      <c r="A93">
        <v>92</v>
      </c>
      <c r="B93">
        <f>EXP(((-1)/(2*'Cálculos Diversos'!$B$5))*(SQRT(SUMXMY2('Tabela Entrada-Saída'!$B$93:$O$93,'Coordenadas dos Polos'!$P$2:$AC$2)))^2)</f>
        <v>8.8424335938719359E-2</v>
      </c>
      <c r="C93">
        <f>EXP(((-1)/(2*'Cálculos Diversos'!$B$5))*(SQRT(SUMXMY2('Tabela Entrada-Saída'!$B$93:$O$93,'Coordenadas dos Polos'!$AD$2:$AQ$2)))^2)</f>
        <v>7.4623786671006406E-5</v>
      </c>
      <c r="D93">
        <f>EXP(((-1)/(2*'Cálculos Diversos'!$B$5))*(SQRT(SUMXMY2('Tabela Entrada-Saída'!$B$93:$O$93,'Coordenadas dos Polos'!$AR$2:$BE$2)))^2)</f>
        <v>2.7294299798351725E-5</v>
      </c>
      <c r="E93">
        <f>EXP(((-1)/(2*'Cálculos Diversos'!$B$5))*(SQRT(SUMXMY2('Tabela Entrada-Saída'!$B$93:$O$93,'Coordenadas dos Polos'!$BF$2:$BS$2)))^2)</f>
        <v>9.6796423665482484E-5</v>
      </c>
      <c r="F93">
        <f>EXP(((-1)/(2*'Cálculos Diversos'!$B$5))*(SQRT(SUMXMY2('Tabela Entrada-Saída'!$B$93:$O$93,'Coordenadas dos Polos'!$BT$2:$CG$2)))^2)</f>
        <v>2.4396814401201327E-6</v>
      </c>
      <c r="G93">
        <f>EXP(((-1)/(2*'Cálculos Diversos'!$B$5))*(SQRT(SUMXMY2('Tabela Entrada-Saída'!$B$93:$O$93,'Coordenadas dos Polos'!$CH$2:$CU$2)))^2)</f>
        <v>1.2659368484713954E-4</v>
      </c>
      <c r="H93">
        <f>EXP(((-1)/(2*'Cálculos Diversos'!$B$5))*(SQRT(SUMXMY2('Tabela Entrada-Saída'!$B$93:$O$93,'Coordenadas dos Polos'!$CV$2:$DI$2)))^2)</f>
        <v>5.9319097496519464E-6</v>
      </c>
      <c r="I93">
        <f>EXP(((-1)/(2*'Cálculos Diversos'!$B$5))*(SQRT(SUMXMY2('Tabela Entrada-Saída'!$B$93:$O$93,'Coordenadas dos Polos'!$DJ$2:$DW$2)))^2)</f>
        <v>2.7079807159685826E-4</v>
      </c>
      <c r="J93">
        <f>EXP(((-1)/(2*'Cálculos Diversos'!$B$5))*(SQRT(SUMXMY2('Tabela Entrada-Saída'!$B$93:$O$93,'Coordenadas dos Polos'!$DX$2:$EK$2)))^2)</f>
        <v>1.0085102627556647E-4</v>
      </c>
      <c r="K93">
        <f>EXP(((-1)/(2*'Cálculos Diversos'!$B$5))*(SQRT(SUMXMY2('Tabela Entrada-Saída'!$B$93:$O$93,'Coordenadas dos Polos'!$EL$2:$EY$2)))^2)</f>
        <v>4.2993584363820342E-6</v>
      </c>
      <c r="L93">
        <f>EXP(((-1)/(2*'Cálculos Diversos'!$B$5))*(SQRT(SUMXMY2('Tabela Entrada-Saída'!$B$93:$O$93,'Coordenadas dos Polos'!$EZ$2:$FM$2)))^2)</f>
        <v>6.0215730071252288E-7</v>
      </c>
      <c r="M93">
        <f>EXP(((-1)/(2*'Cálculos Diversos'!$B$5))*(SQRT(SUMXMY2('Tabela Entrada-Saída'!$B$93:$O$93,'Coordenadas dos Polos'!$FN$2:$GA$2)))^2)</f>
        <v>1.2121171038456496E-5</v>
      </c>
      <c r="N93">
        <f>EXP(((-1)/(2*'Cálculos Diversos'!$B$5))*(SQRT(SUMXMY2('Tabela Entrada-Saída'!$B$93:$O$93,'Coordenadas dos Polos'!$GB$2:$GO$2)))^2)</f>
        <v>3.0060775120436559E-5</v>
      </c>
      <c r="O93">
        <f>EXP(((-1)/(2*'Cálculos Diversos'!$B$5))*(SQRT(SUMXMY2('Tabela Entrada-Saída'!$B$93:$O$93,'Coordenadas dos Polos'!$GP$2:$HC$2)))^2)</f>
        <v>2.4970355933583485E-6</v>
      </c>
      <c r="P93">
        <v>1</v>
      </c>
    </row>
    <row r="94" spans="1:16" x14ac:dyDescent="0.25">
      <c r="A94">
        <v>93</v>
      </c>
      <c r="B94">
        <f>EXP(((-1)/(2*'Cálculos Diversos'!$B$5))*(SQRT(SUMXMY2('Tabela Entrada-Saída'!$B$94:$O$94,'Coordenadas dos Polos'!$P$2:$AC$2)))^2)</f>
        <v>9.3092242299939315E-2</v>
      </c>
      <c r="C94">
        <f>EXP(((-1)/(2*'Cálculos Diversos'!$B$5))*(SQRT(SUMXMY2('Tabela Entrada-Saída'!$B$94:$O$94,'Coordenadas dos Polos'!$AD$2:$AQ$2)))^2)</f>
        <v>7.5897771683232419E-5</v>
      </c>
      <c r="D94">
        <f>EXP(((-1)/(2*'Cálculos Diversos'!$B$5))*(SQRT(SUMXMY2('Tabela Entrada-Saída'!$B$94:$O$94,'Coordenadas dos Polos'!$AR$2:$BE$2)))^2)</f>
        <v>2.7279931306915623E-5</v>
      </c>
      <c r="E94">
        <f>EXP(((-1)/(2*'Cálculos Diversos'!$B$5))*(SQRT(SUMXMY2('Tabela Entrada-Saída'!$B$94:$O$94,'Coordenadas dos Polos'!$BF$2:$BS$2)))^2)</f>
        <v>1.0045481189422446E-4</v>
      </c>
      <c r="F94">
        <f>EXP(((-1)/(2*'Cálculos Diversos'!$B$5))*(SQRT(SUMXMY2('Tabela Entrada-Saída'!$B$94:$O$94,'Coordenadas dos Polos'!$BT$2:$CG$2)))^2)</f>
        <v>2.5568810944527877E-6</v>
      </c>
      <c r="G94">
        <f>EXP(((-1)/(2*'Cálculos Diversos'!$B$5))*(SQRT(SUMXMY2('Tabela Entrada-Saída'!$B$94:$O$94,'Coordenadas dos Polos'!$CH$2:$CU$2)))^2)</f>
        <v>1.2707461933927195E-4</v>
      </c>
      <c r="H94">
        <f>EXP(((-1)/(2*'Cálculos Diversos'!$B$5))*(SQRT(SUMXMY2('Tabela Entrada-Saída'!$B$94:$O$94,'Coordenadas dos Polos'!$CV$2:$DI$2)))^2)</f>
        <v>5.972135406240392E-6</v>
      </c>
      <c r="I94">
        <f>EXP(((-1)/(2*'Cálculos Diversos'!$B$5))*(SQRT(SUMXMY2('Tabela Entrada-Saída'!$B$94:$O$94,'Coordenadas dos Polos'!$DJ$2:$DW$2)))^2)</f>
        <v>2.682164881872126E-4</v>
      </c>
      <c r="J94">
        <f>EXP(((-1)/(2*'Cálculos Diversos'!$B$5))*(SQRT(SUMXMY2('Tabela Entrada-Saída'!$B$94:$O$94,'Coordenadas dos Polos'!$DX$2:$EK$2)))^2)</f>
        <v>1.0178361823046863E-4</v>
      </c>
      <c r="K94">
        <f>EXP(((-1)/(2*'Cálculos Diversos'!$B$5))*(SQRT(SUMXMY2('Tabela Entrada-Saída'!$B$94:$O$94,'Coordenadas dos Polos'!$EL$2:$EY$2)))^2)</f>
        <v>4.3009437933463921E-6</v>
      </c>
      <c r="L94">
        <f>EXP(((-1)/(2*'Cálculos Diversos'!$B$5))*(SQRT(SUMXMY2('Tabela Entrada-Saída'!$B$94:$O$94,'Coordenadas dos Polos'!$EZ$2:$FM$2)))^2)</f>
        <v>6.2698367901161936E-7</v>
      </c>
      <c r="M94">
        <f>EXP(((-1)/(2*'Cálculos Diversos'!$B$5))*(SQRT(SUMXMY2('Tabela Entrada-Saída'!$B$94:$O$94,'Coordenadas dos Polos'!$FN$2:$GA$2)))^2)</f>
        <v>1.2582264110896679E-5</v>
      </c>
      <c r="N94">
        <f>EXP(((-1)/(2*'Cálculos Diversos'!$B$5))*(SQRT(SUMXMY2('Tabela Entrada-Saída'!$B$94:$O$94,'Coordenadas dos Polos'!$GB$2:$GO$2)))^2)</f>
        <v>3.1116400480800694E-5</v>
      </c>
      <c r="O94">
        <f>EXP(((-1)/(2*'Cálculos Diversos'!$B$5))*(SQRT(SUMXMY2('Tabela Entrada-Saída'!$B$94:$O$94,'Coordenadas dos Polos'!$GP$2:$HC$2)))^2)</f>
        <v>2.5723607110423385E-6</v>
      </c>
      <c r="P94">
        <v>1</v>
      </c>
    </row>
    <row r="95" spans="1:16" x14ac:dyDescent="0.25">
      <c r="A95">
        <v>94</v>
      </c>
      <c r="B95">
        <f>EXP(((-1)/(2*'Cálculos Diversos'!$B$5))*(SQRT(SUMXMY2('Tabela Entrada-Saída'!$B$95:$O$95,'Coordenadas dos Polos'!$P$2:$AC$2)))^2)</f>
        <v>9.8358231796024986E-2</v>
      </c>
      <c r="C95">
        <f>EXP(((-1)/(2*'Cálculos Diversos'!$B$5))*(SQRT(SUMXMY2('Tabela Entrada-Saída'!$B$95:$O$95,'Coordenadas dos Polos'!$AD$2:$AQ$2)))^2)</f>
        <v>7.7305172819541995E-5</v>
      </c>
      <c r="D95">
        <f>EXP(((-1)/(2*'Cálculos Diversos'!$B$5))*(SQRT(SUMXMY2('Tabela Entrada-Saída'!$B$95:$O$95,'Coordenadas dos Polos'!$AR$2:$BE$2)))^2)</f>
        <v>2.7256523990368813E-5</v>
      </c>
      <c r="E95">
        <f>EXP(((-1)/(2*'Cálculos Diversos'!$B$5))*(SQRT(SUMXMY2('Tabela Entrada-Saída'!$B$95:$O$95,'Coordenadas dos Polos'!$BF$2:$BS$2)))^2)</f>
        <v>1.0453068295084771E-4</v>
      </c>
      <c r="F95">
        <f>EXP(((-1)/(2*'Cálculos Diversos'!$B$5))*(SQRT(SUMXMY2('Tabela Entrada-Saída'!$B$95:$O$95,'Coordenadas dos Polos'!$BT$2:$CG$2)))^2)</f>
        <v>2.6901857916107894E-6</v>
      </c>
      <c r="G95">
        <f>EXP(((-1)/(2*'Cálculos Diversos'!$B$5))*(SQRT(SUMXMY2('Tabela Entrada-Saída'!$B$95:$O$95,'Coordenadas dos Polos'!$CH$2:$CU$2)))^2)</f>
        <v>1.275651384195056E-4</v>
      </c>
      <c r="H95">
        <f>EXP(((-1)/(2*'Cálculos Diversos'!$B$5))*(SQRT(SUMXMY2('Tabela Entrada-Saída'!$B$95:$O$95,'Coordenadas dos Polos'!$CV$2:$DI$2)))^2)</f>
        <v>6.0190191957591589E-6</v>
      </c>
      <c r="I95">
        <f>EXP(((-1)/(2*'Cálculos Diversos'!$B$5))*(SQRT(SUMXMY2('Tabela Entrada-Saída'!$B$95:$O$95,'Coordenadas dos Polos'!$DJ$2:$DW$2)))^2)</f>
        <v>2.6525364587865109E-4</v>
      </c>
      <c r="J95">
        <f>EXP(((-1)/(2*'Cálculos Diversos'!$B$5))*(SQRT(SUMXMY2('Tabela Entrada-Saída'!$B$95:$O$95,'Coordenadas dos Polos'!$DX$2:$EK$2)))^2)</f>
        <v>1.0284398955625243E-4</v>
      </c>
      <c r="K95">
        <f>EXP(((-1)/(2*'Cálculos Diversos'!$B$5))*(SQRT(SUMXMY2('Tabela Entrada-Saída'!$B$95:$O$95,'Coordenadas dos Polos'!$EL$2:$EY$2)))^2)</f>
        <v>4.3016706811961632E-6</v>
      </c>
      <c r="L95">
        <f>EXP(((-1)/(2*'Cálculos Diversos'!$B$5))*(SQRT(SUMXMY2('Tabela Entrada-Saída'!$B$95:$O$95,'Coordenadas dos Polos'!$EZ$2:$FM$2)))^2)</f>
        <v>6.5512335353193308E-7</v>
      </c>
      <c r="M95">
        <f>EXP(((-1)/(2*'Cálculos Diversos'!$B$5))*(SQRT(SUMXMY2('Tabela Entrada-Saída'!$B$95:$O$95,'Coordenadas dos Polos'!$FN$2:$GA$2)))^2)</f>
        <v>1.3099453616177401E-5</v>
      </c>
      <c r="N95">
        <f>EXP(((-1)/(2*'Cálculos Diversos'!$B$5))*(SQRT(SUMXMY2('Tabela Entrada-Saída'!$B$95:$O$95,'Coordenadas dos Polos'!$GB$2:$GO$2)))^2)</f>
        <v>3.23178196500333E-5</v>
      </c>
      <c r="O95">
        <f>EXP(((-1)/(2*'Cálculos Diversos'!$B$5))*(SQRT(SUMXMY2('Tabela Entrada-Saída'!$B$95:$O$95,'Coordenadas dos Polos'!$GP$2:$HC$2)))^2)</f>
        <v>2.6553941448426643E-6</v>
      </c>
      <c r="P95">
        <v>1</v>
      </c>
    </row>
    <row r="96" spans="1:16" x14ac:dyDescent="0.25">
      <c r="A96">
        <v>95</v>
      </c>
      <c r="B96">
        <f>EXP(((-1)/(2*'Cálculos Diversos'!$B$5))*(SQRT(SUMXMY2('Tabela Entrada-Saída'!$B$96:$O$96,'Coordenadas dos Polos'!$P$2:$AC$2)))^2)</f>
        <v>9.3825109252067648E-2</v>
      </c>
      <c r="C96">
        <f>EXP(((-1)/(2*'Cálculos Diversos'!$B$5))*(SQRT(SUMXMY2('Tabela Entrada-Saída'!$B$96:$O$96,'Coordenadas dos Polos'!$AD$2:$AQ$2)))^2)</f>
        <v>7.6113802704486913E-5</v>
      </c>
      <c r="D96">
        <f>EXP(((-1)/(2*'Cálculos Diversos'!$B$5))*(SQRT(SUMXMY2('Tabela Entrada-Saída'!$B$96:$O$96,'Coordenadas dos Polos'!$AR$2:$BE$2)))^2)</f>
        <v>2.7280622250935904E-5</v>
      </c>
      <c r="E96">
        <f>EXP(((-1)/(2*'Cálculos Diversos'!$B$5))*(SQRT(SUMXMY2('Tabela Entrada-Saída'!$B$96:$O$96,'Coordenadas dos Polos'!$BF$2:$BS$2)))^2)</f>
        <v>1.010314779812057E-4</v>
      </c>
      <c r="F96">
        <f>EXP(((-1)/(2*'Cálculos Diversos'!$B$5))*(SQRT(SUMXMY2('Tabela Entrada-Saída'!$B$96:$O$96,'Coordenadas dos Polos'!$BT$2:$CG$2)))^2)</f>
        <v>2.5756797471685613E-6</v>
      </c>
      <c r="G96">
        <f>EXP(((-1)/(2*'Cálculos Diversos'!$B$5))*(SQRT(SUMXMY2('Tabela Entrada-Saída'!$B$96:$O$96,'Coordenadas dos Polos'!$CH$2:$CU$2)))^2)</f>
        <v>1.2716480257402436E-4</v>
      </c>
      <c r="H96">
        <f>EXP(((-1)/(2*'Cálculos Diversos'!$B$5))*(SQRT(SUMXMY2('Tabela Entrada-Saída'!$B$96:$O$96,'Coordenadas dos Polos'!$CV$2:$DI$2)))^2)</f>
        <v>5.9809884292601309E-6</v>
      </c>
      <c r="I96">
        <f>EXP(((-1)/(2*'Cálculos Diversos'!$B$5))*(SQRT(SUMXMY2('Tabela Entrada-Saída'!$B$96:$O$96,'Coordenadas dos Polos'!$DJ$2:$DW$2)))^2)</f>
        <v>2.6780633301855679E-4</v>
      </c>
      <c r="J96">
        <f>EXP(((-1)/(2*'Cálculos Diversos'!$B$5))*(SQRT(SUMXMY2('Tabela Entrada-Saída'!$B$96:$O$96,'Coordenadas dos Polos'!$DX$2:$EK$2)))^2)</f>
        <v>1.0196066936951379E-4</v>
      </c>
      <c r="K96">
        <f>EXP(((-1)/(2*'Cálculos Diversos'!$B$5))*(SQRT(SUMXMY2('Tabela Entrada-Saída'!$B$96:$O$96,'Coordenadas dos Polos'!$EL$2:$EY$2)))^2)</f>
        <v>4.3019304295796886E-6</v>
      </c>
      <c r="L96">
        <f>EXP(((-1)/(2*'Cálculos Diversos'!$B$5))*(SQRT(SUMXMY2('Tabela Entrada-Saída'!$B$96:$O$96,'Coordenadas dos Polos'!$EZ$2:$FM$2)))^2)</f>
        <v>6.3100029445848282E-7</v>
      </c>
      <c r="M96">
        <f>EXP(((-1)/(2*'Cálculos Diversos'!$B$5))*(SQRT(SUMXMY2('Tabela Entrada-Saída'!$B$96:$O$96,'Coordenadas dos Polos'!$FN$2:$GA$2)))^2)</f>
        <v>1.265617084118305E-5</v>
      </c>
      <c r="N96">
        <f>EXP(((-1)/(2*'Cálculos Diversos'!$B$5))*(SQRT(SUMXMY2('Tabela Entrada-Saída'!$B$96:$O$96,'Coordenadas dos Polos'!$GB$2:$GO$2)))^2)</f>
        <v>3.1294472407507592E-5</v>
      </c>
      <c r="O96">
        <f>EXP(((-1)/(2*'Cálculos Diversos'!$B$5))*(SQRT(SUMXMY2('Tabela Entrada-Saída'!$B$96:$O$96,'Coordenadas dos Polos'!$GP$2:$HC$2)))^2)</f>
        <v>2.5841778874290418E-6</v>
      </c>
      <c r="P96">
        <v>1</v>
      </c>
    </row>
    <row r="97" spans="1:16" x14ac:dyDescent="0.25">
      <c r="A97">
        <v>96</v>
      </c>
      <c r="B97">
        <f>EXP(((-1)/(2*'Cálculos Diversos'!$B$5))*(SQRT(SUMXMY2('Tabela Entrada-Saída'!$B$97:$O$97,'Coordenadas dos Polos'!$P$2:$AC$2)))^2)</f>
        <v>9.5872073204539388E-2</v>
      </c>
      <c r="C97">
        <f>EXP(((-1)/(2*'Cálculos Diversos'!$B$5))*(SQRT(SUMXMY2('Tabela Entrada-Saída'!$B$97:$O$97,'Coordenadas dos Polos'!$AD$2:$AQ$2)))^2)</f>
        <v>7.6663587166360991E-5</v>
      </c>
      <c r="D97">
        <f>EXP(((-1)/(2*'Cálculos Diversos'!$B$5))*(SQRT(SUMXMY2('Tabela Entrada-Saída'!$B$97:$O$97,'Coordenadas dos Polos'!$AR$2:$BE$2)))^2)</f>
        <v>2.7274914550190397E-5</v>
      </c>
      <c r="E97">
        <f>EXP(((-1)/(2*'Cálculos Diversos'!$B$5))*(SQRT(SUMXMY2('Tabela Entrada-Saída'!$B$97:$O$97,'Coordenadas dos Polos'!$BF$2:$BS$2)))^2)</f>
        <v>1.0262176997817628E-4</v>
      </c>
      <c r="F97">
        <f>EXP(((-1)/(2*'Cálculos Diversos'!$B$5))*(SQRT(SUMXMY2('Tabela Entrada-Saída'!$B$97:$O$97,'Coordenadas dos Polos'!$BT$2:$CG$2)))^2)</f>
        <v>2.6274190336626673E-6</v>
      </c>
      <c r="G97">
        <f>EXP(((-1)/(2*'Cálculos Diversos'!$B$5))*(SQRT(SUMXMY2('Tabela Entrada-Saída'!$B$97:$O$97,'Coordenadas dos Polos'!$CH$2:$CU$2)))^2)</f>
        <v>1.2735169355119954E-4</v>
      </c>
      <c r="H97">
        <f>EXP(((-1)/(2*'Cálculos Diversos'!$B$5))*(SQRT(SUMXMY2('Tabela Entrada-Saída'!$B$97:$O$97,'Coordenadas dos Polos'!$CV$2:$DI$2)))^2)</f>
        <v>5.9994183366082587E-6</v>
      </c>
      <c r="I97">
        <f>EXP(((-1)/(2*'Cálculos Diversos'!$B$5))*(SQRT(SUMXMY2('Tabela Entrada-Saída'!$B$97:$O$97,'Coordenadas dos Polos'!$DJ$2:$DW$2)))^2)</f>
        <v>2.6667913015359951E-4</v>
      </c>
      <c r="J97">
        <f>EXP(((-1)/(2*'Cálculos Diversos'!$B$5))*(SQRT(SUMXMY2('Tabela Entrada-Saída'!$B$97:$O$97,'Coordenadas dos Polos'!$DX$2:$EK$2)))^2)</f>
        <v>1.0236821416456929E-4</v>
      </c>
      <c r="K97">
        <f>EXP(((-1)/(2*'Cálculos Diversos'!$B$5))*(SQRT(SUMXMY2('Tabela Entrada-Saída'!$B$97:$O$97,'Coordenadas dos Polos'!$EL$2:$EY$2)))^2)</f>
        <v>4.302521203863278E-6</v>
      </c>
      <c r="L97">
        <f>EXP(((-1)/(2*'Cálculos Diversos'!$B$5))*(SQRT(SUMXMY2('Tabela Entrada-Saída'!$B$97:$O$97,'Coordenadas dos Polos'!$EZ$2:$FM$2)))^2)</f>
        <v>6.4196272735773881E-7</v>
      </c>
      <c r="M97">
        <f>EXP(((-1)/(2*'Cálculos Diversos'!$B$5))*(SQRT(SUMXMY2('Tabela Entrada-Saída'!$B$97:$O$97,'Coordenadas dos Polos'!$FN$2:$GA$2)))^2)</f>
        <v>1.2857745479284036E-5</v>
      </c>
      <c r="N97">
        <f>EXP(((-1)/(2*'Cálculos Diversos'!$B$5))*(SQRT(SUMXMY2('Tabela Entrada-Saída'!$B$97:$O$97,'Coordenadas dos Polos'!$GB$2:$GO$2)))^2)</f>
        <v>3.1761861892922426E-5</v>
      </c>
      <c r="O97">
        <f>EXP(((-1)/(2*'Cálculos Diversos'!$B$5))*(SQRT(SUMXMY2('Tabela Entrada-Saída'!$B$97:$O$97,'Coordenadas dos Polos'!$GP$2:$HC$2)))^2)</f>
        <v>2.6165692973292446E-6</v>
      </c>
      <c r="P97">
        <v>1</v>
      </c>
    </row>
    <row r="98" spans="1:16" x14ac:dyDescent="0.25">
      <c r="A98">
        <v>97</v>
      </c>
      <c r="B98">
        <f>EXP(((-1)/(2*'Cálculos Diversos'!$B$5))*(SQRT(SUMXMY2('Tabela Entrada-Saída'!$B$98:$O$98,'Coordenadas dos Polos'!$P$2:$AC$2)))^2)</f>
        <v>8.8372860834564831E-2</v>
      </c>
      <c r="C98">
        <f>EXP(((-1)/(2*'Cálculos Diversos'!$B$5))*(SQRT(SUMXMY2('Tabela Entrada-Saída'!$B$98:$O$98,'Coordenadas dos Polos'!$AD$2:$AQ$2)))^2)</f>
        <v>7.4595751154335252E-5</v>
      </c>
      <c r="D98">
        <f>EXP(((-1)/(2*'Cálculos Diversos'!$B$5))*(SQRT(SUMXMY2('Tabela Entrada-Saída'!$B$98:$O$98,'Coordenadas dos Polos'!$AR$2:$BE$2)))^2)</f>
        <v>2.7290278944421467E-5</v>
      </c>
      <c r="E98">
        <f>EXP(((-1)/(2*'Cálculos Diversos'!$B$5))*(SQRT(SUMXMY2('Tabela Entrada-Saída'!$B$98:$O$98,'Coordenadas dos Polos'!$BF$2:$BS$2)))^2)</f>
        <v>9.6740230895849775E-5</v>
      </c>
      <c r="F98">
        <f>EXP(((-1)/(2*'Cálculos Diversos'!$B$5))*(SQRT(SUMXMY2('Tabela Entrada-Saída'!$B$98:$O$98,'Coordenadas dos Polos'!$BT$2:$CG$2)))^2)</f>
        <v>2.4376507383553157E-6</v>
      </c>
      <c r="G98">
        <f>EXP(((-1)/(2*'Cálculos Diversos'!$B$5))*(SQRT(SUMXMY2('Tabela Entrada-Saída'!$B$98:$O$98,'Coordenadas dos Polos'!$CH$2:$CU$2)))^2)</f>
        <v>1.2656051249700762E-4</v>
      </c>
      <c r="H98">
        <f>EXP(((-1)/(2*'Cálculos Diversos'!$B$5))*(SQRT(SUMXMY2('Tabela Entrada-Saída'!$B$98:$O$98,'Coordenadas dos Polos'!$CV$2:$DI$2)))^2)</f>
        <v>5.9304984413691302E-6</v>
      </c>
      <c r="I98">
        <f>EXP(((-1)/(2*'Cálculos Diversos'!$B$5))*(SQRT(SUMXMY2('Tabela Entrada-Saída'!$B$98:$O$98,'Coordenadas dos Polos'!$DJ$2:$DW$2)))^2)</f>
        <v>2.7078335404853243E-4</v>
      </c>
      <c r="J98">
        <f>EXP(((-1)/(2*'Cálculos Diversos'!$B$5))*(SQRT(SUMXMY2('Tabela Entrada-Saída'!$B$98:$O$98,'Coordenadas dos Polos'!$DX$2:$EK$2)))^2)</f>
        <v>1.0080743854211846E-4</v>
      </c>
      <c r="K98">
        <f>EXP(((-1)/(2*'Cálculos Diversos'!$B$5))*(SQRT(SUMXMY2('Tabela Entrada-Saída'!$B$98:$O$98,'Coordenadas dos Polos'!$EL$2:$EY$2)))^2)</f>
        <v>4.2989130598093998E-6</v>
      </c>
      <c r="L98">
        <f>EXP(((-1)/(2*'Cálculos Diversos'!$B$5))*(SQRT(SUMXMY2('Tabela Entrada-Saída'!$B$98:$O$98,'Coordenadas dos Polos'!$EZ$2:$FM$2)))^2)</f>
        <v>6.0170782913347356E-7</v>
      </c>
      <c r="M98">
        <f>EXP(((-1)/(2*'Cálculos Diversos'!$B$5))*(SQRT(SUMXMY2('Tabela Entrada-Saída'!$B$98:$O$98,'Coordenadas dos Polos'!$FN$2:$GA$2)))^2)</f>
        <v>1.2113652633685362E-5</v>
      </c>
      <c r="N98">
        <f>EXP(((-1)/(2*'Cálculos Diversos'!$B$5))*(SQRT(SUMXMY2('Tabela Entrada-Saída'!$B$98:$O$98,'Coordenadas dos Polos'!$GB$2:$GO$2)))^2)</f>
        <v>3.0044655849541467E-5</v>
      </c>
      <c r="O98">
        <f>EXP(((-1)/(2*'Cálculos Diversos'!$B$5))*(SQRT(SUMXMY2('Tabela Entrada-Saída'!$B$98:$O$98,'Coordenadas dos Polos'!$GP$2:$HC$2)))^2)</f>
        <v>2.4957333856707455E-6</v>
      </c>
      <c r="P98">
        <v>1</v>
      </c>
    </row>
    <row r="99" spans="1:16" x14ac:dyDescent="0.25">
      <c r="A99">
        <v>98</v>
      </c>
      <c r="B99">
        <f>EXP(((-1)/(2*'Cálculos Diversos'!$B$5))*(SQRT(SUMXMY2('Tabela Entrada-Saída'!$B$99:$O$99,'Coordenadas dos Polos'!$P$2:$AC$2)))^2)</f>
        <v>9.2593463885078442E-2</v>
      </c>
      <c r="C99">
        <f>EXP(((-1)/(2*'Cálculos Diversos'!$B$5))*(SQRT(SUMXMY2('Tabela Entrada-Saída'!$B$99:$O$99,'Coordenadas dos Polos'!$AD$2:$AQ$2)))^2)</f>
        <v>7.5795922923139702E-5</v>
      </c>
      <c r="D99">
        <f>EXP(((-1)/(2*'Cálculos Diversos'!$B$5))*(SQRT(SUMXMY2('Tabela Entrada-Saída'!$B$99:$O$99,'Coordenadas dos Polos'!$AR$2:$BE$2)))^2)</f>
        <v>2.7290535558224963E-5</v>
      </c>
      <c r="E99">
        <f>EXP(((-1)/(2*'Cálculos Diversos'!$B$5))*(SQRT(SUMXMY2('Tabela Entrada-Saída'!$B$99:$O$99,'Coordenadas dos Polos'!$BF$2:$BS$2)))^2)</f>
        <v>1.000759246242907E-4</v>
      </c>
      <c r="F99">
        <f>EXP(((-1)/(2*'Cálculos Diversos'!$B$5))*(SQRT(SUMXMY2('Tabela Entrada-Saída'!$B$99:$O$99,'Coordenadas dos Polos'!$BT$2:$CG$2)))^2)</f>
        <v>2.5447497636023647E-6</v>
      </c>
      <c r="G99">
        <f>EXP(((-1)/(2*'Cálculos Diversos'!$B$5))*(SQRT(SUMXMY2('Tabela Entrada-Saída'!$B$99:$O$99,'Coordenadas dos Polos'!$CH$2:$CU$2)))^2)</f>
        <v>1.2704707961636749E-4</v>
      </c>
      <c r="H99">
        <f>EXP(((-1)/(2*'Cálculos Diversos'!$B$5))*(SQRT(SUMXMY2('Tabela Entrada-Saída'!$B$99:$O$99,'Coordenadas dos Polos'!$CV$2:$DI$2)))^2)</f>
        <v>5.9726153213649308E-6</v>
      </c>
      <c r="I99">
        <f>EXP(((-1)/(2*'Cálculos Diversos'!$B$5))*(SQRT(SUMXMY2('Tabela Entrada-Saída'!$B$99:$O$99,'Coordenadas dos Polos'!$DJ$2:$DW$2)))^2)</f>
        <v>2.6850065027931425E-4</v>
      </c>
      <c r="J99">
        <f>EXP(((-1)/(2*'Cálculos Diversos'!$B$5))*(SQRT(SUMXMY2('Tabela Entrada-Saída'!$B$99:$O$99,'Coordenadas dos Polos'!$DX$2:$EK$2)))^2)</f>
        <v>1.0173298496238395E-4</v>
      </c>
      <c r="K99">
        <f>EXP(((-1)/(2*'Cálculos Diversos'!$B$5))*(SQRT(SUMXMY2('Tabela Entrada-Saída'!$B$99:$O$99,'Coordenadas dos Polos'!$EL$2:$EY$2)))^2)</f>
        <v>4.3025347694633254E-6</v>
      </c>
      <c r="L99">
        <f>EXP(((-1)/(2*'Cálculos Diversos'!$B$5))*(SQRT(SUMXMY2('Tabela Entrada-Saída'!$B$99:$O$99,'Coordenadas dos Polos'!$EZ$2:$FM$2)))^2)</f>
        <v>6.2452919948732437E-7</v>
      </c>
      <c r="M99">
        <f>EXP(((-1)/(2*'Cálculos Diversos'!$B$5))*(SQRT(SUMXMY2('Tabela Entrada-Saída'!$B$99:$O$99,'Coordenadas dos Polos'!$FN$2:$GA$2)))^2)</f>
        <v>1.2536194341883596E-5</v>
      </c>
      <c r="N99">
        <f>EXP(((-1)/(2*'Cálculos Diversos'!$B$5))*(SQRT(SUMXMY2('Tabela Entrada-Saída'!$B$99:$O$99,'Coordenadas dos Polos'!$GB$2:$GO$2)))^2)</f>
        <v>3.1025716997040856E-5</v>
      </c>
      <c r="O99">
        <f>EXP(((-1)/(2*'Cálculos Diversos'!$B$5))*(SQRT(SUMXMY2('Tabela Entrada-Saída'!$B$99:$O$99,'Coordenadas dos Polos'!$GP$2:$HC$2)))^2)</f>
        <v>2.5645146552694307E-6</v>
      </c>
      <c r="P99">
        <v>1</v>
      </c>
    </row>
    <row r="100" spans="1:16" x14ac:dyDescent="0.25">
      <c r="A100">
        <v>99</v>
      </c>
      <c r="B100">
        <f>EXP(((-1)/(2*'Cálculos Diversos'!$B$5))*(SQRT(SUMXMY2('Tabela Entrada-Saída'!$B$100:$O$100,'Coordenadas dos Polos'!$P$2:$AC$2)))^2)</f>
        <v>9.7018201400112997E-2</v>
      </c>
      <c r="C100">
        <f>EXP(((-1)/(2*'Cálculos Diversos'!$B$5))*(SQRT(SUMXMY2('Tabela Entrada-Saída'!$B$100:$O$100,'Coordenadas dos Polos'!$AD$2:$AQ$2)))^2)</f>
        <v>7.6966292807178414E-5</v>
      </c>
      <c r="D100">
        <f>EXP(((-1)/(2*'Cálculos Diversos'!$B$5))*(SQRT(SUMXMY2('Tabela Entrada-Saída'!$B$100:$O$100,'Coordenadas dos Polos'!$AR$2:$BE$2)))^2)</f>
        <v>2.7269059048255986E-5</v>
      </c>
      <c r="E100">
        <f>EXP(((-1)/(2*'Cálculos Diversos'!$B$5))*(SQRT(SUMXMY2('Tabela Entrada-Saída'!$B$100:$O$100,'Coordenadas dos Polos'!$BF$2:$BS$2)))^2)</f>
        <v>1.0350332003090952E-4</v>
      </c>
      <c r="F100">
        <f>EXP(((-1)/(2*'Cálculos Diversos'!$B$5))*(SQRT(SUMXMY2('Tabela Entrada-Saída'!$B$100:$O$100,'Coordenadas dos Polos'!$BT$2:$CG$2)))^2)</f>
        <v>2.6562392517357521E-6</v>
      </c>
      <c r="G100">
        <f>EXP(((-1)/(2*'Cálculos Diversos'!$B$5))*(SQRT(SUMXMY2('Tabela Entrada-Saída'!$B$100:$O$100,'Coordenadas dos Polos'!$CH$2:$CU$2)))^2)</f>
        <v>1.2744805413989274E-4</v>
      </c>
      <c r="H100">
        <f>EXP(((-1)/(2*'Cálculos Diversos'!$B$5))*(SQRT(SUMXMY2('Tabela Entrada-Saída'!$B$100:$O$100,'Coordenadas dos Polos'!$CV$2:$DI$2)))^2)</f>
        <v>6.0095367282483628E-6</v>
      </c>
      <c r="I100">
        <f>EXP(((-1)/(2*'Cálculos Diversos'!$B$5))*(SQRT(SUMXMY2('Tabela Entrada-Saída'!$B$100:$O$100,'Coordenadas dos Polos'!$DJ$2:$DW$2)))^2)</f>
        <v>2.6602606371710146E-4</v>
      </c>
      <c r="J100">
        <f>EXP(((-1)/(2*'Cálculos Diversos'!$B$5))*(SQRT(SUMXMY2('Tabela Entrada-Saída'!$B$100:$O$100,'Coordenadas dos Polos'!$DX$2:$EK$2)))^2)</f>
        <v>1.0258969276507052E-4</v>
      </c>
      <c r="K100">
        <f>EXP(((-1)/(2*'Cálculos Diversos'!$B$5))*(SQRT(SUMXMY2('Tabela Entrada-Saída'!$B$100:$O$100,'Coordenadas dos Polos'!$EL$2:$EY$2)))^2)</f>
        <v>4.3026001957644888E-6</v>
      </c>
      <c r="L100">
        <f>EXP(((-1)/(2*'Cálculos Diversos'!$B$5))*(SQRT(SUMXMY2('Tabela Entrada-Saída'!$B$100:$O$100,'Coordenadas dos Polos'!$EZ$2:$FM$2)))^2)</f>
        <v>6.4804196075379891E-7</v>
      </c>
      <c r="M100">
        <f>EXP(((-1)/(2*'Cálculos Diversos'!$B$5))*(SQRT(SUMXMY2('Tabela Entrada-Saída'!$B$100:$O$100,'Coordenadas dos Polos'!$FN$2:$GA$2)))^2)</f>
        <v>1.2969703544231037E-5</v>
      </c>
      <c r="N100">
        <f>EXP(((-1)/(2*'Cálculos Diversos'!$B$5))*(SQRT(SUMXMY2('Tabela Entrada-Saída'!$B$100:$O$100,'Coordenadas dos Polos'!$GB$2:$GO$2)))^2)</f>
        <v>3.2022664295400364E-5</v>
      </c>
      <c r="O100">
        <f>EXP(((-1)/(2*'Cálculos Diversos'!$B$5))*(SQRT(SUMXMY2('Tabela Entrada-Saída'!$B$100:$O$100,'Coordenadas dos Polos'!$GP$2:$HC$2)))^2)</f>
        <v>2.6344225659561504E-6</v>
      </c>
      <c r="P100">
        <v>1</v>
      </c>
    </row>
    <row r="101" spans="1:16" x14ac:dyDescent="0.25">
      <c r="A101">
        <v>100</v>
      </c>
      <c r="B101">
        <f>EXP(((-1)/(2*'Cálculos Diversos'!$B$5))*(SQRT(SUMXMY2('Tabela Entrada-Saída'!$B$101:$O$101,'Coordenadas dos Polos'!$P$2:$AC$2)))^2)</f>
        <v>9.3858788163827492E-2</v>
      </c>
      <c r="C101">
        <f>EXP(((-1)/(2*'Cálculos Diversos'!$B$5))*(SQRT(SUMXMY2('Tabela Entrada-Saída'!$B$101:$O$101,'Coordenadas dos Polos'!$AD$2:$AQ$2)))^2)</f>
        <v>7.6147551116628449E-5</v>
      </c>
      <c r="D101">
        <f>EXP(((-1)/(2*'Cálculos Diversos'!$B$5))*(SQRT(SUMXMY2('Tabela Entrada-Saída'!$B$101:$O$101,'Coordenadas dos Polos'!$AR$2:$BE$2)))^2)</f>
        <v>2.7287321887478601E-5</v>
      </c>
      <c r="E101">
        <f>EXP(((-1)/(2*'Cálculos Diversos'!$B$5))*(SQRT(SUMXMY2('Tabela Entrada-Saída'!$B$101:$O$101,'Coordenadas dos Polos'!$BF$2:$BS$2)))^2)</f>
        <v>1.0106870124539665E-4</v>
      </c>
      <c r="F101">
        <f>EXP(((-1)/(2*'Cálculos Diversos'!$B$5))*(SQRT(SUMXMY2('Tabela Entrada-Saída'!$B$101:$O$101,'Coordenadas dos Polos'!$BT$2:$CG$2)))^2)</f>
        <v>2.5771799721088961E-6</v>
      </c>
      <c r="G101">
        <f>EXP(((-1)/(2*'Cálculos Diversos'!$B$5))*(SQRT(SUMXMY2('Tabela Entrada-Saída'!$B$101:$O$101,'Coordenadas dos Polos'!$CH$2:$CU$2)))^2)</f>
        <v>1.2719134923656241E-4</v>
      </c>
      <c r="H101">
        <f>EXP(((-1)/(2*'Cálculos Diversos'!$B$5))*(SQRT(SUMXMY2('Tabela Entrada-Saída'!$B$101:$O$101,'Coordenadas dos Polos'!$CV$2:$DI$2)))^2)</f>
        <v>5.9846499919018394E-6</v>
      </c>
      <c r="I101">
        <f>EXP(((-1)/(2*'Cálculos Diversos'!$B$5))*(SQRT(SUMXMY2('Tabela Entrada-Saída'!$B$101:$O$101,'Coordenadas dos Polos'!$DJ$2:$DW$2)))^2)</f>
        <v>2.6780039400537759E-4</v>
      </c>
      <c r="J101">
        <f>EXP(((-1)/(2*'Cálculos Diversos'!$B$5))*(SQRT(SUMXMY2('Tabela Entrada-Saída'!$B$101:$O$101,'Coordenadas dos Polos'!$DX$2:$EK$2)))^2)</f>
        <v>1.0201641792569573E-4</v>
      </c>
      <c r="K101">
        <f>EXP(((-1)/(2*'Cálculos Diversos'!$B$5))*(SQRT(SUMXMY2('Tabela Entrada-Saída'!$B$101:$O$101,'Coordenadas dos Polos'!$EL$2:$EY$2)))^2)</f>
        <v>4.3030476993341905E-6</v>
      </c>
      <c r="L101">
        <f>EXP(((-1)/(2*'Cálculos Diversos'!$B$5))*(SQRT(SUMXMY2('Tabela Entrada-Saída'!$B$101:$O$101,'Coordenadas dos Polos'!$EZ$2:$FM$2)))^2)</f>
        <v>6.3139659848319349E-7</v>
      </c>
      <c r="M101">
        <f>EXP(((-1)/(2*'Cálculos Diversos'!$B$5))*(SQRT(SUMXMY2('Tabela Entrada-Saída'!$B$101:$O$101,'Coordenadas dos Polos'!$FN$2:$GA$2)))^2)</f>
        <v>1.2662188838912244E-5</v>
      </c>
      <c r="N101">
        <f>EXP(((-1)/(2*'Cálculos Diversos'!$B$5))*(SQRT(SUMXMY2('Tabela Entrada-Saída'!$B$101:$O$101,'Coordenadas dos Polos'!$GB$2:$GO$2)))^2)</f>
        <v>3.1318515503606464E-5</v>
      </c>
      <c r="O101">
        <f>EXP(((-1)/(2*'Cálculos Diversos'!$B$5))*(SQRT(SUMXMY2('Tabela Entrada-Saída'!$B$101:$O$101,'Coordenadas dos Polos'!$GP$2:$HC$2)))^2)</f>
        <v>2.584974714698442E-6</v>
      </c>
      <c r="P101">
        <v>1</v>
      </c>
    </row>
    <row r="102" spans="1:16" x14ac:dyDescent="0.25">
      <c r="A102">
        <v>101</v>
      </c>
      <c r="B102">
        <f>EXP(((-1)/(2*'Cálculos Diversos'!$B$5))*(SQRT(SUMXMY2('Tabela Entrada-Saída'!$B$102:$O$102,'Coordenadas dos Polos'!$P$2:$AC$2)))^2)</f>
        <v>9.2083458987889472E-2</v>
      </c>
      <c r="C102">
        <f>EXP(((-1)/(2*'Cálculos Diversos'!$B$5))*(SQRT(SUMXMY2('Tabela Entrada-Saída'!$B$102:$O$102,'Coordenadas dos Polos'!$AD$2:$AQ$2)))^2)</f>
        <v>7.5660298412013406E-5</v>
      </c>
      <c r="D102">
        <f>EXP(((-1)/(2*'Cálculos Diversos'!$B$5))*(SQRT(SUMXMY2('Tabela Entrada-Saída'!$B$102:$O$102,'Coordenadas dos Polos'!$AR$2:$BE$2)))^2)</f>
        <v>2.7292444036883155E-5</v>
      </c>
      <c r="E102">
        <f>EXP(((-1)/(2*'Cálculos Diversos'!$B$5))*(SQRT(SUMXMY2('Tabela Entrada-Saída'!$B$102:$O$102,'Coordenadas dos Polos'!$BF$2:$BS$2)))^2)</f>
        <v>9.9679687035680279E-5</v>
      </c>
      <c r="F102">
        <f>EXP(((-1)/(2*'Cálculos Diversos'!$B$5))*(SQRT(SUMXMY2('Tabela Entrada-Saída'!$B$102:$O$102,'Coordenadas dos Polos'!$BT$2:$CG$2)))^2)</f>
        <v>2.5321003403358403E-6</v>
      </c>
      <c r="G102">
        <f>EXP(((-1)/(2*'Cálculos Diversos'!$B$5))*(SQRT(SUMXMY2('Tabela Entrada-Saída'!$B$102:$O$102,'Coordenadas dos Polos'!$CH$2:$CU$2)))^2)</f>
        <v>1.270042067560226E-4</v>
      </c>
      <c r="H102">
        <f>EXP(((-1)/(2*'Cálculos Diversos'!$B$5))*(SQRT(SUMXMY2('Tabela Entrada-Saída'!$B$102:$O$102,'Coordenadas dos Polos'!$CV$2:$DI$2)))^2)</f>
        <v>5.9684227340880669E-6</v>
      </c>
      <c r="I102">
        <f>EXP(((-1)/(2*'Cálculos Diversos'!$B$5))*(SQRT(SUMXMY2('Tabela Entrada-Saída'!$B$102:$O$102,'Coordenadas dos Polos'!$DJ$2:$DW$2)))^2)</f>
        <v>2.6878339456951398E-4</v>
      </c>
      <c r="J102">
        <f>EXP(((-1)/(2*'Cálculos Diversos'!$B$5))*(SQRT(SUMXMY2('Tabela Entrada-Saída'!$B$102:$O$102,'Coordenadas dos Polos'!$DX$2:$EK$2)))^2)</f>
        <v>1.0164070366385228E-4</v>
      </c>
      <c r="K102">
        <f>EXP(((-1)/(2*'Cálculos Diversos'!$B$5))*(SQRT(SUMXMY2('Tabela Entrada-Saída'!$B$102:$O$102,'Coordenadas dos Polos'!$EL$2:$EY$2)))^2)</f>
        <v>4.3024134152069799E-6</v>
      </c>
      <c r="L102">
        <f>EXP(((-1)/(2*'Cálculos Diversos'!$B$5))*(SQRT(SUMXMY2('Tabela Entrada-Saída'!$B$102:$O$102,'Coordenadas dos Polos'!$EZ$2:$FM$2)))^2)</f>
        <v>6.2185087382333023E-7</v>
      </c>
      <c r="M102">
        <f>EXP(((-1)/(2*'Cálculos Diversos'!$B$5))*(SQRT(SUMXMY2('Tabela Entrada-Saída'!$B$102:$O$102,'Coordenadas dos Polos'!$FN$2:$GA$2)))^2)</f>
        <v>1.2486248913421684E-5</v>
      </c>
      <c r="N102">
        <f>EXP(((-1)/(2*'Cálculos Diversos'!$B$5))*(SQRT(SUMXMY2('Tabela Entrada-Saída'!$B$102:$O$102,'Coordenadas dos Polos'!$GB$2:$GO$2)))^2)</f>
        <v>3.091171868341595E-5</v>
      </c>
      <c r="O102">
        <f>EXP(((-1)/(2*'Cálculos Diversos'!$B$5))*(SQRT(SUMXMY2('Tabela Entrada-Saída'!$B$102:$O$102,'Coordenadas dos Polos'!$GP$2:$HC$2)))^2)</f>
        <v>2.5564486710518874E-6</v>
      </c>
      <c r="P102">
        <v>1</v>
      </c>
    </row>
    <row r="103" spans="1:16" x14ac:dyDescent="0.25">
      <c r="A103">
        <v>102</v>
      </c>
      <c r="B103">
        <f>EXP(((-1)/(2*'Cálculos Diversos'!$B$5))*(SQRT(SUMXMY2('Tabela Entrada-Saída'!$B$103:$O$103,'Coordenadas dos Polos'!$P$2:$AC$2)))^2)</f>
        <v>9.5787251021886427E-2</v>
      </c>
      <c r="C103">
        <f>EXP(((-1)/(2*'Cálculos Diversos'!$B$5))*(SQRT(SUMXMY2('Tabela Entrada-Saída'!$B$103:$O$103,'Coordenadas dos Polos'!$AD$2:$AQ$2)))^2)</f>
        <v>7.6621817284970261E-5</v>
      </c>
      <c r="D103">
        <f>EXP(((-1)/(2*'Cálculos Diversos'!$B$5))*(SQRT(SUMXMY2('Tabela Entrada-Saída'!$B$103:$O$103,'Coordenadas dos Polos'!$AR$2:$BE$2)))^2)</f>
        <v>2.72693006806932E-5</v>
      </c>
      <c r="E103">
        <f>EXP(((-1)/(2*'Cálculos Diversos'!$B$5))*(SQRT(SUMXMY2('Tabela Entrada-Saída'!$B$103:$O$103,'Coordenadas dos Polos'!$BF$2:$BS$2)))^2)</f>
        <v>1.0254788139933219E-4</v>
      </c>
      <c r="F103">
        <f>EXP(((-1)/(2*'Cálculos Diversos'!$B$5))*(SQRT(SUMXMY2('Tabela Entrada-Saída'!$B$103:$O$103,'Coordenadas dos Polos'!$BT$2:$CG$2)))^2)</f>
        <v>2.6249564472426677E-6</v>
      </c>
      <c r="G103">
        <f>EXP(((-1)/(2*'Cálculos Diversos'!$B$5))*(SQRT(SUMXMY2('Tabela Entrada-Saída'!$B$103:$O$103,'Coordenadas dos Polos'!$CH$2:$CU$2)))^2)</f>
        <v>1.273306909384977E-4</v>
      </c>
      <c r="H103">
        <f>EXP(((-1)/(2*'Cálculos Diversos'!$B$5))*(SQRT(SUMXMY2('Tabela Entrada-Saída'!$B$103:$O$103,'Coordenadas dos Polos'!$CV$2:$DI$2)))^2)</f>
        <v>5.9958786481302297E-6</v>
      </c>
      <c r="I103">
        <f>EXP(((-1)/(2*'Cálculos Diversos'!$B$5))*(SQRT(SUMXMY2('Tabela Entrada-Saída'!$B$103:$O$103,'Coordenadas dos Polos'!$DJ$2:$DW$2)))^2)</f>
        <v>2.6671446748611236E-4</v>
      </c>
      <c r="J103">
        <f>EXP(((-1)/(2*'Cálculos Diversos'!$B$5))*(SQRT(SUMXMY2('Tabela Entrada-Saída'!$B$103:$O$103,'Coordenadas dos Polos'!$DX$2:$EK$2)))^2)</f>
        <v>1.0232280354711355E-4</v>
      </c>
      <c r="K103">
        <f>EXP(((-1)/(2*'Cálculos Diversos'!$B$5))*(SQRT(SUMXMY2('Tabela Entrada-Saída'!$B$103:$O$103,'Coordenadas dos Polos'!$EL$2:$EY$2)))^2)</f>
        <v>4.3014458435151142E-6</v>
      </c>
      <c r="L103">
        <f>EXP(((-1)/(2*'Cálculos Diversos'!$B$5))*(SQRT(SUMXMY2('Tabela Entrada-Saída'!$B$103:$O$103,'Coordenadas dos Polos'!$EZ$2:$FM$2)))^2)</f>
        <v>6.413627805117466E-7</v>
      </c>
      <c r="M103">
        <f>EXP(((-1)/(2*'Cálculos Diversos'!$B$5))*(SQRT(SUMXMY2('Tabela Entrada-Saída'!$B$103:$O$103,'Coordenadas dos Polos'!$FN$2:$GA$2)))^2)</f>
        <v>1.2847453555110906E-5</v>
      </c>
      <c r="N103">
        <f>EXP(((-1)/(2*'Cálculos Diversos'!$B$5))*(SQRT(SUMXMY2('Tabela Entrada-Saída'!$B$103:$O$103,'Coordenadas dos Polos'!$GB$2:$GO$2)))^2)</f>
        <v>3.1728939566464668E-5</v>
      </c>
      <c r="O103">
        <f>EXP(((-1)/(2*'Cálculos Diversos'!$B$5))*(SQRT(SUMXMY2('Tabela Entrada-Saída'!$B$103:$O$103,'Coordenadas dos Polos'!$GP$2:$HC$2)))^2)</f>
        <v>2.6150786559746058E-6</v>
      </c>
      <c r="P103">
        <v>1</v>
      </c>
    </row>
    <row r="104" spans="1:16" x14ac:dyDescent="0.25">
      <c r="A104">
        <v>103</v>
      </c>
      <c r="B104">
        <f>EXP(((-1)/(2*'Cálculos Diversos'!$B$5))*(SQRT(SUMXMY2('Tabela Entrada-Saída'!$B$104:$O$104,'Coordenadas dos Polos'!$P$2:$AC$2)))^2)</f>
        <v>9.6446506099945928E-2</v>
      </c>
      <c r="C104">
        <f>EXP(((-1)/(2*'Cálculos Diversos'!$B$5))*(SQRT(SUMXMY2('Tabela Entrada-Saída'!$B$104:$O$104,'Coordenadas dos Polos'!$AD$2:$AQ$2)))^2)</f>
        <v>7.6822229619545495E-5</v>
      </c>
      <c r="D104">
        <f>EXP(((-1)/(2*'Cálculos Diversos'!$B$5))*(SQRT(SUMXMY2('Tabela Entrada-Saída'!$B$104:$O$104,'Coordenadas dos Polos'!$AR$2:$BE$2)))^2)</f>
        <v>2.7273253954833651E-5</v>
      </c>
      <c r="E104">
        <f>EXP(((-1)/(2*'Cálculos Diversos'!$B$5))*(SQRT(SUMXMY2('Tabela Entrada-Saída'!$B$104:$O$104,'Coordenadas dos Polos'!$BF$2:$BS$2)))^2)</f>
        <v>1.0306884440217513E-4</v>
      </c>
      <c r="F104">
        <f>EXP(((-1)/(2*'Cálculos Diversos'!$B$5))*(SQRT(SUMXMY2('Tabela Entrada-Saída'!$B$104:$O$104,'Coordenadas dos Polos'!$BT$2:$CG$2)))^2)</f>
        <v>2.6420479001788849E-6</v>
      </c>
      <c r="G104">
        <f>EXP(((-1)/(2*'Cálculos Diversos'!$B$5))*(SQRT(SUMXMY2('Tabela Entrada-Saída'!$B$104:$O$104,'Coordenadas dos Polos'!$CH$2:$CU$2)))^2)</f>
        <v>1.2741073764833803E-4</v>
      </c>
      <c r="H104">
        <f>EXP(((-1)/(2*'Cálculos Diversos'!$B$5))*(SQRT(SUMXMY2('Tabela Entrada-Saída'!$B$104:$O$104,'Coordenadas dos Polos'!$CV$2:$DI$2)))^2)</f>
        <v>6.00512499053654E-6</v>
      </c>
      <c r="I104">
        <f>EXP(((-1)/(2*'Cálculos Diversos'!$B$5))*(SQRT(SUMXMY2('Tabela Entrada-Saída'!$B$104:$O$104,'Coordenadas dos Polos'!$DJ$2:$DW$2)))^2)</f>
        <v>2.6635903079446656E-4</v>
      </c>
      <c r="J104">
        <f>EXP(((-1)/(2*'Cálculos Diversos'!$B$5))*(SQRT(SUMXMY2('Tabela Entrada-Saída'!$B$104:$O$104,'Coordenadas dos Polos'!$DX$2:$EK$2)))^2)</f>
        <v>1.0249077295319516E-4</v>
      </c>
      <c r="K104">
        <f>EXP(((-1)/(2*'Cálculos Diversos'!$B$5))*(SQRT(SUMXMY2('Tabela Entrada-Saída'!$B$104:$O$104,'Coordenadas dos Polos'!$EL$2:$EY$2)))^2)</f>
        <v>4.3028406298371824E-6</v>
      </c>
      <c r="L104">
        <f>EXP(((-1)/(2*'Cálculos Diversos'!$B$5))*(SQRT(SUMXMY2('Tabela Entrada-Saída'!$B$104:$O$104,'Coordenadas dos Polos'!$EZ$2:$FM$2)))^2)</f>
        <v>6.4506045966201417E-7</v>
      </c>
      <c r="M104">
        <f>EXP(((-1)/(2*'Cálculos Diversos'!$B$5))*(SQRT(SUMXMY2('Tabela Entrada-Saída'!$B$104:$O$104,'Coordenadas dos Polos'!$FN$2:$GA$2)))^2)</f>
        <v>1.2914736946616317E-5</v>
      </c>
      <c r="N104">
        <f>EXP(((-1)/(2*'Cálculos Diversos'!$B$5))*(SQRT(SUMXMY2('Tabela Entrada-Saída'!$B$104:$O$104,'Coordenadas dos Polos'!$GB$2:$GO$2)))^2)</f>
        <v>3.1895656723631705E-5</v>
      </c>
      <c r="O104">
        <f>EXP(((-1)/(2*'Cálculos Diversos'!$B$5))*(SQRT(SUMXMY2('Tabela Entrada-Saída'!$B$104:$O$104,'Coordenadas dos Polos'!$GP$2:$HC$2)))^2)</f>
        <v>2.6256709450895331E-6</v>
      </c>
      <c r="P104">
        <v>1</v>
      </c>
    </row>
    <row r="105" spans="1:16" x14ac:dyDescent="0.25">
      <c r="A105">
        <v>104</v>
      </c>
      <c r="B105">
        <f>EXP(((-1)/(2*'Cálculos Diversos'!$B$5))*(SQRT(SUMXMY2('Tabela Entrada-Saída'!$B$105:$O$105,'Coordenadas dos Polos'!$P$2:$AC$2)))^2)</f>
        <v>9.4208427629568881E-2</v>
      </c>
      <c r="C105">
        <f>EXP(((-1)/(2*'Cálculos Diversos'!$B$5))*(SQRT(SUMXMY2('Tabela Entrada-Saída'!$B$105:$O$105,'Coordenadas dos Polos'!$AD$2:$AQ$2)))^2)</f>
        <v>7.6232489643347025E-5</v>
      </c>
      <c r="D105">
        <f>EXP(((-1)/(2*'Cálculos Diversos'!$B$5))*(SQRT(SUMXMY2('Tabela Entrada-Saída'!$B$105:$O$105,'Coordenadas dos Polos'!$AR$2:$BE$2)))^2)</f>
        <v>2.7284609018762797E-5</v>
      </c>
      <c r="E105">
        <f>EXP(((-1)/(2*'Cálculos Diversos'!$B$5))*(SQRT(SUMXMY2('Tabela Entrada-Saída'!$B$105:$O$105,'Coordenadas dos Polos'!$BF$2:$BS$2)))^2)</f>
        <v>1.013376991467322E-4</v>
      </c>
      <c r="F105">
        <f>EXP(((-1)/(2*'Cálculos Diversos'!$B$5))*(SQRT(SUMXMY2('Tabela Entrada-Saída'!$B$105:$O$105,'Coordenadas dos Polos'!$BT$2:$CG$2)))^2)</f>
        <v>2.5856855007990401E-6</v>
      </c>
      <c r="G105">
        <f>EXP(((-1)/(2*'Cálculos Diversos'!$B$5))*(SQRT(SUMXMY2('Tabela Entrada-Saída'!$B$105:$O$105,'Coordenadas dos Polos'!$CH$2:$CU$2)))^2)</f>
        <v>1.2721205150265818E-4</v>
      </c>
      <c r="H105">
        <f>EXP(((-1)/(2*'Cálculos Diversos'!$B$5))*(SQRT(SUMXMY2('Tabela Entrada-Saída'!$B$105:$O$105,'Coordenadas dos Polos'!$CV$2:$DI$2)))^2)</f>
        <v>5.9865008220993934E-6</v>
      </c>
      <c r="I105">
        <f>EXP(((-1)/(2*'Cálculos Diversos'!$B$5))*(SQRT(SUMXMY2('Tabela Entrada-Saída'!$B$105:$O$105,'Coordenadas dos Polos'!$DJ$2:$DW$2)))^2)</f>
        <v>2.6761337460585956E-4</v>
      </c>
      <c r="J105">
        <f>EXP(((-1)/(2*'Cálculos Diversos'!$B$5))*(SQRT(SUMXMY2('Tabela Entrada-Saída'!$B$105:$O$105,'Coordenadas dos Polos'!$DX$2:$EK$2)))^2)</f>
        <v>1.0206122662812669E-4</v>
      </c>
      <c r="K105">
        <f>EXP(((-1)/(2*'Cálculos Diversos'!$B$5))*(SQRT(SUMXMY2('Tabela Entrada-Saída'!$B$105:$O$105,'Coordenadas dos Polos'!$EL$2:$EY$2)))^2)</f>
        <v>4.3028388316783231E-6</v>
      </c>
      <c r="L105">
        <f>EXP(((-1)/(2*'Cálculos Diversos'!$B$5))*(SQRT(SUMXMY2('Tabela Entrada-Saída'!$B$105:$O$105,'Coordenadas dos Polos'!$EZ$2:$FM$2)))^2)</f>
        <v>6.3317630484841017E-7</v>
      </c>
      <c r="M105">
        <f>EXP(((-1)/(2*'Cálculos Diversos'!$B$5))*(SQRT(SUMXMY2('Tabela Entrada-Saída'!$B$105:$O$105,'Coordenadas dos Polos'!$FN$2:$GA$2)))^2)</f>
        <v>1.2695726153871467E-5</v>
      </c>
      <c r="N105">
        <f>EXP(((-1)/(2*'Cálculos Diversos'!$B$5))*(SQRT(SUMXMY2('Tabela Entrada-Saída'!$B$105:$O$105,'Coordenadas dos Polos'!$GB$2:$GO$2)))^2)</f>
        <v>3.1391513974392674E-5</v>
      </c>
      <c r="O105">
        <f>EXP(((-1)/(2*'Cálculos Diversos'!$B$5))*(SQRT(SUMXMY2('Tabela Entrada-Saída'!$B$105:$O$105,'Coordenadas dos Polos'!$GP$2:$HC$2)))^2)</f>
        <v>2.5904073255888543E-6</v>
      </c>
      <c r="P105">
        <v>1</v>
      </c>
    </row>
    <row r="106" spans="1:16" x14ac:dyDescent="0.25">
      <c r="A106">
        <v>105</v>
      </c>
      <c r="B106">
        <f>EXP(((-1)/(2*'Cálculos Diversos'!$B$5))*(SQRT(SUMXMY2('Tabela Entrada-Saída'!$B$106:$O$106,'Coordenadas dos Polos'!$P$2:$AC$2)))^2)</f>
        <v>9.2889907391328963E-2</v>
      </c>
      <c r="C106">
        <f>EXP(((-1)/(2*'Cálculos Diversos'!$B$5))*(SQRT(SUMXMY2('Tabela Entrada-Saída'!$B$106:$O$106,'Coordenadas dos Polos'!$AD$2:$AQ$2)))^2)</f>
        <v>7.586291939387482E-5</v>
      </c>
      <c r="D106">
        <f>EXP(((-1)/(2*'Cálculos Diversos'!$B$5))*(SQRT(SUMXMY2('Tabela Entrada-Saída'!$B$106:$O$106,'Coordenadas dos Polos'!$AR$2:$BE$2)))^2)</f>
        <v>2.7285031456121189E-5</v>
      </c>
      <c r="E106">
        <f>EXP(((-1)/(2*'Cálculos Diversos'!$B$5))*(SQRT(SUMXMY2('Tabela Entrada-Saída'!$B$106:$O$106,'Coordenadas dos Polos'!$BF$2:$BS$2)))^2)</f>
        <v>1.0030418066609033E-4</v>
      </c>
      <c r="F106">
        <f>EXP(((-1)/(2*'Cálculos Diversos'!$B$5))*(SQRT(SUMXMY2('Tabela Entrada-Saída'!$B$106:$O$106,'Coordenadas dos Polos'!$BT$2:$CG$2)))^2)</f>
        <v>2.5521603911629796E-6</v>
      </c>
      <c r="G106">
        <f>EXP(((-1)/(2*'Cálculos Diversos'!$B$5))*(SQRT(SUMXMY2('Tabela Entrada-Saída'!$B$106:$O$106,'Coordenadas dos Polos'!$CH$2:$CU$2)))^2)</f>
        <v>1.2707417150914434E-4</v>
      </c>
      <c r="H106">
        <f>EXP(((-1)/(2*'Cálculos Diversos'!$B$5))*(SQRT(SUMXMY2('Tabela Entrada-Saída'!$B$106:$O$106,'Coordenadas dos Polos'!$CV$2:$DI$2)))^2)</f>
        <v>5.9730615078539624E-6</v>
      </c>
      <c r="I106">
        <f>EXP(((-1)/(2*'Cálculos Diversos'!$B$5))*(SQRT(SUMXMY2('Tabela Entrada-Saída'!$B$106:$O$106,'Coordenadas dos Polos'!$DJ$2:$DW$2)))^2)</f>
        <v>2.6833111137230804E-4</v>
      </c>
      <c r="J106">
        <f>EXP(((-1)/(2*'Cálculos Diversos'!$B$5))*(SQRT(SUMXMY2('Tabela Entrada-Saída'!$B$106:$O$106,'Coordenadas dos Polos'!$DX$2:$EK$2)))^2)</f>
        <v>1.0177677081794732E-4</v>
      </c>
      <c r="K106">
        <f>EXP(((-1)/(2*'Cálculos Diversos'!$B$5))*(SQRT(SUMXMY2('Tabela Entrada-Saída'!$B$106:$O$106,'Coordenadas dos Polos'!$EL$2:$EY$2)))^2)</f>
        <v>4.3018023586871592E-6</v>
      </c>
      <c r="L106">
        <f>EXP(((-1)/(2*'Cálculos Diversos'!$B$5))*(SQRT(SUMXMY2('Tabela Entrada-Saída'!$B$106:$O$106,'Coordenadas dos Polos'!$EZ$2:$FM$2)))^2)</f>
        <v>6.2603748143750123E-7</v>
      </c>
      <c r="M106">
        <f>EXP(((-1)/(2*'Cálculos Diversos'!$B$5))*(SQRT(SUMXMY2('Tabela Entrada-Saída'!$B$106:$O$106,'Coordenadas dos Polos'!$FN$2:$GA$2)))^2)</f>
        <v>1.256426335617141E-5</v>
      </c>
      <c r="N106">
        <f>EXP(((-1)/(2*'Cálculos Diversos'!$B$5))*(SQRT(SUMXMY2('Tabela Entrada-Saída'!$B$106:$O$106,'Coordenadas dos Polos'!$GB$2:$GO$2)))^2)</f>
        <v>3.1083398246781581E-5</v>
      </c>
      <c r="O106">
        <f>EXP(((-1)/(2*'Cálculos Diversos'!$B$5))*(SQRT(SUMXMY2('Tabela Entrada-Saída'!$B$106:$O$106,'Coordenadas dos Polos'!$GP$2:$HC$2)))^2)</f>
        <v>2.5692894577536114E-6</v>
      </c>
      <c r="P106">
        <v>1</v>
      </c>
    </row>
    <row r="107" spans="1:16" x14ac:dyDescent="0.25">
      <c r="A107">
        <v>106</v>
      </c>
      <c r="B107">
        <f>EXP(((-1)/(2*'Cálculos Diversos'!$B$5))*(SQRT(SUMXMY2('Tabela Entrada-Saída'!$B$107:$O$107,'Coordenadas dos Polos'!$P$2:$AC$2)))^2)</f>
        <v>9.627638650099897E-2</v>
      </c>
      <c r="C107">
        <f>EXP(((-1)/(2*'Cálculos Diversos'!$B$5))*(SQRT(SUMXMY2('Tabela Entrada-Saída'!$B$107:$O$107,'Coordenadas dos Polos'!$AD$2:$AQ$2)))^2)</f>
        <v>7.6748415777095266E-5</v>
      </c>
      <c r="D107">
        <f>EXP(((-1)/(2*'Cálculos Diversos'!$B$5))*(SQRT(SUMXMY2('Tabela Entrada-Saída'!$B$107:$O$107,'Coordenadas dos Polos'!$AR$2:$BE$2)))^2)</f>
        <v>2.7265512005058733E-5</v>
      </c>
      <c r="E107">
        <f>EXP(((-1)/(2*'Cálculos Diversos'!$B$5))*(SQRT(SUMXMY2('Tabela Entrada-Saída'!$B$107:$O$107,'Coordenadas dos Polos'!$BF$2:$BS$2)))^2)</f>
        <v>1.0292432194585214E-4</v>
      </c>
      <c r="F107">
        <f>EXP(((-1)/(2*'Cálculos Diversos'!$B$5))*(SQRT(SUMXMY2('Tabela Entrada-Saída'!$B$107:$O$107,'Coordenadas dos Polos'!$BT$2:$CG$2)))^2)</f>
        <v>2.6373841319477321E-6</v>
      </c>
      <c r="G107">
        <f>EXP(((-1)/(2*'Cálculos Diversos'!$B$5))*(SQRT(SUMXMY2('Tabela Entrada-Saída'!$B$107:$O$107,'Coordenadas dos Polos'!$CH$2:$CU$2)))^2)</f>
        <v>1.2737697382901171E-4</v>
      </c>
      <c r="H107">
        <f>EXP(((-1)/(2*'Cálculos Diversos'!$B$5))*(SQRT(SUMXMY2('Tabela Entrada-Saída'!$B$107:$O$107,'Coordenadas dos Polos'!$CV$2:$DI$2)))^2)</f>
        <v>5.9997630498756794E-6</v>
      </c>
      <c r="I107">
        <f>EXP(((-1)/(2*'Cálculos Diversos'!$B$5))*(SQRT(SUMXMY2('Tabela Entrada-Saída'!$B$107:$O$107,'Coordenadas dos Polos'!$DJ$2:$DW$2)))^2)</f>
        <v>2.6642680155524389E-4</v>
      </c>
      <c r="J107">
        <f>EXP(((-1)/(2*'Cálculos Diversos'!$B$5))*(SQRT(SUMXMY2('Tabela Entrada-Saída'!$B$107:$O$107,'Coordenadas dos Polos'!$DX$2:$EK$2)))^2)</f>
        <v>1.0242289188194371E-4</v>
      </c>
      <c r="K107">
        <f>EXP(((-1)/(2*'Cálculos Diversos'!$B$5))*(SQRT(SUMXMY2('Tabela Entrada-Saída'!$B$107:$O$107,'Coordenadas dos Polos'!$EL$2:$EY$2)))^2)</f>
        <v>4.3012513076771108E-6</v>
      </c>
      <c r="L107">
        <f>EXP(((-1)/(2*'Cálculos Diversos'!$B$5))*(SQRT(SUMXMY2('Tabela Entrada-Saída'!$B$107:$O$107,'Coordenadas dos Polos'!$EZ$2:$FM$2)))^2)</f>
        <v>6.4397514336799234E-7</v>
      </c>
      <c r="M107">
        <f>EXP(((-1)/(2*'Cálculos Diversos'!$B$5))*(SQRT(SUMXMY2('Tabela Entrada-Saída'!$B$107:$O$107,'Coordenadas dos Polos'!$FN$2:$GA$2)))^2)</f>
        <v>1.2894972467784026E-5</v>
      </c>
      <c r="N107">
        <f>EXP(((-1)/(2*'Cálculos Diversos'!$B$5))*(SQRT(SUMXMY2('Tabela Entrada-Saída'!$B$107:$O$107,'Coordenadas dos Polos'!$GB$2:$GO$2)))^2)</f>
        <v>3.1839305518243786E-5</v>
      </c>
      <c r="O107">
        <f>EXP(((-1)/(2*'Cálculos Diversos'!$B$5))*(SQRT(SUMXMY2('Tabela Entrada-Saída'!$B$107:$O$107,'Coordenadas dos Polos'!$GP$2:$HC$2)))^2)</f>
        <v>2.6228240105636803E-6</v>
      </c>
      <c r="P107">
        <v>1</v>
      </c>
    </row>
    <row r="108" spans="1:16" x14ac:dyDescent="0.25">
      <c r="A108">
        <v>107</v>
      </c>
      <c r="B108">
        <f>EXP(((-1)/(2*'Cálculos Diversos'!$B$5))*(SQRT(SUMXMY2('Tabela Entrada-Saída'!$B$108:$O$108,'Coordenadas dos Polos'!$P$2:$AC$2)))^2)</f>
        <v>9.5504706311278373E-2</v>
      </c>
      <c r="C108">
        <f>EXP(((-1)/(2*'Cálculos Diversos'!$B$5))*(SQRT(SUMXMY2('Tabela Entrada-Saída'!$B$108:$O$108,'Coordenadas dos Polos'!$AD$2:$AQ$2)))^2)</f>
        <v>7.6573349813516722E-5</v>
      </c>
      <c r="D108">
        <f>EXP(((-1)/(2*'Cálculos Diversos'!$B$5))*(SQRT(SUMXMY2('Tabela Entrada-Saída'!$B$108:$O$108,'Coordenadas dos Polos'!$AR$2:$BE$2)))^2)</f>
        <v>2.7276763487524624E-5</v>
      </c>
      <c r="E108">
        <f>EXP(((-1)/(2*'Cálculos Diversos'!$B$5))*(SQRT(SUMXMY2('Tabela Entrada-Saída'!$B$108:$O$108,'Coordenadas dos Polos'!$BF$2:$BS$2)))^2)</f>
        <v>1.0233845358340519E-4</v>
      </c>
      <c r="F108">
        <f>EXP(((-1)/(2*'Cálculos Diversos'!$B$5))*(SQRT(SUMXMY2('Tabela Entrada-Saída'!$B$108:$O$108,'Coordenadas dos Polos'!$BT$2:$CG$2)))^2)</f>
        <v>2.6182917424281983E-6</v>
      </c>
      <c r="G108">
        <f>EXP(((-1)/(2*'Cálculos Diversos'!$B$5))*(SQRT(SUMXMY2('Tabela Entrada-Saída'!$B$108:$O$108,'Coordenadas dos Polos'!$CH$2:$CU$2)))^2)</f>
        <v>1.2732822452449653E-4</v>
      </c>
      <c r="H108">
        <f>EXP(((-1)/(2*'Cálculos Diversos'!$B$5))*(SQRT(SUMXMY2('Tabela Entrada-Saída'!$B$108:$O$108,'Coordenadas dos Polos'!$CV$2:$DI$2)))^2)</f>
        <v>5.9971253051336706E-6</v>
      </c>
      <c r="I108">
        <f>EXP(((-1)/(2*'Cálculos Diversos'!$B$5))*(SQRT(SUMXMY2('Tabela Entrada-Saída'!$B$108:$O$108,'Coordenadas dos Polos'!$DJ$2:$DW$2)))^2)</f>
        <v>2.6687340894573913E-4</v>
      </c>
      <c r="J108">
        <f>EXP(((-1)/(2*'Cálculos Diversos'!$B$5))*(SQRT(SUMXMY2('Tabela Entrada-Saída'!$B$108:$O$108,'Coordenadas dos Polos'!$DX$2:$EK$2)))^2)</f>
        <v>1.0231252413638552E-4</v>
      </c>
      <c r="K108">
        <f>EXP(((-1)/(2*'Cálculos Diversos'!$B$5))*(SQRT(SUMXMY2('Tabela Entrada-Saída'!$B$108:$O$108,'Coordenadas dos Polos'!$EL$2:$EY$2)))^2)</f>
        <v>4.3026866826183418E-6</v>
      </c>
      <c r="L108">
        <f>EXP(((-1)/(2*'Cálculos Diversos'!$B$5))*(SQRT(SUMXMY2('Tabela Entrada-Saída'!$B$108:$O$108,'Coordenadas dos Polos'!$EZ$2:$FM$2)))^2)</f>
        <v>6.4003870005360956E-7</v>
      </c>
      <c r="M108">
        <f>EXP(((-1)/(2*'Cálculos Diversos'!$B$5))*(SQRT(SUMXMY2('Tabela Entrada-Saída'!$B$108:$O$108,'Coordenadas dos Polos'!$FN$2:$GA$2)))^2)</f>
        <v>1.2822300955023981E-5</v>
      </c>
      <c r="N108">
        <f>EXP(((-1)/(2*'Cálculos Diversos'!$B$5))*(SQRT(SUMXMY2('Tabela Entrada-Saída'!$B$108:$O$108,'Coordenadas dos Polos'!$GB$2:$GO$2)))^2)</f>
        <v>3.1682865770324707E-5</v>
      </c>
      <c r="O108">
        <f>EXP(((-1)/(2*'Cálculos Diversos'!$B$5))*(SQRT(SUMXMY2('Tabela Entrada-Saída'!$B$108:$O$108,'Coordenadas dos Polos'!$GP$2:$HC$2)))^2)</f>
        <v>2.6108231750005505E-6</v>
      </c>
      <c r="P108">
        <v>1</v>
      </c>
    </row>
    <row r="109" spans="1:16" x14ac:dyDescent="0.25">
      <c r="A109">
        <v>108</v>
      </c>
      <c r="B109">
        <f>EXP(((-1)/(2*'Cálculos Diversos'!$B$5))*(SQRT(SUMXMY2('Tabela Entrada-Saída'!$B$109:$O$109,'Coordenadas dos Polos'!$P$2:$AC$2)))^2)</f>
        <v>9.2883254569559148E-2</v>
      </c>
      <c r="C109">
        <f>EXP(((-1)/(2*'Cálculos Diversos'!$B$5))*(SQRT(SUMXMY2('Tabela Entrada-Saída'!$B$109:$O$109,'Coordenadas dos Polos'!$AD$2:$AQ$2)))^2)</f>
        <v>7.5881479441497991E-5</v>
      </c>
      <c r="D109">
        <f>EXP(((-1)/(2*'Cálculos Diversos'!$B$5))*(SQRT(SUMXMY2('Tabela Entrada-Saída'!$B$109:$O$109,'Coordenadas dos Polos'!$AR$2:$BE$2)))^2)</f>
        <v>2.729064532535147E-5</v>
      </c>
      <c r="E109">
        <f>EXP(((-1)/(2*'Cálculos Diversos'!$B$5))*(SQRT(SUMXMY2('Tabela Entrada-Saída'!$B$109:$O$109,'Coordenadas dos Polos'!$BF$2:$BS$2)))^2)</f>
        <v>1.0030742164714625E-4</v>
      </c>
      <c r="F109">
        <f>EXP(((-1)/(2*'Cálculos Diversos'!$B$5))*(SQRT(SUMXMY2('Tabela Entrada-Saída'!$B$109:$O$109,'Coordenadas dos Polos'!$BT$2:$CG$2)))^2)</f>
        <v>2.5523950159353028E-6</v>
      </c>
      <c r="G109">
        <f>EXP(((-1)/(2*'Cálculos Diversos'!$B$5))*(SQRT(SUMXMY2('Tabela Entrada-Saída'!$B$109:$O$109,'Coordenadas dos Polos'!$CH$2:$CU$2)))^2)</f>
        <v>1.2709035455784706E-4</v>
      </c>
      <c r="H109">
        <f>EXP(((-1)/(2*'Cálculos Diversos'!$B$5))*(SQRT(SUMXMY2('Tabela Entrada-Saída'!$B$109:$O$109,'Coordenadas dos Polos'!$CV$2:$DI$2)))^2)</f>
        <v>5.9757990829981626E-6</v>
      </c>
      <c r="I109">
        <f>EXP(((-1)/(2*'Cálculos Diversos'!$B$5))*(SQRT(SUMXMY2('Tabela Entrada-Saída'!$B$109:$O$109,'Coordenadas dos Polos'!$DJ$2:$DW$2)))^2)</f>
        <v>2.6834628814719294E-4</v>
      </c>
      <c r="J109">
        <f>EXP(((-1)/(2*'Cálculos Diversos'!$B$5))*(SQRT(SUMXMY2('Tabela Entrada-Saída'!$B$109:$O$109,'Coordenadas dos Polos'!$DX$2:$EK$2)))^2)</f>
        <v>1.0180936674580784E-4</v>
      </c>
      <c r="K109">
        <f>EXP(((-1)/(2*'Cálculos Diversos'!$B$5))*(SQRT(SUMXMY2('Tabela Entrada-Saída'!$B$109:$O$109,'Coordenadas dos Polos'!$EL$2:$EY$2)))^2)</f>
        <v>4.3027919220441175E-6</v>
      </c>
      <c r="L109">
        <f>EXP(((-1)/(2*'Cálculos Diversos'!$B$5))*(SQRT(SUMXMY2('Tabela Entrada-Saída'!$B$109:$O$109,'Coordenadas dos Polos'!$EZ$2:$FM$2)))^2)</f>
        <v>6.2615177750697835E-7</v>
      </c>
      <c r="M109">
        <f>EXP(((-1)/(2*'Cálculos Diversos'!$B$5))*(SQRT(SUMXMY2('Tabela Entrada-Saída'!$B$109:$O$109,'Coordenadas dos Polos'!$FN$2:$GA$2)))^2)</f>
        <v>1.2565744422055123E-5</v>
      </c>
      <c r="N109">
        <f>EXP(((-1)/(2*'Cálculos Diversos'!$B$5))*(SQRT(SUMXMY2('Tabela Entrada-Saída'!$B$109:$O$109,'Coordenadas dos Polos'!$GB$2:$GO$2)))^2)</f>
        <v>3.1095001630270652E-5</v>
      </c>
      <c r="O109">
        <f>EXP(((-1)/(2*'Cálculos Diversos'!$B$5))*(SQRT(SUMXMY2('Tabela Entrada-Saída'!$B$109:$O$109,'Coordenadas dos Polos'!$GP$2:$HC$2)))^2)</f>
        <v>2.5693437861046212E-6</v>
      </c>
      <c r="P109">
        <v>1</v>
      </c>
    </row>
    <row r="110" spans="1:16" x14ac:dyDescent="0.25">
      <c r="A110">
        <v>109</v>
      </c>
      <c r="B110">
        <f>EXP(((-1)/(2*'Cálculos Diversos'!$B$5))*(SQRT(SUMXMY2('Tabela Entrada-Saída'!$B$110:$O$110,'Coordenadas dos Polos'!$P$2:$AC$2)))^2)</f>
        <v>9.6430024922222551E-2</v>
      </c>
      <c r="C110">
        <f>EXP(((-1)/(2*'Cálculos Diversos'!$B$5))*(SQRT(SUMXMY2('Tabela Entrada-Saída'!$B$110:$O$110,'Coordenadas dos Polos'!$AD$2:$AQ$2)))^2)</f>
        <v>7.6796872367003316E-5</v>
      </c>
      <c r="D110">
        <f>EXP(((-1)/(2*'Cálculos Diversos'!$B$5))*(SQRT(SUMXMY2('Tabela Entrada-Saída'!$B$110:$O$110,'Coordenadas dos Polos'!$AR$2:$BE$2)))^2)</f>
        <v>2.7266085470716201E-5</v>
      </c>
      <c r="E110">
        <f>EXP(((-1)/(2*'Cálculos Diversos'!$B$5))*(SQRT(SUMXMY2('Tabela Entrada-Saída'!$B$110:$O$110,'Coordenadas dos Polos'!$BF$2:$BS$2)))^2)</f>
        <v>1.030486829830459E-4</v>
      </c>
      <c r="F110">
        <f>EXP(((-1)/(2*'Cálculos Diversos'!$B$5))*(SQRT(SUMXMY2('Tabela Entrada-Saída'!$B$110:$O$110,'Coordenadas dos Polos'!$BT$2:$CG$2)))^2)</f>
        <v>2.6415564946858589E-6</v>
      </c>
      <c r="G110">
        <f>EXP(((-1)/(2*'Cálculos Diversos'!$B$5))*(SQRT(SUMXMY2('Tabela Entrada-Saída'!$B$110:$O$110,'Coordenadas dos Polos'!$CH$2:$CU$2)))^2)</f>
        <v>1.2740324304419962E-4</v>
      </c>
      <c r="H110">
        <f>EXP(((-1)/(2*'Cálculos Diversos'!$B$5))*(SQRT(SUMXMY2('Tabela Entrada-Saída'!$B$110:$O$110,'Coordenadas dos Polos'!$CV$2:$DI$2)))^2)</f>
        <v>6.001756941865568E-6</v>
      </c>
      <c r="I110">
        <f>EXP(((-1)/(2*'Cálculos Diversos'!$B$5))*(SQRT(SUMXMY2('Tabela Entrada-Saída'!$B$110:$O$110,'Coordenadas dos Polos'!$DJ$2:$DW$2)))^2)</f>
        <v>2.6635059585145476E-4</v>
      </c>
      <c r="J110">
        <f>EXP(((-1)/(2*'Cálculos Diversos'!$B$5))*(SQRT(SUMXMY2('Tabela Entrada-Saída'!$B$110:$O$110,'Coordenadas dos Polos'!$DX$2:$EK$2)))^2)</f>
        <v>1.0246909258508814E-4</v>
      </c>
      <c r="K110">
        <f>EXP(((-1)/(2*'Cálculos Diversos'!$B$5))*(SQRT(SUMXMY2('Tabela Entrada-Saída'!$B$110:$O$110,'Coordenadas dos Polos'!$EL$2:$EY$2)))^2)</f>
        <v>4.3014857997157963E-6</v>
      </c>
      <c r="L110">
        <f>EXP(((-1)/(2*'Cálculos Diversos'!$B$5))*(SQRT(SUMXMY2('Tabela Entrada-Saída'!$B$110:$O$110,'Coordenadas dos Polos'!$EZ$2:$FM$2)))^2)</f>
        <v>6.4485851650365059E-7</v>
      </c>
      <c r="M110">
        <f>EXP(((-1)/(2*'Cálculos Diversos'!$B$5))*(SQRT(SUMXMY2('Tabela Entrada-Saída'!$B$110:$O$110,'Coordenadas dos Polos'!$FN$2:$GA$2)))^2)</f>
        <v>1.29111206215588E-5</v>
      </c>
      <c r="N110">
        <f>EXP(((-1)/(2*'Cálculos Diversos'!$B$5))*(SQRT(SUMXMY2('Tabela Entrada-Saída'!$B$110:$O$110,'Coordenadas dos Polos'!$GB$2:$GO$2)))^2)</f>
        <v>3.1877122545002059E-5</v>
      </c>
      <c r="O110">
        <f>EXP(((-1)/(2*'Cálculos Diversos'!$B$5))*(SQRT(SUMXMY2('Tabela Entrada-Saída'!$B$110:$O$110,'Coordenadas dos Polos'!$GP$2:$HC$2)))^2)</f>
        <v>2.6253892134777131E-6</v>
      </c>
      <c r="P110">
        <v>1</v>
      </c>
    </row>
    <row r="111" spans="1:16" x14ac:dyDescent="0.25">
      <c r="A111">
        <v>110</v>
      </c>
      <c r="B111">
        <f>EXP(((-1)/(2*'Cálculos Diversos'!$B$5))*(SQRT(SUMXMY2('Tabela Entrada-Saída'!$B$111:$O$111,'Coordenadas dos Polos'!$P$2:$AC$2)))^2)</f>
        <v>9.2702948056947482E-2</v>
      </c>
      <c r="C111">
        <f>EXP(((-1)/(2*'Cálculos Diversos'!$B$5))*(SQRT(SUMXMY2('Tabela Entrada-Saída'!$B$111:$O$111,'Coordenadas dos Polos'!$AD$2:$AQ$2)))^2)</f>
        <v>7.5828329323769745E-5</v>
      </c>
      <c r="D111">
        <f>EXP(((-1)/(2*'Cálculos Diversos'!$B$5))*(SQRT(SUMXMY2('Tabela Entrada-Saída'!$B$111:$O$111,'Coordenadas dos Polos'!$AR$2:$BE$2)))^2)</f>
        <v>2.7289915634714732E-5</v>
      </c>
      <c r="E111">
        <f>EXP(((-1)/(2*'Cálculos Diversos'!$B$5))*(SQRT(SUMXMY2('Tabela Entrada-Saída'!$B$111:$O$111,'Coordenadas dos Polos'!$BF$2:$BS$2)))^2)</f>
        <v>1.0016644143341615E-4</v>
      </c>
      <c r="F111">
        <f>EXP(((-1)/(2*'Cálculos Diversos'!$B$5))*(SQRT(SUMXMY2('Tabela Entrada-Saída'!$B$111:$O$111,'Coordenadas dos Polos'!$BT$2:$CG$2)))^2)</f>
        <v>2.5478991945274508E-6</v>
      </c>
      <c r="G111">
        <f>EXP(((-1)/(2*'Cálculos Diversos'!$B$5))*(SQRT(SUMXMY2('Tabela Entrada-Saída'!$B$111:$O$111,'Coordenadas dos Polos'!$CH$2:$CU$2)))^2)</f>
        <v>1.2707361396906611E-4</v>
      </c>
      <c r="H111">
        <f>EXP(((-1)/(2*'Cálculos Diversos'!$B$5))*(SQRT(SUMXMY2('Tabela Entrada-Saída'!$B$111:$O$111,'Coordenadas dos Polos'!$CV$2:$DI$2)))^2)</f>
        <v>5.9735388100253013E-6</v>
      </c>
      <c r="I111">
        <f>EXP(((-1)/(2*'Cálculos Diversos'!$B$5))*(SQRT(SUMXMY2('Tabela Entrada-Saída'!$B$111:$O$111,'Coordenadas dos Polos'!$DJ$2:$DW$2)))^2)</f>
        <v>2.6844335769576303E-4</v>
      </c>
      <c r="J111">
        <f>EXP(((-1)/(2*'Cálculos Diversos'!$B$5))*(SQRT(SUMXMY2('Tabela Entrada-Saída'!$B$111:$O$111,'Coordenadas dos Polos'!$DX$2:$EK$2)))^2)</f>
        <v>1.0177190534520562E-4</v>
      </c>
      <c r="K111">
        <f>EXP(((-1)/(2*'Cálculos Diversos'!$B$5))*(SQRT(SUMXMY2('Tabela Entrada-Saída'!$B$111:$O$111,'Coordenadas dos Polos'!$EL$2:$EY$2)))^2)</f>
        <v>4.3024720331865018E-6</v>
      </c>
      <c r="L111">
        <f>EXP(((-1)/(2*'Cálculos Diversos'!$B$5))*(SQRT(SUMXMY2('Tabela Entrada-Saída'!$B$111:$O$111,'Coordenadas dos Polos'!$EZ$2:$FM$2)))^2)</f>
        <v>6.2518636194216124E-7</v>
      </c>
      <c r="M111">
        <f>EXP(((-1)/(2*'Cálculos Diversos'!$B$5))*(SQRT(SUMXMY2('Tabela Entrada-Saída'!$B$111:$O$111,'Coordenadas dos Polos'!$FN$2:$GA$2)))^2)</f>
        <v>1.2547607677153147E-5</v>
      </c>
      <c r="N111">
        <f>EXP(((-1)/(2*'Cálculos Diversos'!$B$5))*(SQRT(SUMXMY2('Tabela Entrada-Saída'!$B$111:$O$111,'Coordenadas dos Polos'!$GB$2:$GO$2)))^2)</f>
        <v>3.105148571667982E-5</v>
      </c>
      <c r="O111">
        <f>EXP(((-1)/(2*'Cálculos Diversos'!$B$5))*(SQRT(SUMXMY2('Tabela Entrada-Saída'!$B$111:$O$111,'Coordenadas dos Polos'!$GP$2:$HC$2)))^2)</f>
        <v>2.5665258642399159E-6</v>
      </c>
      <c r="P111">
        <v>1</v>
      </c>
    </row>
    <row r="112" spans="1:16" x14ac:dyDescent="0.25">
      <c r="A112">
        <v>111</v>
      </c>
      <c r="B112">
        <f>EXP(((-1)/(2*'Cálculos Diversos'!$B$5))*(SQRT(SUMXMY2('Tabela Entrada-Saída'!$B$112:$O$112,'Coordenadas dos Polos'!$P$2:$AC$2)))^2)</f>
        <v>9.2453463551686862E-2</v>
      </c>
      <c r="C112">
        <f>EXP(((-1)/(2*'Cálculos Diversos'!$B$5))*(SQRT(SUMXMY2('Tabela Entrada-Saída'!$B$112:$O$112,'Coordenadas dos Polos'!$AD$2:$AQ$2)))^2)</f>
        <v>7.5748212980879942E-5</v>
      </c>
      <c r="D112">
        <f>EXP(((-1)/(2*'Cálculos Diversos'!$B$5))*(SQRT(SUMXMY2('Tabela Entrada-Saída'!$B$112:$O$112,'Coordenadas dos Polos'!$AR$2:$BE$2)))^2)</f>
        <v>2.7287604891725347E-5</v>
      </c>
      <c r="E112">
        <f>EXP(((-1)/(2*'Cálculos Diversos'!$B$5))*(SQRT(SUMXMY2('Tabela Entrada-Saída'!$B$112:$O$112,'Coordenadas dos Polos'!$BF$2:$BS$2)))^2)</f>
        <v>9.9966050095831751E-5</v>
      </c>
      <c r="F112">
        <f>EXP(((-1)/(2*'Cálculos Diversos'!$B$5))*(SQRT(SUMXMY2('Tabela Entrada-Saída'!$B$112:$O$112,'Coordenadas dos Polos'!$BT$2:$CG$2)))^2)</f>
        <v>2.541397418946642E-6</v>
      </c>
      <c r="G112">
        <f>EXP(((-1)/(2*'Cálculos Diversos'!$B$5))*(SQRT(SUMXMY2('Tabela Entrada-Saída'!$B$112:$O$112,'Coordenadas dos Polos'!$CH$2:$CU$2)))^2)</f>
        <v>1.2703701439275994E-4</v>
      </c>
      <c r="H112">
        <f>EXP(((-1)/(2*'Cálculos Diversos'!$B$5))*(SQRT(SUMXMY2('Tabela Entrada-Saída'!$B$112:$O$112,'Coordenadas dos Polos'!$CV$2:$DI$2)))^2)</f>
        <v>5.9697019084394487E-6</v>
      </c>
      <c r="I112">
        <f>EXP(((-1)/(2*'Cálculos Diversos'!$B$5))*(SQRT(SUMXMY2('Tabela Entrada-Saída'!$B$112:$O$112,'Coordenadas dos Polos'!$DJ$2:$DW$2)))^2)</f>
        <v>2.6857471542692641E-4</v>
      </c>
      <c r="J112">
        <f>EXP(((-1)/(2*'Cálculos Diversos'!$B$5))*(SQRT(SUMXMY2('Tabela Entrada-Saída'!$B$112:$O$112,'Coordenadas dos Polos'!$DX$2:$EK$2)))^2)</f>
        <v>1.0170335915299734E-4</v>
      </c>
      <c r="K112">
        <f>EXP(((-1)/(2*'Cálculos Diversos'!$B$5))*(SQRT(SUMXMY2('Tabela Entrada-Saída'!$B$112:$O$112,'Coordenadas dos Polos'!$EL$2:$EY$2)))^2)</f>
        <v>4.3017682702412726E-6</v>
      </c>
      <c r="L112">
        <f>EXP(((-1)/(2*'Cálculos Diversos'!$B$5))*(SQRT(SUMXMY2('Tabela Entrada-Saída'!$B$112:$O$112,'Coordenadas dos Polos'!$EZ$2:$FM$2)))^2)</f>
        <v>6.237722601971587E-7</v>
      </c>
      <c r="M112">
        <f>EXP(((-1)/(2*'Cálculos Diversos'!$B$5))*(SQRT(SUMXMY2('Tabela Entrada-Saída'!$B$112:$O$112,'Coordenadas dos Polos'!$FN$2:$GA$2)))^2)</f>
        <v>1.2521708305042512E-5</v>
      </c>
      <c r="N112">
        <f>EXP(((-1)/(2*'Cálculos Diversos'!$B$5))*(SQRT(SUMXMY2('Tabela Entrada-Saída'!$B$112:$O$112,'Coordenadas dos Polos'!$GB$2:$GO$2)))^2)</f>
        <v>3.0987016388546051E-5</v>
      </c>
      <c r="O112">
        <f>EXP(((-1)/(2*'Cálculos Diversos'!$B$5))*(SQRT(SUMXMY2('Tabela Entrada-Saída'!$B$112:$O$112,'Coordenadas dos Polos'!$GP$2:$HC$2)))^2)</f>
        <v>2.5624094597003204E-6</v>
      </c>
      <c r="P112">
        <v>1</v>
      </c>
    </row>
    <row r="113" spans="1:16" x14ac:dyDescent="0.25">
      <c r="A113">
        <v>112</v>
      </c>
      <c r="B113">
        <f>EXP(((-1)/(2*'Cálculos Diversos'!$B$5))*(SQRT(SUMXMY2('Tabela Entrada-Saída'!$B$113:$O$113,'Coordenadas dos Polos'!$P$2:$AC$2)))^2)</f>
        <v>9.6375928605527419E-2</v>
      </c>
      <c r="C113">
        <f>EXP(((-1)/(2*'Cálculos Diversos'!$B$5))*(SQRT(SUMXMY2('Tabela Entrada-Saída'!$B$113:$O$113,'Coordenadas dos Polos'!$AD$2:$AQ$2)))^2)</f>
        <v>7.6780660820684191E-5</v>
      </c>
      <c r="D113">
        <f>EXP(((-1)/(2*'Cálculos Diversos'!$B$5))*(SQRT(SUMXMY2('Tabela Entrada-Saída'!$B$113:$O$113,'Coordenadas dos Polos'!$AR$2:$BE$2)))^2)</f>
        <v>2.7266277347910263E-5</v>
      </c>
      <c r="E113">
        <f>EXP(((-1)/(2*'Cálculos Diversos'!$B$5))*(SQRT(SUMXMY2('Tabela Entrada-Saída'!$B$113:$O$113,'Coordenadas dos Polos'!$BF$2:$BS$2)))^2)</f>
        <v>1.0300636712071314E-4</v>
      </c>
      <c r="F113">
        <f>EXP(((-1)/(2*'Cálculos Diversos'!$B$5))*(SQRT(SUMXMY2('Tabela Entrada-Saída'!$B$113:$O$113,'Coordenadas dos Polos'!$BT$2:$CG$2)))^2)</f>
        <v>2.6401143405920357E-6</v>
      </c>
      <c r="G113">
        <f>EXP(((-1)/(2*'Cálculos Diversos'!$B$5))*(SQRT(SUMXMY2('Tabela Entrada-Saída'!$B$113:$O$113,'Coordenadas dos Polos'!$CH$2:$CU$2)))^2)</f>
        <v>1.2739503185672229E-4</v>
      </c>
      <c r="H113">
        <f>EXP(((-1)/(2*'Cálculos Diversos'!$B$5))*(SQRT(SUMXMY2('Tabela Entrada-Saída'!$B$113:$O$113,'Coordenadas dos Polos'!$CV$2:$DI$2)))^2)</f>
        <v>6.001083149883212E-6</v>
      </c>
      <c r="I113">
        <f>EXP(((-1)/(2*'Cálculos Diversos'!$B$5))*(SQRT(SUMXMY2('Tabela Entrada-Saída'!$B$113:$O$113,'Coordenadas dos Polos'!$DJ$2:$DW$2)))^2)</f>
        <v>2.663818853824169E-4</v>
      </c>
      <c r="J113">
        <f>EXP(((-1)/(2*'Cálculos Diversos'!$B$5))*(SQRT(SUMXMY2('Tabela Entrada-Saída'!$B$113:$O$113,'Coordenadas dos Polos'!$DX$2:$EK$2)))^2)</f>
        <v>1.0245385845599485E-4</v>
      </c>
      <c r="K113">
        <f>EXP(((-1)/(2*'Cálculos Diversos'!$B$5))*(SQRT(SUMXMY2('Tabela Entrada-Saída'!$B$113:$O$113,'Coordenadas dos Polos'!$EL$2:$EY$2)))^2)</f>
        <v>4.3014553644709635E-6</v>
      </c>
      <c r="L113">
        <f>EXP(((-1)/(2*'Cálculos Diversos'!$B$5))*(SQRT(SUMXMY2('Tabela Entrada-Saída'!$B$113:$O$113,'Coordenadas dos Polos'!$EZ$2:$FM$2)))^2)</f>
        <v>6.4455699216277071E-7</v>
      </c>
      <c r="M113">
        <f>EXP(((-1)/(2*'Cálculos Diversos'!$B$5))*(SQRT(SUMXMY2('Tabela Entrada-Saída'!$B$113:$O$113,'Coordenadas dos Polos'!$FN$2:$GA$2)))^2)</f>
        <v>1.2905614834072769E-5</v>
      </c>
      <c r="N113">
        <f>EXP(((-1)/(2*'Cálculos Diversos'!$B$5))*(SQRT(SUMXMY2('Tabela Entrada-Saída'!$B$113:$O$113,'Coordenadas dos Polos'!$GB$2:$GO$2)))^2)</f>
        <v>3.1863841349595404E-5</v>
      </c>
      <c r="O113">
        <f>EXP(((-1)/(2*'Cálculos Diversos'!$B$5))*(SQRT(SUMXMY2('Tabela Entrada-Saída'!$B$113:$O$113,'Coordenadas dos Polos'!$GP$2:$HC$2)))^2)</f>
        <v>2.6245193710061038E-6</v>
      </c>
      <c r="P113">
        <v>1</v>
      </c>
    </row>
    <row r="114" spans="1:16" x14ac:dyDescent="0.25">
      <c r="A114">
        <v>113</v>
      </c>
      <c r="B114">
        <f>EXP(((-1)/(2*'Cálculos Diversos'!$B$5))*(SQRT(SUMXMY2('Tabela Entrada-Saída'!$B$114:$O$114,'Coordenadas dos Polos'!$P$2:$AC$2)))^2)</f>
        <v>9.3853003883511463E-2</v>
      </c>
      <c r="C114">
        <f>EXP(((-1)/(2*'Cálculos Diversos'!$B$5))*(SQRT(SUMXMY2('Tabela Entrada-Saída'!$B$114:$O$114,'Coordenadas dos Polos'!$AD$2:$AQ$2)))^2)</f>
        <v>7.6125811329336404E-5</v>
      </c>
      <c r="D114">
        <f>EXP(((-1)/(2*'Cálculos Diversos'!$B$5))*(SQRT(SUMXMY2('Tabela Entrada-Saída'!$B$114:$O$114,'Coordenadas dos Polos'!$AR$2:$BE$2)))^2)</f>
        <v>2.728223855843848E-5</v>
      </c>
      <c r="E114">
        <f>EXP(((-1)/(2*'Cálculos Diversos'!$B$5))*(SQRT(SUMXMY2('Tabela Entrada-Saída'!$B$114:$O$114,'Coordenadas dos Polos'!$BF$2:$BS$2)))^2)</f>
        <v>1.0105926422924711E-4</v>
      </c>
      <c r="F114">
        <f>EXP(((-1)/(2*'Cálculos Diversos'!$B$5))*(SQRT(SUMXMY2('Tabela Entrada-Saída'!$B$114:$O$114,'Coordenadas dos Polos'!$BT$2:$CG$2)))^2)</f>
        <v>2.5767661655656452E-6</v>
      </c>
      <c r="G114">
        <f>EXP(((-1)/(2*'Cálculos Diversos'!$B$5))*(SQRT(SUMXMY2('Tabela Entrada-Saída'!$B$114:$O$114,'Coordenadas dos Polos'!$CH$2:$CU$2)))^2)</f>
        <v>1.2717774888992782E-4</v>
      </c>
      <c r="H114">
        <f>EXP(((-1)/(2*'Cálculos Diversos'!$B$5))*(SQRT(SUMXMY2('Tabela Entrada-Saída'!$B$114:$O$114,'Coordenadas dos Polos'!$CV$2:$DI$2)))^2)</f>
        <v>5.9815589478352269E-6</v>
      </c>
      <c r="I114">
        <f>EXP(((-1)/(2*'Cálculos Diversos'!$B$5))*(SQRT(SUMXMY2('Tabela Entrada-Saída'!$B$114:$O$114,'Coordenadas dos Polos'!$DJ$2:$DW$2)))^2)</f>
        <v>2.6780573849437348E-4</v>
      </c>
      <c r="J114">
        <f>EXP(((-1)/(2*'Cálculos Diversos'!$B$5))*(SQRT(SUMXMY2('Tabela Entrada-Saída'!$B$114:$O$114,'Coordenadas dos Polos'!$DX$2:$EK$2)))^2)</f>
        <v>1.0198335954893247E-4</v>
      </c>
      <c r="K114">
        <f>EXP(((-1)/(2*'Cálculos Diversos'!$B$5))*(SQRT(SUMXMY2('Tabela Entrada-Saída'!$B$114:$O$114,'Coordenadas dos Polos'!$EL$2:$EY$2)))^2)</f>
        <v>4.3020217969959451E-6</v>
      </c>
      <c r="L114">
        <f>EXP(((-1)/(2*'Cálculos Diversos'!$B$5))*(SQRT(SUMXMY2('Tabela Entrada-Saída'!$B$114:$O$114,'Coordenadas dos Polos'!$EZ$2:$FM$2)))^2)</f>
        <v>6.3124070111593079E-7</v>
      </c>
      <c r="M114">
        <f>EXP(((-1)/(2*'Cálculos Diversos'!$B$5))*(SQRT(SUMXMY2('Tabela Entrada-Saída'!$B$114:$O$114,'Coordenadas dos Polos'!$FN$2:$GA$2)))^2)</f>
        <v>1.2659836285480658E-5</v>
      </c>
      <c r="N114">
        <f>EXP(((-1)/(2*'Cálculos Diversos'!$B$5))*(SQRT(SUMXMY2('Tabela Entrada-Saída'!$B$114:$O$114,'Coordenadas dos Polos'!$GB$2:$GO$2)))^2)</f>
        <v>3.1302752895104117E-5</v>
      </c>
      <c r="O114">
        <f>EXP(((-1)/(2*'Cálculos Diversos'!$B$5))*(SQRT(SUMXMY2('Tabela Entrada-Saída'!$B$114:$O$114,'Coordenadas dos Polos'!$GP$2:$HC$2)))^2)</f>
        <v>2.5848267481075116E-6</v>
      </c>
      <c r="P114">
        <v>1</v>
      </c>
    </row>
    <row r="115" spans="1:16" x14ac:dyDescent="0.25">
      <c r="A115">
        <v>114</v>
      </c>
      <c r="B115">
        <f>EXP(((-1)/(2*'Cálculos Diversos'!$B$5))*(SQRT(SUMXMY2('Tabela Entrada-Saída'!$B$115:$O$115,'Coordenadas dos Polos'!$P$2:$AC$2)))^2)</f>
        <v>9.3387547717595512E-2</v>
      </c>
      <c r="C115">
        <f>EXP(((-1)/(2*'Cálculos Diversos'!$B$5))*(SQRT(SUMXMY2('Tabela Entrada-Saída'!$B$115:$O$115,'Coordenadas dos Polos'!$AD$2:$AQ$2)))^2)</f>
        <v>7.5993020767361276E-5</v>
      </c>
      <c r="D115">
        <f>EXP(((-1)/(2*'Cálculos Diversos'!$B$5))*(SQRT(SUMXMY2('Tabela Entrada-Saída'!$B$115:$O$115,'Coordenadas dos Polos'!$AR$2:$BE$2)))^2)</f>
        <v>2.7282514062254032E-5</v>
      </c>
      <c r="E115">
        <f>EXP(((-1)/(2*'Cálculos Diversos'!$B$5))*(SQRT(SUMXMY2('Tabela Entrada-Saída'!$B$115:$O$115,'Coordenadas dos Polos'!$BF$2:$BS$2)))^2)</f>
        <v>1.0069133574159239E-4</v>
      </c>
      <c r="F115">
        <f>EXP(((-1)/(2*'Cálculos Diversos'!$B$5))*(SQRT(SUMXMY2('Tabela Entrada-Saída'!$B$115:$O$115,'Coordenadas dos Polos'!$BT$2:$CG$2)))^2)</f>
        <v>2.56474805341403E-6</v>
      </c>
      <c r="G115">
        <f>EXP(((-1)/(2*'Cálculos Diversos'!$B$5))*(SQRT(SUMXMY2('Tabela Entrada-Saída'!$B$115:$O$115,'Coordenadas dos Polos'!$CH$2:$CU$2)))^2)</f>
        <v>1.2712070966671614E-4</v>
      </c>
      <c r="H115">
        <f>EXP(((-1)/(2*'Cálculos Diversos'!$B$5))*(SQRT(SUMXMY2('Tabela Entrada-Saída'!$B$115:$O$115,'Coordenadas dos Polos'!$CV$2:$DI$2)))^2)</f>
        <v>5.9767903266559236E-6</v>
      </c>
      <c r="I115">
        <f>EXP(((-1)/(2*'Cálculos Diversos'!$B$5))*(SQRT(SUMXMY2('Tabela Entrada-Saída'!$B$115:$O$115,'Coordenadas dos Polos'!$DJ$2:$DW$2)))^2)</f>
        <v>2.6805731040067135E-4</v>
      </c>
      <c r="J115">
        <f>EXP(((-1)/(2*'Cálculos Diversos'!$B$5))*(SQRT(SUMXMY2('Tabela Entrada-Saída'!$B$115:$O$115,'Coordenadas dos Polos'!$DX$2:$EK$2)))^2)</f>
        <v>1.0187342029559467E-4</v>
      </c>
      <c r="K115">
        <f>EXP(((-1)/(2*'Cálculos Diversos'!$B$5))*(SQRT(SUMXMY2('Tabela Entrada-Saída'!$B$115:$O$115,'Coordenadas dos Polos'!$EL$2:$EY$2)))^2)</f>
        <v>4.3016602236885921E-6</v>
      </c>
      <c r="L115">
        <f>EXP(((-1)/(2*'Cálculos Diversos'!$B$5))*(SQRT(SUMXMY2('Tabela Entrada-Saída'!$B$115:$O$115,'Coordenadas dos Polos'!$EZ$2:$FM$2)))^2)</f>
        <v>6.2868652687872442E-7</v>
      </c>
      <c r="M115">
        <f>EXP(((-1)/(2*'Cálculos Diversos'!$B$5))*(SQRT(SUMXMY2('Tabela Entrada-Saída'!$B$115:$O$115,'Coordenadas dos Polos'!$FN$2:$GA$2)))^2)</f>
        <v>1.2613013821546202E-5</v>
      </c>
      <c r="N115">
        <f>EXP(((-1)/(2*'Cálculos Diversos'!$B$5))*(SQRT(SUMXMY2('Tabela Entrada-Saída'!$B$115:$O$115,'Coordenadas dos Polos'!$GB$2:$GO$2)))^2)</f>
        <v>3.1193584494504789E-5</v>
      </c>
      <c r="O115">
        <f>EXP(((-1)/(2*'Cálculos Diversos'!$B$5))*(SQRT(SUMXMY2('Tabela Entrada-Saída'!$B$115:$O$115,'Coordenadas dos Polos'!$GP$2:$HC$2)))^2)</f>
        <v>2.5772412878527022E-6</v>
      </c>
      <c r="P115">
        <v>1</v>
      </c>
    </row>
    <row r="116" spans="1:16" x14ac:dyDescent="0.25">
      <c r="A116">
        <v>115</v>
      </c>
      <c r="B116">
        <f>EXP(((-1)/(2*'Cálculos Diversos'!$B$5))*(SQRT(SUMXMY2('Tabela Entrada-Saída'!$B$116:$O$116,'Coordenadas dos Polos'!$P$2:$AC$2)))^2)</f>
        <v>9.3015944542063161E-2</v>
      </c>
      <c r="C116">
        <f>EXP(((-1)/(2*'Cálculos Diversos'!$B$5))*(SQRT(SUMXMY2('Tabela Entrada-Saída'!$B$116:$O$116,'Coordenadas dos Polos'!$AD$2:$AQ$2)))^2)</f>
        <v>7.589087997037484E-5</v>
      </c>
      <c r="D116">
        <f>EXP(((-1)/(2*'Cálculos Diversos'!$B$5))*(SQRT(SUMXMY2('Tabela Entrada-Saída'!$B$116:$O$116,'Coordenadas dos Polos'!$AR$2:$BE$2)))^2)</f>
        <v>2.7283284753407322E-5</v>
      </c>
      <c r="E116">
        <f>EXP(((-1)/(2*'Cálculos Diversos'!$B$5))*(SQRT(SUMXMY2('Tabela Entrada-Saída'!$B$116:$O$116,'Coordenadas dos Polos'!$BF$2:$BS$2)))^2)</f>
        <v>1.0040041709080325E-4</v>
      </c>
      <c r="F116">
        <f>EXP(((-1)/(2*'Cálculos Diversos'!$B$5))*(SQRT(SUMXMY2('Tabela Entrada-Saída'!$B$116:$O$116,'Coordenadas dos Polos'!$BT$2:$CG$2)))^2)</f>
        <v>2.5552812137591781E-6</v>
      </c>
      <c r="G116">
        <f>EXP(((-1)/(2*'Cálculos Diversos'!$B$5))*(SQRT(SUMXMY2('Tabela Entrada-Saída'!$B$116:$O$116,'Coordenadas dos Polos'!$CH$2:$CU$2)))^2)</f>
        <v>1.270813139740965E-4</v>
      </c>
      <c r="H116">
        <f>EXP(((-1)/(2*'Cálculos Diversos'!$B$5))*(SQRT(SUMXMY2('Tabela Entrada-Saída'!$B$116:$O$116,'Coordenadas dos Polos'!$CV$2:$DI$2)))^2)</f>
        <v>5.9733273978495573E-6</v>
      </c>
      <c r="I116">
        <f>EXP(((-1)/(2*'Cálculos Diversos'!$B$5))*(SQRT(SUMXMY2('Tabela Entrada-Saída'!$B$116:$O$116,'Coordenadas dos Polos'!$DJ$2:$DW$2)))^2)</f>
        <v>2.6826027833518003E-4</v>
      </c>
      <c r="J116">
        <f>EXP(((-1)/(2*'Cálculos Diversos'!$B$5))*(SQRT(SUMXMY2('Tabela Entrada-Saída'!$B$116:$O$116,'Coordenadas dos Polos'!$DX$2:$EK$2)))^2)</f>
        <v>1.0179474110646887E-4</v>
      </c>
      <c r="K116">
        <f>EXP(((-1)/(2*'Cálculos Diversos'!$B$5))*(SQRT(SUMXMY2('Tabela Entrada-Saída'!$B$116:$O$116,'Coordenadas dos Polos'!$EL$2:$EY$2)))^2)</f>
        <v>4.301512823393749E-6</v>
      </c>
      <c r="L116">
        <f>EXP(((-1)/(2*'Cálculos Diversos'!$B$5))*(SQRT(SUMXMY2('Tabela Entrada-Saída'!$B$116:$O$116,'Coordenadas dos Polos'!$EZ$2:$FM$2)))^2)</f>
        <v>6.2668085689488881E-7</v>
      </c>
      <c r="M116">
        <f>EXP(((-1)/(2*'Cálculos Diversos'!$B$5))*(SQRT(SUMXMY2('Tabela Entrada-Saída'!$B$116:$O$116,'Coordenadas dos Polos'!$FN$2:$GA$2)))^2)</f>
        <v>1.2576133190736548E-5</v>
      </c>
      <c r="N116">
        <f>EXP(((-1)/(2*'Cálculos Diversos'!$B$5))*(SQRT(SUMXMY2('Tabela Entrada-Saída'!$B$116:$O$116,'Coordenadas dos Polos'!$GB$2:$GO$2)))^2)</f>
        <v>3.1108112347166856E-5</v>
      </c>
      <c r="O116">
        <f>EXP(((-1)/(2*'Cálculos Diversos'!$B$5))*(SQRT(SUMXMY2('Tabela Entrada-Saída'!$B$116:$O$116,'Coordenadas dos Polos'!$GP$2:$HC$2)))^2)</f>
        <v>2.5712687956778384E-6</v>
      </c>
      <c r="P116">
        <v>1</v>
      </c>
    </row>
    <row r="117" spans="1:16" x14ac:dyDescent="0.25">
      <c r="A117">
        <v>116</v>
      </c>
      <c r="B117">
        <f>EXP(((-1)/(2*'Cálculos Diversos'!$B$5))*(SQRT(SUMXMY2('Tabela Entrada-Saída'!$B$117:$O$117,'Coordenadas dos Polos'!$P$2:$AC$2)))^2)</f>
        <v>9.638033806988601E-2</v>
      </c>
      <c r="C117">
        <f>EXP(((-1)/(2*'Cálculos Diversos'!$B$5))*(SQRT(SUMXMY2('Tabela Entrada-Saída'!$B$117:$O$117,'Coordenadas dos Polos'!$AD$2:$AQ$2)))^2)</f>
        <v>7.6796578903476196E-5</v>
      </c>
      <c r="D117">
        <f>EXP(((-1)/(2*'Cálculos Diversos'!$B$5))*(SQRT(SUMXMY2('Tabela Entrada-Saída'!$B$117:$O$117,'Coordenadas dos Polos'!$AR$2:$BE$2)))^2)</f>
        <v>2.7270045768360464E-5</v>
      </c>
      <c r="E117">
        <f>EXP(((-1)/(2*'Cálculos Diversos'!$B$5))*(SQRT(SUMXMY2('Tabela Entrada-Saída'!$B$117:$O$117,'Coordenadas dos Polos'!$BF$2:$BS$2)))^2)</f>
        <v>1.0301389098806769E-4</v>
      </c>
      <c r="F117">
        <f>EXP(((-1)/(2*'Cálculos Diversos'!$B$5))*(SQRT(SUMXMY2('Tabela Entrada-Saída'!$B$117:$O$117,'Coordenadas dos Polos'!$BT$2:$CG$2)))^2)</f>
        <v>2.6404257069437468E-6</v>
      </c>
      <c r="G117">
        <f>EXP(((-1)/(2*'Cálculos Diversos'!$B$5))*(SQRT(SUMXMY2('Tabela Entrada-Saída'!$B$117:$O$117,'Coordenadas dos Polos'!$CH$2:$CU$2)))^2)</f>
        <v>1.2740493680002478E-4</v>
      </c>
      <c r="H117">
        <f>EXP(((-1)/(2*'Cálculos Diversos'!$B$5))*(SQRT(SUMXMY2('Tabela Entrada-Saída'!$B$117:$O$117,'Coordenadas dos Polos'!$CV$2:$DI$2)))^2)</f>
        <v>6.0032749770956206E-6</v>
      </c>
      <c r="I117">
        <f>EXP(((-1)/(2*'Cálculos Diversos'!$B$5))*(SQRT(SUMXMY2('Tabela Entrada-Saída'!$B$117:$O$117,'Coordenadas dos Polos'!$DJ$2:$DW$2)))^2)</f>
        <v>2.6638191520392582E-4</v>
      </c>
      <c r="J117">
        <f>EXP(((-1)/(2*'Cálculos Diversos'!$B$5))*(SQRT(SUMXMY2('Tabela Entrada-Saída'!$B$117:$O$117,'Coordenadas dos Polos'!$DX$2:$EK$2)))^2)</f>
        <v>1.0247635760293531E-4</v>
      </c>
      <c r="K117">
        <f>EXP(((-1)/(2*'Cálculos Diversos'!$B$5))*(SQRT(SUMXMY2('Tabela Entrada-Saída'!$B$117:$O$117,'Coordenadas dos Polos'!$EL$2:$EY$2)))^2)</f>
        <v>4.3021941815479999E-6</v>
      </c>
      <c r="L117">
        <f>EXP(((-1)/(2*'Cálculos Diversos'!$B$5))*(SQRT(SUMXMY2('Tabela Entrada-Saída'!$B$117:$O$117,'Coordenadas dos Polos'!$EZ$2:$FM$2)))^2)</f>
        <v>6.4467003009619856E-7</v>
      </c>
      <c r="M117">
        <f>EXP(((-1)/(2*'Cálculos Diversos'!$B$5))*(SQRT(SUMXMY2('Tabela Entrada-Saída'!$B$117:$O$117,'Coordenadas dos Polos'!$FN$2:$GA$2)))^2)</f>
        <v>1.2907433665194699E-5</v>
      </c>
      <c r="N117">
        <f>EXP(((-1)/(2*'Cálculos Diversos'!$B$5))*(SQRT(SUMXMY2('Tabela Entrada-Saída'!$B$117:$O$117,'Coordenadas dos Polos'!$GB$2:$GO$2)))^2)</f>
        <v>3.1875002239839664E-5</v>
      </c>
      <c r="O117">
        <f>EXP(((-1)/(2*'Cálculos Diversos'!$B$5))*(SQRT(SUMXMY2('Tabela Entrada-Saída'!$B$117:$O$117,'Coordenadas dos Polos'!$GP$2:$HC$2)))^2)</f>
        <v>2.624628661227795E-6</v>
      </c>
      <c r="P117">
        <v>1</v>
      </c>
    </row>
    <row r="118" spans="1:16" x14ac:dyDescent="0.25">
      <c r="A118">
        <v>117</v>
      </c>
      <c r="B118">
        <f>EXP(((-1)/(2*'Cálculos Diversos'!$B$5))*(SQRT(SUMXMY2('Tabela Entrada-Saída'!$B$118:$O$118,'Coordenadas dos Polos'!$P$2:$AC$2)))^2)</f>
        <v>9.3395128450562998E-2</v>
      </c>
      <c r="C118">
        <f>EXP(((-1)/(2*'Cálculos Diversos'!$B$5))*(SQRT(SUMXMY2('Tabela Entrada-Saída'!$B$118:$O$118,'Coordenadas dos Polos'!$AD$2:$AQ$2)))^2)</f>
        <v>7.6005157982818804E-5</v>
      </c>
      <c r="D118">
        <f>EXP(((-1)/(2*'Cálculos Diversos'!$B$5))*(SQRT(SUMXMY2('Tabela Entrada-Saída'!$B$118:$O$118,'Coordenadas dos Polos'!$AR$2:$BE$2)))^2)</f>
        <v>2.7285308616863023E-5</v>
      </c>
      <c r="E118">
        <f>EXP(((-1)/(2*'Cálculos Diversos'!$B$5))*(SQRT(SUMXMY2('Tabela Entrada-Saída'!$B$118:$O$118,'Coordenadas dos Polos'!$BF$2:$BS$2)))^2)</f>
        <v>1.0070043585685306E-4</v>
      </c>
      <c r="F118">
        <f>EXP(((-1)/(2*'Cálculos Diversos'!$B$5))*(SQRT(SUMXMY2('Tabela Entrada-Saída'!$B$118:$O$118,'Coordenadas dos Polos'!$BT$2:$CG$2)))^2)</f>
        <v>2.5650724680309738E-6</v>
      </c>
      <c r="G118">
        <f>EXP(((-1)/(2*'Cálculos Diversos'!$B$5))*(SQRT(SUMXMY2('Tabela Entrada-Saída'!$B$118:$O$118,'Coordenadas dos Polos'!$CH$2:$CU$2)))^2)</f>
        <v>1.271278533163754E-4</v>
      </c>
      <c r="H118">
        <f>EXP(((-1)/(2*'Cálculos Diversos'!$B$5))*(SQRT(SUMXMY2('Tabela Entrada-Saída'!$B$118:$O$118,'Coordenadas dos Polos'!$CV$2:$DI$2)))^2)</f>
        <v>5.9783494058318986E-6</v>
      </c>
      <c r="I118">
        <f>EXP(((-1)/(2*'Cálculos Diversos'!$B$5))*(SQRT(SUMXMY2('Tabela Entrada-Saída'!$B$118:$O$118,'Coordenadas dos Polos'!$DJ$2:$DW$2)))^2)</f>
        <v>2.6805612358811438E-4</v>
      </c>
      <c r="J118">
        <f>EXP(((-1)/(2*'Cálculos Diversos'!$B$5))*(SQRT(SUMXMY2('Tabela Entrada-Saída'!$B$118:$O$118,'Coordenadas dos Polos'!$DX$2:$EK$2)))^2)</f>
        <v>1.0188953191208988E-4</v>
      </c>
      <c r="K118">
        <f>EXP(((-1)/(2*'Cálculos Diversos'!$B$5))*(SQRT(SUMXMY2('Tabela Entrada-Saída'!$B$118:$O$118,'Coordenadas dos Polos'!$EL$2:$EY$2)))^2)</f>
        <v>4.3021999963755452E-6</v>
      </c>
      <c r="L118">
        <f>EXP(((-1)/(2*'Cálculos Diversos'!$B$5))*(SQRT(SUMXMY2('Tabela Entrada-Saída'!$B$118:$O$118,'Coordenadas dos Polos'!$EZ$2:$FM$2)))^2)</f>
        <v>6.2879120433426618E-7</v>
      </c>
      <c r="M118">
        <f>EXP(((-1)/(2*'Cálculos Diversos'!$B$5))*(SQRT(SUMXMY2('Tabela Entrada-Saída'!$B$118:$O$118,'Coordenadas dos Polos'!$FN$2:$GA$2)))^2)</f>
        <v>1.2614711377853471E-5</v>
      </c>
      <c r="N118">
        <f>EXP(((-1)/(2*'Cálculos Diversos'!$B$5))*(SQRT(SUMXMY2('Tabela Entrada-Saída'!$B$118:$O$118,'Coordenadas dos Polos'!$GB$2:$GO$2)))^2)</f>
        <v>3.1202308035502417E-5</v>
      </c>
      <c r="O118">
        <f>EXP(((-1)/(2*'Cálculos Diversos'!$B$5))*(SQRT(SUMXMY2('Tabela Entrada-Saída'!$B$118:$O$118,'Coordenadas dos Polos'!$GP$2:$HC$2)))^2)</f>
        <v>2.5774028637431096E-6</v>
      </c>
      <c r="P118">
        <v>1</v>
      </c>
    </row>
    <row r="119" spans="1:16" x14ac:dyDescent="0.25">
      <c r="A119">
        <v>118</v>
      </c>
      <c r="B119">
        <f>EXP(((-1)/(2*'Cálculos Diversos'!$B$5))*(SQRT(SUMXMY2('Tabela Entrada-Saída'!$B$119:$O$119,'Coordenadas dos Polos'!$P$2:$AC$2)))^2)</f>
        <v>9.521377469256824E-2</v>
      </c>
      <c r="C119">
        <f>EXP(((-1)/(2*'Cálculos Diversos'!$B$5))*(SQRT(SUMXMY2('Tabela Entrada-Saída'!$B$119:$O$119,'Coordenadas dos Polos'!$AD$2:$AQ$2)))^2)</f>
        <v>7.6492244526113427E-5</v>
      </c>
      <c r="D119">
        <f>EXP(((-1)/(2*'Cálculos Diversos'!$B$5))*(SQRT(SUMXMY2('Tabela Entrada-Saída'!$B$119:$O$119,'Coordenadas dos Polos'!$AR$2:$BE$2)))^2)</f>
        <v>2.7277301084189532E-5</v>
      </c>
      <c r="E119">
        <f>EXP(((-1)/(2*'Cálculos Diversos'!$B$5))*(SQRT(SUMXMY2('Tabela Entrada-Saída'!$B$119:$O$119,'Coordenadas dos Polos'!$BF$2:$BS$2)))^2)</f>
        <v>1.0211495242471802E-4</v>
      </c>
      <c r="F119">
        <f>EXP(((-1)/(2*'Cálculos Diversos'!$B$5))*(SQRT(SUMXMY2('Tabela Entrada-Saída'!$B$119:$O$119,'Coordenadas dos Polos'!$BT$2:$CG$2)))^2)</f>
        <v>2.6111399316520688E-6</v>
      </c>
      <c r="G119">
        <f>EXP(((-1)/(2*'Cálculos Diversos'!$B$5))*(SQRT(SUMXMY2('Tabela Entrada-Saída'!$B$119:$O$119,'Coordenadas dos Polos'!$CH$2:$CU$2)))^2)</f>
        <v>1.2730534325981687E-4</v>
      </c>
      <c r="H119">
        <f>EXP(((-1)/(2*'Cálculos Diversos'!$B$5))*(SQRT(SUMXMY2('Tabela Entrada-Saída'!$B$119:$O$119,'Coordenadas dos Polos'!$CV$2:$DI$2)))^2)</f>
        <v>5.993869718513789E-6</v>
      </c>
      <c r="I119">
        <f>EXP(((-1)/(2*'Cálculos Diversos'!$B$5))*(SQRT(SUMXMY2('Tabela Entrada-Saída'!$B$119:$O$119,'Coordenadas dos Polos'!$DJ$2:$DW$2)))^2)</f>
        <v>2.6704344358811173E-4</v>
      </c>
      <c r="J119">
        <f>EXP(((-1)/(2*'Cálculos Diversos'!$B$5))*(SQRT(SUMXMY2('Tabela Entrada-Saída'!$B$119:$O$119,'Coordenadas dos Polos'!$DX$2:$EK$2)))^2)</f>
        <v>1.022573163883025E-4</v>
      </c>
      <c r="K119">
        <f>EXP(((-1)/(2*'Cálculos Diversos'!$B$5))*(SQRT(SUMXMY2('Tabela Entrada-Saída'!$B$119:$O$119,'Coordenadas dos Polos'!$EL$2:$EY$2)))^2)</f>
        <v>4.3023471747276933E-6</v>
      </c>
      <c r="L119">
        <f>EXP(((-1)/(2*'Cálculos Diversos'!$B$5))*(SQRT(SUMXMY2('Tabela Entrada-Saída'!$B$119:$O$119,'Coordenadas dos Polos'!$EZ$2:$FM$2)))^2)</f>
        <v>6.3851078880298498E-7</v>
      </c>
      <c r="M119">
        <f>EXP(((-1)/(2*'Cálculos Diversos'!$B$5))*(SQRT(SUMXMY2('Tabela Entrada-Saída'!$B$119:$O$119,'Coordenadas dos Polos'!$FN$2:$GA$2)))^2)</f>
        <v>1.2793718292392682E-5</v>
      </c>
      <c r="N119">
        <f>EXP(((-1)/(2*'Cálculos Diversos'!$B$5))*(SQRT(SUMXMY2('Tabela Entrada-Saída'!$B$119:$O$119,'Coordenadas dos Polos'!$GB$2:$GO$2)))^2)</f>
        <v>3.1613850424238297E-5</v>
      </c>
      <c r="O119">
        <f>EXP(((-1)/(2*'Cálculos Diversos'!$B$5))*(SQRT(SUMXMY2('Tabela Entrada-Saída'!$B$119:$O$119,'Coordenadas dos Polos'!$GP$2:$HC$2)))^2)</f>
        <v>2.6063542598207088E-6</v>
      </c>
      <c r="P119">
        <v>1</v>
      </c>
    </row>
    <row r="120" spans="1:16" x14ac:dyDescent="0.25">
      <c r="A120">
        <v>119</v>
      </c>
      <c r="B120">
        <f>EXP(((-1)/(2*'Cálculos Diversos'!$B$5))*(SQRT(SUMXMY2('Tabela Entrada-Saída'!$B$120:$O$120,'Coordenadas dos Polos'!$P$2:$AC$2)))^2)</f>
        <v>9.2555561218524249E-2</v>
      </c>
      <c r="C120">
        <f>EXP(((-1)/(2*'Cálculos Diversos'!$B$5))*(SQRT(SUMXMY2('Tabela Entrada-Saída'!$B$120:$O$120,'Coordenadas dos Polos'!$AD$2:$AQ$2)))^2)</f>
        <v>7.5771289500134467E-5</v>
      </c>
      <c r="D120">
        <f>EXP(((-1)/(2*'Cálculos Diversos'!$B$5))*(SQRT(SUMXMY2('Tabela Entrada-Saída'!$B$120:$O$120,'Coordenadas dos Polos'!$AR$2:$BE$2)))^2)</f>
        <v>2.7286116377580274E-5</v>
      </c>
      <c r="E120">
        <f>EXP(((-1)/(2*'Cálculos Diversos'!$B$5))*(SQRT(SUMXMY2('Tabela Entrada-Saída'!$B$120:$O$120,'Coordenadas dos Polos'!$BF$2:$BS$2)))^2)</f>
        <v>1.0004308113894523E-4</v>
      </c>
      <c r="F120">
        <f>EXP(((-1)/(2*'Cálculos Diversos'!$B$5))*(SQRT(SUMXMY2('Tabela Entrada-Saída'!$B$120:$O$120,'Coordenadas dos Polos'!$BT$2:$CG$2)))^2)</f>
        <v>2.5438053762874916E-6</v>
      </c>
      <c r="G120">
        <f>EXP(((-1)/(2*'Cálculos Diversos'!$B$5))*(SQRT(SUMXMY2('Tabela Entrada-Saída'!$B$120:$O$120,'Coordenadas dos Polos'!$CH$2:$CU$2)))^2)</f>
        <v>1.270413630343195E-4</v>
      </c>
      <c r="H120">
        <f>EXP(((-1)/(2*'Cálculos Diversos'!$B$5))*(SQRT(SUMXMY2('Tabela Entrada-Saída'!$B$120:$O$120,'Coordenadas dos Polos'!$CV$2:$DI$2)))^2)</f>
        <v>5.9700565168999632E-6</v>
      </c>
      <c r="I120">
        <f>EXP(((-1)/(2*'Cálculos Diversos'!$B$5))*(SQRT(SUMXMY2('Tabela Entrada-Saída'!$B$120:$O$120,'Coordenadas dos Polos'!$DJ$2:$DW$2)))^2)</f>
        <v>2.6851444635553302E-4</v>
      </c>
      <c r="J120">
        <f>EXP(((-1)/(2*'Cálculos Diversos'!$B$5))*(SQRT(SUMXMY2('Tabela Entrada-Saída'!$B$120:$O$120,'Coordenadas dos Polos'!$DX$2:$EK$2)))^2)</f>
        <v>1.0171294132756253E-4</v>
      </c>
      <c r="K120">
        <f>EXP(((-1)/(2*'Cálculos Diversos'!$B$5))*(SQRT(SUMXMY2('Tabela Entrada-Saída'!$B$120:$O$120,'Coordenadas dos Polos'!$EL$2:$EY$2)))^2)</f>
        <v>4.3016301224359486E-6</v>
      </c>
      <c r="L120">
        <f>EXP(((-1)/(2*'Cálculos Diversos'!$B$5))*(SQRT(SUMXMY2('Tabela Entrada-Saída'!$B$120:$O$120,'Coordenadas dos Polos'!$EZ$2:$FM$2)))^2)</f>
        <v>6.2427111641570264E-7</v>
      </c>
      <c r="M120">
        <f>EXP(((-1)/(2*'Cálculos Diversos'!$B$5))*(SQRT(SUMXMY2('Tabela Entrada-Saída'!$B$120:$O$120,'Coordenadas dos Polos'!$FN$2:$GA$2)))^2)</f>
        <v>1.2531206052298302E-5</v>
      </c>
      <c r="N120">
        <f>EXP(((-1)/(2*'Cálculos Diversos'!$B$5))*(SQRT(SUMXMY2('Tabela Entrada-Saída'!$B$120:$O$120,'Coordenadas dos Polos'!$GB$2:$GO$2)))^2)</f>
        <v>3.1007588688247973E-5</v>
      </c>
      <c r="O120">
        <f>EXP(((-1)/(2*'Cálculos Diversos'!$B$5))*(SQRT(SUMXMY2('Tabela Entrada-Saída'!$B$120:$O$120,'Coordenadas dos Polos'!$GP$2:$HC$2)))^2)</f>
        <v>2.5639700927075468E-6</v>
      </c>
      <c r="P120">
        <v>1</v>
      </c>
    </row>
    <row r="121" spans="1:16" x14ac:dyDescent="0.25">
      <c r="A121">
        <v>120</v>
      </c>
      <c r="B121">
        <f>EXP(((-1)/(2*'Cálculos Diversos'!$B$5))*(SQRT(SUMXMY2('Tabela Entrada-Saída'!$B$121:$O$121,'Coordenadas dos Polos'!$P$2:$AC$2)))^2)</f>
        <v>9.5748577251775338E-2</v>
      </c>
      <c r="C121">
        <f>EXP(((-1)/(2*'Cálculos Diversos'!$B$5))*(SQRT(SUMXMY2('Tabela Entrada-Saída'!$B$121:$O$121,'Coordenadas dos Polos'!$AD$2:$AQ$2)))^2)</f>
        <v>7.6618652676428166E-5</v>
      </c>
      <c r="D121">
        <f>EXP(((-1)/(2*'Cálculos Diversos'!$B$5))*(SQRT(SUMXMY2('Tabela Entrada-Saída'!$B$121:$O$121,'Coordenadas dos Polos'!$AR$2:$BE$2)))^2)</f>
        <v>2.7270523222118726E-5</v>
      </c>
      <c r="E121">
        <f>EXP(((-1)/(2*'Cálculos Diversos'!$B$5))*(SQRT(SUMXMY2('Tabela Entrada-Saída'!$B$121:$O$121,'Coordenadas dos Polos'!$BF$2:$BS$2)))^2)</f>
        <v>1.0252092537509658E-4</v>
      </c>
      <c r="F121">
        <f>EXP(((-1)/(2*'Cálculos Diversos'!$B$5))*(SQRT(SUMXMY2('Tabela Entrada-Saída'!$B$121:$O$121,'Coordenadas dos Polos'!$BT$2:$CG$2)))^2)</f>
        <v>2.6242014013924991E-6</v>
      </c>
      <c r="G121">
        <f>EXP(((-1)/(2*'Cálculos Diversos'!$B$5))*(SQRT(SUMXMY2('Tabela Entrada-Saída'!$B$121:$O$121,'Coordenadas dos Polos'!$CH$2:$CU$2)))^2)</f>
        <v>1.2733789344722944E-4</v>
      </c>
      <c r="H121">
        <f>EXP(((-1)/(2*'Cálculos Diversos'!$B$5))*(SQRT(SUMXMY2('Tabela Entrada-Saída'!$B$121:$O$121,'Coordenadas dos Polos'!$CV$2:$DI$2)))^2)</f>
        <v>5.9964691787818782E-6</v>
      </c>
      <c r="I121">
        <f>EXP(((-1)/(2*'Cálculos Diversos'!$B$5))*(SQRT(SUMXMY2('Tabela Entrada-Saída'!$B$121:$O$121,'Coordenadas dos Polos'!$DJ$2:$DW$2)))^2)</f>
        <v>2.6673011205903318E-4</v>
      </c>
      <c r="J121">
        <f>EXP(((-1)/(2*'Cálculos Diversos'!$B$5))*(SQRT(SUMXMY2('Tabela Entrada-Saída'!$B$121:$O$121,'Coordenadas dos Polos'!$DX$2:$EK$2)))^2)</f>
        <v>1.0233309472444857E-4</v>
      </c>
      <c r="K121">
        <f>EXP(((-1)/(2*'Cálculos Diversos'!$B$5))*(SQRT(SUMXMY2('Tabela Entrada-Saída'!$B$121:$O$121,'Coordenadas dos Polos'!$EL$2:$EY$2)))^2)</f>
        <v>4.3017138638268031E-6</v>
      </c>
      <c r="L121">
        <f>EXP(((-1)/(2*'Cálculos Diversos'!$B$5))*(SQRT(SUMXMY2('Tabela Entrada-Saída'!$B$121:$O$121,'Coordenadas dos Polos'!$EZ$2:$FM$2)))^2)</f>
        <v>6.4122282947623719E-7</v>
      </c>
      <c r="M121">
        <f>EXP(((-1)/(2*'Cálculos Diversos'!$B$5))*(SQRT(SUMXMY2('Tabela Entrada-Saída'!$B$121:$O$121,'Coordenadas dos Polos'!$FN$2:$GA$2)))^2)</f>
        <v>1.284433073403089E-5</v>
      </c>
      <c r="N121">
        <f>EXP(((-1)/(2*'Cálculos Diversos'!$B$5))*(SQRT(SUMXMY2('Tabela Entrada-Saída'!$B$121:$O$121,'Coordenadas dos Polos'!$GB$2:$GO$2)))^2)</f>
        <v>3.1725370064549797E-5</v>
      </c>
      <c r="O121">
        <f>EXP(((-1)/(2*'Cálculos Diversos'!$B$5))*(SQRT(SUMXMY2('Tabela Entrada-Saída'!$B$121:$O$121,'Coordenadas dos Polos'!$GP$2:$HC$2)))^2)</f>
        <v>2.6146000577239273E-6</v>
      </c>
      <c r="P121">
        <v>1</v>
      </c>
    </row>
    <row r="122" spans="1:16" x14ac:dyDescent="0.25">
      <c r="A122">
        <v>121</v>
      </c>
      <c r="B122">
        <f>EXP(((-1)/(2*'Cálculos Diversos'!$B$5))*(SQRT(SUMXMY2('Tabela Entrada-Saída'!$B$122:$O$122,'Coordenadas dos Polos'!$P$2:$AC$2)))^2)</f>
        <v>9.4986563606899041E-2</v>
      </c>
      <c r="C122">
        <f>EXP(((-1)/(2*'Cálculos Diversos'!$B$5))*(SQRT(SUMXMY2('Tabela Entrada-Saída'!$B$122:$O$122,'Coordenadas dos Polos'!$AD$2:$AQ$2)))^2)</f>
        <v>7.643258534082395E-5</v>
      </c>
      <c r="D122">
        <f>EXP(((-1)/(2*'Cálculos Diversos'!$B$5))*(SQRT(SUMXMY2('Tabela Entrada-Saída'!$B$122:$O$122,'Coordenadas dos Polos'!$AR$2:$BE$2)))^2)</f>
        <v>2.7278515469108585E-5</v>
      </c>
      <c r="E122">
        <f>EXP(((-1)/(2*'Cálculos Diversos'!$B$5))*(SQRT(SUMXMY2('Tabela Entrada-Saída'!$B$122:$O$122,'Coordenadas dos Polos'!$BF$2:$BS$2)))^2)</f>
        <v>1.0193940037239176E-4</v>
      </c>
      <c r="F122">
        <f>EXP(((-1)/(2*'Cálculos Diversos'!$B$5))*(SQRT(SUMXMY2('Tabela Entrada-Saída'!$B$122:$O$122,'Coordenadas dos Polos'!$BT$2:$CG$2)))^2)</f>
        <v>2.6053395075336792E-6</v>
      </c>
      <c r="G122">
        <f>EXP(((-1)/(2*'Cálculos Diversos'!$B$5))*(SQRT(SUMXMY2('Tabela Entrada-Saída'!$B$122:$O$122,'Coordenadas dos Polos'!$CH$2:$CU$2)))^2)</f>
        <v>1.2728419783241386E-4</v>
      </c>
      <c r="H122">
        <f>EXP(((-1)/(2*'Cálculos Diversos'!$B$5))*(SQRT(SUMXMY2('Tabela Entrada-Saída'!$B$122:$O$122,'Coordenadas dos Polos'!$CV$2:$DI$2)))^2)</f>
        <v>5.9920005154210794E-6</v>
      </c>
      <c r="I122">
        <f>EXP(((-1)/(2*'Cálculos Diversos'!$B$5))*(SQRT(SUMXMY2('Tabela Entrada-Saída'!$B$122:$O$122,'Coordenadas dos Polos'!$DJ$2:$DW$2)))^2)</f>
        <v>2.6717163928365566E-4</v>
      </c>
      <c r="J122">
        <f>EXP(((-1)/(2*'Cálculos Diversos'!$B$5))*(SQRT(SUMXMY2('Tabela Entrada-Saída'!$B$122:$O$122,'Coordenadas dos Polos'!$DX$2:$EK$2)))^2)</f>
        <v>1.0221021008833659E-4</v>
      </c>
      <c r="K122">
        <f>EXP(((-1)/(2*'Cálculos Diversos'!$B$5))*(SQRT(SUMXMY2('Tabela Entrada-Saída'!$B$122:$O$122,'Coordenadas dos Polos'!$EL$2:$EY$2)))^2)</f>
        <v>4.3024250557151953E-6</v>
      </c>
      <c r="L122">
        <f>EXP(((-1)/(2*'Cálculos Diversos'!$B$5))*(SQRT(SUMXMY2('Tabela Entrada-Saída'!$B$122:$O$122,'Coordenadas dos Polos'!$EZ$2:$FM$2)))^2)</f>
        <v>6.3729169525285021E-7</v>
      </c>
      <c r="M122">
        <f>EXP(((-1)/(2*'Cálculos Diversos'!$B$5))*(SQRT(SUMXMY2('Tabela Entrada-Saída'!$B$122:$O$122,'Coordenadas dos Polos'!$FN$2:$GA$2)))^2)</f>
        <v>1.277146530309238E-5</v>
      </c>
      <c r="N122">
        <f>EXP(((-1)/(2*'Cálculos Diversos'!$B$5))*(SQRT(SUMXMY2('Tabela Entrada-Saída'!$B$122:$O$122,'Coordenadas dos Polos'!$GB$2:$GO$2)))^2)</f>
        <v>3.1562633642670282E-5</v>
      </c>
      <c r="O122">
        <f>EXP(((-1)/(2*'Cálculos Diversos'!$B$5))*(SQRT(SUMXMY2('Tabela Entrada-Saída'!$B$122:$O$122,'Coordenadas dos Polos'!$GP$2:$HC$2)))^2)</f>
        <v>2.6027630414862587E-6</v>
      </c>
      <c r="P122">
        <v>1</v>
      </c>
    </row>
    <row r="123" spans="1:16" x14ac:dyDescent="0.25">
      <c r="A123">
        <v>122</v>
      </c>
      <c r="B123">
        <f>EXP(((-1)/(2*'Cálculos Diversos'!$B$5))*(SQRT(SUMXMY2('Tabela Entrada-Saída'!$B$123:$O$123,'Coordenadas dos Polos'!$P$2:$AC$2)))^2)</f>
        <v>9.4804853562864236E-2</v>
      </c>
      <c r="C123">
        <f>EXP(((-1)/(2*'Cálculos Diversos'!$B$5))*(SQRT(SUMXMY2('Tabela Entrada-Saída'!$B$123:$O$123,'Coordenadas dos Polos'!$AD$2:$AQ$2)))^2)</f>
        <v>7.6375048068914883E-5</v>
      </c>
      <c r="D123">
        <f>EXP(((-1)/(2*'Cálculos Diversos'!$B$5))*(SQRT(SUMXMY2('Tabela Entrada-Saída'!$B$123:$O$123,'Coordenadas dos Polos'!$AR$2:$BE$2)))^2)</f>
        <v>2.7276706916502889E-5</v>
      </c>
      <c r="E123">
        <f>EXP(((-1)/(2*'Cálculos Diversos'!$B$5))*(SQRT(SUMXMY2('Tabela Entrada-Saída'!$B$123:$O$123,'Coordenadas dos Polos'!$BF$2:$BS$2)))^2)</f>
        <v>1.0179424399415876E-4</v>
      </c>
      <c r="F123">
        <f>EXP(((-1)/(2*'Cálculos Diversos'!$B$5))*(SQRT(SUMXMY2('Tabela Entrada-Saída'!$B$123:$O$123,'Coordenadas dos Polos'!$BT$2:$CG$2)))^2)</f>
        <v>2.6006054583055E-6</v>
      </c>
      <c r="G123">
        <f>EXP(((-1)/(2*'Cálculos Diversos'!$B$5))*(SQRT(SUMXMY2('Tabela Entrada-Saída'!$B$123:$O$123,'Coordenadas dos Polos'!$CH$2:$CU$2)))^2)</f>
        <v>1.2726023184777215E-4</v>
      </c>
      <c r="H123">
        <f>EXP(((-1)/(2*'Cálculos Diversos'!$B$5))*(SQRT(SUMXMY2('Tabela Entrada-Saída'!$B$123:$O$123,'Coordenadas dos Polos'!$CV$2:$DI$2)))^2)</f>
        <v>5.9892062786719287E-6</v>
      </c>
      <c r="I123">
        <f>EXP(((-1)/(2*'Cálculos Diversos'!$B$5))*(SQRT(SUMXMY2('Tabela Entrada-Saída'!$B$123:$O$123,'Coordenadas dos Polos'!$DJ$2:$DW$2)))^2)</f>
        <v>2.6726583464725044E-4</v>
      </c>
      <c r="J123">
        <f>EXP(((-1)/(2*'Cálculos Diversos'!$B$5))*(SQRT(SUMXMY2('Tabela Entrada-Saída'!$B$123:$O$123,'Coordenadas dos Polos'!$DX$2:$EK$2)))^2)</f>
        <v>1.0216165902908418E-4</v>
      </c>
      <c r="K123">
        <f>EXP(((-1)/(2*'Cálculos Diversos'!$B$5))*(SQRT(SUMXMY2('Tabela Entrada-Saída'!$B$123:$O$123,'Coordenadas dos Polos'!$EL$2:$EY$2)))^2)</f>
        <v>4.3019214990857447E-6</v>
      </c>
      <c r="L123">
        <f>EXP(((-1)/(2*'Cálculos Diversos'!$B$5))*(SQRT(SUMXMY2('Tabela Entrada-Saída'!$B$123:$O$123,'Coordenadas dos Polos'!$EZ$2:$FM$2)))^2)</f>
        <v>6.3626062696161369E-7</v>
      </c>
      <c r="M123">
        <f>EXP(((-1)/(2*'Cálculos Diversos'!$B$5))*(SQRT(SUMXMY2('Tabela Entrada-Saída'!$B$123:$O$123,'Coordenadas dos Polos'!$FN$2:$GA$2)))^2)</f>
        <v>1.2752650801860013E-5</v>
      </c>
      <c r="N123">
        <f>EXP(((-1)/(2*'Cálculos Diversos'!$B$5))*(SQRT(SUMXMY2('Tabela Entrada-Saída'!$B$123:$O$123,'Coordenadas dos Polos'!$GB$2:$GO$2)))^2)</f>
        <v>3.1515691574488972E-5</v>
      </c>
      <c r="O123">
        <f>EXP(((-1)/(2*'Cálculos Diversos'!$B$5))*(SQRT(SUMXMY2('Tabela Entrada-Saída'!$B$123:$O$123,'Coordenadas dos Polos'!$GP$2:$HC$2)))^2)</f>
        <v>2.599811558897311E-6</v>
      </c>
      <c r="P123">
        <v>1</v>
      </c>
    </row>
    <row r="124" spans="1:16" x14ac:dyDescent="0.25">
      <c r="A124">
        <v>123</v>
      </c>
      <c r="B124">
        <f>EXP(((-1)/(2*'Cálculos Diversos'!$B$5))*(SQRT(SUMXMY2('Tabela Entrada-Saída'!$B$124:$O$124,'Coordenadas dos Polos'!$P$2:$AC$2)))^2)</f>
        <v>9.2929706708170176E-2</v>
      </c>
      <c r="C124">
        <f>EXP(((-1)/(2*'Cálculos Diversos'!$B$5))*(SQRT(SUMXMY2('Tabela Entrada-Saída'!$B$124:$O$124,'Coordenadas dos Polos'!$AD$2:$AQ$2)))^2)</f>
        <v>7.5880476860598248E-5</v>
      </c>
      <c r="D124">
        <f>EXP(((-1)/(2*'Cálculos Diversos'!$B$5))*(SQRT(SUMXMY2('Tabela Entrada-Saída'!$B$124:$O$124,'Coordenadas dos Polos'!$AR$2:$BE$2)))^2)</f>
        <v>2.7287183201172739E-5</v>
      </c>
      <c r="E124">
        <f>EXP(((-1)/(2*'Cálculos Diversos'!$B$5))*(SQRT(SUMXMY2('Tabela Entrada-Saída'!$B$124:$O$124,'Coordenadas dos Polos'!$BF$2:$BS$2)))^2)</f>
        <v>1.0033823235247038E-4</v>
      </c>
      <c r="F124">
        <f>EXP(((-1)/(2*'Cálculos Diversos'!$B$5))*(SQRT(SUMXMY2('Tabela Entrada-Saída'!$B$124:$O$124,'Coordenadas dos Polos'!$BT$2:$CG$2)))^2)</f>
        <v>2.5532903073952148E-6</v>
      </c>
      <c r="G124">
        <f>EXP(((-1)/(2*'Cálculos Diversos'!$B$5))*(SQRT(SUMXMY2('Tabela Entrada-Saída'!$B$124:$O$124,'Coordenadas dos Polos'!$CH$2:$CU$2)))^2)</f>
        <v>1.2708214098198868E-4</v>
      </c>
      <c r="H124">
        <f>EXP(((-1)/(2*'Cálculos Diversos'!$B$5))*(SQRT(SUMXMY2('Tabela Entrada-Saída'!$B$124:$O$124,'Coordenadas dos Polos'!$CV$2:$DI$2)))^2)</f>
        <v>5.974389560735733E-6</v>
      </c>
      <c r="I124">
        <f>EXP(((-1)/(2*'Cálculos Diversos'!$B$5))*(SQRT(SUMXMY2('Tabela Entrada-Saída'!$B$124:$O$124,'Coordenadas dos Polos'!$DJ$2:$DW$2)))^2)</f>
        <v>2.6831467454087473E-4</v>
      </c>
      <c r="J124">
        <f>EXP(((-1)/(2*'Cálculos Diversos'!$B$5))*(SQRT(SUMXMY2('Tabela Entrada-Saída'!$B$124:$O$124,'Coordenadas dos Polos'!$DX$2:$EK$2)))^2)</f>
        <v>1.0179601759053248E-4</v>
      </c>
      <c r="K124">
        <f>EXP(((-1)/(2*'Cálculos Diversos'!$B$5))*(SQRT(SUMXMY2('Tabela Entrada-Saída'!$B$124:$O$124,'Coordenadas dos Polos'!$EL$2:$EY$2)))^2)</f>
        <v>4.3021797803856651E-6</v>
      </c>
      <c r="L124">
        <f>EXP(((-1)/(2*'Cálculos Diversos'!$B$5))*(SQRT(SUMXMY2('Tabela Entrada-Saída'!$B$124:$O$124,'Coordenadas dos Polos'!$EZ$2:$FM$2)))^2)</f>
        <v>6.2630488241458723E-7</v>
      </c>
      <c r="M124">
        <f>EXP(((-1)/(2*'Cálculos Diversos'!$B$5))*(SQRT(SUMXMY2('Tabela Entrada-Saída'!$B$124:$O$124,'Coordenadas dos Polos'!$FN$2:$GA$2)))^2)</f>
        <v>1.2568917297777164E-5</v>
      </c>
      <c r="N124">
        <f>EXP(((-1)/(2*'Cálculos Diversos'!$B$5))*(SQRT(SUMXMY2('Tabela Entrada-Saída'!$B$124:$O$124,'Coordenadas dos Polos'!$GB$2:$GO$2)))^2)</f>
        <v>3.1097007393233788E-5</v>
      </c>
      <c r="O124">
        <f>EXP(((-1)/(2*'Cálculos Diversos'!$B$5))*(SQRT(SUMXMY2('Tabela Entrada-Saída'!$B$124:$O$124,'Coordenadas dos Polos'!$GP$2:$HC$2)))^2)</f>
        <v>2.5699743122810844E-6</v>
      </c>
      <c r="P124">
        <v>1</v>
      </c>
    </row>
    <row r="125" spans="1:16" x14ac:dyDescent="0.25">
      <c r="A125">
        <v>124</v>
      </c>
      <c r="B125">
        <f>EXP(((-1)/(2*'Cálculos Diversos'!$B$5))*(SQRT(SUMXMY2('Tabela Entrada-Saída'!$B$125:$O$125,'Coordenadas dos Polos'!$P$2:$AC$2)))^2)</f>
        <v>9.6269388998613231E-2</v>
      </c>
      <c r="C125">
        <f>EXP(((-1)/(2*'Cálculos Diversos'!$B$5))*(SQRT(SUMXMY2('Tabela Entrada-Saída'!$B$125:$O$125,'Coordenadas dos Polos'!$AD$2:$AQ$2)))^2)</f>
        <v>7.6765010647497303E-5</v>
      </c>
      <c r="D125">
        <f>EXP(((-1)/(2*'Cálculos Diversos'!$B$5))*(SQRT(SUMXMY2('Tabela Entrada-Saída'!$B$125:$O$125,'Coordenadas dos Polos'!$AR$2:$BE$2)))^2)</f>
        <v>2.727002716382436E-5</v>
      </c>
      <c r="E125">
        <f>EXP(((-1)/(2*'Cálculos Diversos'!$B$5))*(SQRT(SUMXMY2('Tabela Entrada-Saída'!$B$125:$O$125,'Coordenadas dos Polos'!$BF$2:$BS$2)))^2)</f>
        <v>1.0292823667382441E-4</v>
      </c>
      <c r="F125">
        <f>EXP(((-1)/(2*'Cálculos Diversos'!$B$5))*(SQRT(SUMXMY2('Tabela Entrada-Saída'!$B$125:$O$125,'Coordenadas dos Polos'!$BT$2:$CG$2)))^2)</f>
        <v>2.6376244629927946E-6</v>
      </c>
      <c r="G125">
        <f>EXP(((-1)/(2*'Cálculos Diversos'!$B$5))*(SQRT(SUMXMY2('Tabela Entrada-Saída'!$B$125:$O$125,'Coordenadas dos Polos'!$CH$2:$CU$2)))^2)</f>
        <v>1.2739477696781332E-4</v>
      </c>
      <c r="H125">
        <f>EXP(((-1)/(2*'Cálculos Diversos'!$B$5))*(SQRT(SUMXMY2('Tabela Entrada-Saída'!$B$125:$O$125,'Coordenadas dos Polos'!$CV$2:$DI$2)))^2)</f>
        <v>6.0019345055064853E-6</v>
      </c>
      <c r="I125">
        <f>EXP(((-1)/(2*'Cálculos Diversos'!$B$5))*(SQRT(SUMXMY2('Tabela Entrada-Saída'!$B$125:$O$125,'Coordenadas dos Polos'!$DJ$2:$DW$2)))^2)</f>
        <v>2.6644607840856782E-4</v>
      </c>
      <c r="J125">
        <f>EXP(((-1)/(2*'Cálculos Diversos'!$B$5))*(SQRT(SUMXMY2('Tabela Entrada-Saída'!$B$125:$O$125,'Coordenadas dos Polos'!$DX$2:$EK$2)))^2)</f>
        <v>1.0245179374023402E-4</v>
      </c>
      <c r="K125">
        <f>EXP(((-1)/(2*'Cálculos Diversos'!$B$5))*(SQRT(SUMXMY2('Tabela Entrada-Saída'!$B$125:$O$125,'Coordenadas dos Polos'!$EL$2:$EY$2)))^2)</f>
        <v>4.3020616213179654E-6</v>
      </c>
      <c r="L125">
        <f>EXP(((-1)/(2*'Cálculos Diversos'!$B$5))*(SQRT(SUMXMY2('Tabela Entrada-Saída'!$B$125:$O$125,'Coordenadas dos Polos'!$EZ$2:$FM$2)))^2)</f>
        <v>6.4407028204025925E-7</v>
      </c>
      <c r="M125">
        <f>EXP(((-1)/(2*'Cálculos Diversos'!$B$5))*(SQRT(SUMXMY2('Tabela Entrada-Saída'!$B$125:$O$125,'Coordenadas dos Polos'!$FN$2:$GA$2)))^2)</f>
        <v>1.2896419922440975E-5</v>
      </c>
      <c r="N125">
        <f>EXP(((-1)/(2*'Cálculos Diversos'!$B$5))*(SQRT(SUMXMY2('Tabela Entrada-Saída'!$B$125:$O$125,'Coordenadas dos Polos'!$GB$2:$GO$2)))^2)</f>
        <v>3.1848050385547619E-5</v>
      </c>
      <c r="O125">
        <f>EXP(((-1)/(2*'Cálculos Diversos'!$B$5))*(SQRT(SUMXMY2('Tabela Entrada-Saída'!$B$125:$O$125,'Coordenadas dos Polos'!$GP$2:$HC$2)))^2)</f>
        <v>2.6229049334640427E-6</v>
      </c>
      <c r="P125">
        <v>1</v>
      </c>
    </row>
    <row r="126" spans="1:16" x14ac:dyDescent="0.25">
      <c r="A126">
        <v>125</v>
      </c>
      <c r="B126">
        <f>EXP(((-1)/(2*'Cálculos Diversos'!$B$5))*(SQRT(SUMXMY2('Tabela Entrada-Saída'!$B$126:$O$126,'Coordenadas dos Polos'!$P$2:$AC$2)))^2)</f>
        <v>9.4221259087118384E-2</v>
      </c>
      <c r="C126">
        <f>EXP(((-1)/(2*'Cálculos Diversos'!$B$5))*(SQRT(SUMXMY2('Tabela Entrada-Saída'!$B$126:$O$126,'Coordenadas dos Polos'!$AD$2:$AQ$2)))^2)</f>
        <v>7.6229449851945982E-5</v>
      </c>
      <c r="D126">
        <f>EXP(((-1)/(2*'Cálculos Diversos'!$B$5))*(SQRT(SUMXMY2('Tabela Entrada-Saída'!$B$126:$O$126,'Coordenadas dos Polos'!$AR$2:$BE$2)))^2)</f>
        <v>2.7282226208691655E-5</v>
      </c>
      <c r="E126">
        <f>EXP(((-1)/(2*'Cálculos Diversos'!$B$5))*(SQRT(SUMXMY2('Tabela Entrada-Saída'!$B$126:$O$126,'Coordenadas dos Polos'!$BF$2:$BS$2)))^2)</f>
        <v>1.0134661713599484E-4</v>
      </c>
      <c r="F126">
        <f>EXP(((-1)/(2*'Cálculos Diversos'!$B$5))*(SQRT(SUMXMY2('Tabela Entrada-Saída'!$B$126:$O$126,'Coordenadas dos Polos'!$BT$2:$CG$2)))^2)</f>
        <v>2.5861199371121441E-6</v>
      </c>
      <c r="G126">
        <f>EXP(((-1)/(2*'Cálculos Diversos'!$B$5))*(SQRT(SUMXMY2('Tabela Entrada-Saída'!$B$126:$O$126,'Coordenadas dos Polos'!$CH$2:$CU$2)))^2)</f>
        <v>1.2721486884341248E-4</v>
      </c>
      <c r="H126">
        <f>EXP(((-1)/(2*'Cálculos Diversos'!$B$5))*(SQRT(SUMXMY2('Tabela Entrada-Saída'!$B$126:$O$126,'Coordenadas dos Polos'!$CV$2:$DI$2)))^2)</f>
        <v>5.9855218833165027E-6</v>
      </c>
      <c r="I126">
        <f>EXP(((-1)/(2*'Cálculos Diversos'!$B$5))*(SQRT(SUMXMY2('Tabela Entrada-Saída'!$B$126:$O$126,'Coordenadas dos Polos'!$DJ$2:$DW$2)))^2)</f>
        <v>2.676011970862268E-4</v>
      </c>
      <c r="J126">
        <f>EXP(((-1)/(2*'Cálculos Diversos'!$B$5))*(SQRT(SUMXMY2('Tabela Entrada-Saída'!$B$126:$O$126,'Coordenadas dos Polos'!$DX$2:$EK$2)))^2)</f>
        <v>1.0206400949338644E-4</v>
      </c>
      <c r="K126">
        <f>EXP(((-1)/(2*'Cálculos Diversos'!$B$5))*(SQRT(SUMXMY2('Tabela Entrada-Saída'!$B$126:$O$126,'Coordenadas dos Polos'!$EL$2:$EY$2)))^2)</f>
        <v>4.3023440307878755E-6</v>
      </c>
      <c r="L126">
        <f>EXP(((-1)/(2*'Cálculos Diversos'!$B$5))*(SQRT(SUMXMY2('Tabela Entrada-Saída'!$B$126:$O$126,'Coordenadas dos Polos'!$EZ$2:$FM$2)))^2)</f>
        <v>6.3323599328858195E-7</v>
      </c>
      <c r="M126">
        <f>EXP(((-1)/(2*'Cálculos Diversos'!$B$5))*(SQRT(SUMXMY2('Tabela Entrada-Saída'!$B$126:$O$126,'Coordenadas dos Polos'!$FN$2:$GA$2)))^2)</f>
        <v>1.2696496934074988E-5</v>
      </c>
      <c r="N126">
        <f>EXP(((-1)/(2*'Cálculos Diversos'!$B$5))*(SQRT(SUMXMY2('Tabela Entrada-Saída'!$B$126:$O$126,'Coordenadas dos Polos'!$GB$2:$GO$2)))^2)</f>
        <v>3.1389859291092363E-5</v>
      </c>
      <c r="O126">
        <f>EXP(((-1)/(2*'Cálculos Diversos'!$B$5))*(SQRT(SUMXMY2('Tabela Entrada-Saída'!$B$126:$O$126,'Coordenadas dos Polos'!$GP$2:$HC$2)))^2)</f>
        <v>2.59067823298876E-6</v>
      </c>
      <c r="P126">
        <v>1</v>
      </c>
    </row>
    <row r="127" spans="1:16" x14ac:dyDescent="0.25">
      <c r="A127">
        <v>126</v>
      </c>
      <c r="B127">
        <f>EXP(((-1)/(2*'Cálculos Diversos'!$B$5))*(SQRT(SUMXMY2('Tabela Entrada-Saída'!$B$127:$O$127,'Coordenadas dos Polos'!$P$2:$AC$2)))^2)</f>
        <v>9.4559523910398929E-2</v>
      </c>
      <c r="C127">
        <f>EXP(((-1)/(2*'Cálculos Diversos'!$B$5))*(SQRT(SUMXMY2('Tabela Entrada-Saída'!$B$127:$O$127,'Coordenadas dos Polos'!$AD$2:$AQ$2)))^2)</f>
        <v>7.6315041764829039E-5</v>
      </c>
      <c r="D127">
        <f>EXP(((-1)/(2*'Cálculos Diversos'!$B$5))*(SQRT(SUMXMY2('Tabela Entrada-Saída'!$B$127:$O$127,'Coordenadas dos Polos'!$AR$2:$BE$2)))^2)</f>
        <v>2.7279391992606876E-5</v>
      </c>
      <c r="E127">
        <f>EXP(((-1)/(2*'Cálculos Diversos'!$B$5))*(SQRT(SUMXMY2('Tabela Entrada-Saída'!$B$127:$O$127,'Coordenadas dos Polos'!$BF$2:$BS$2)))^2)</f>
        <v>1.0160546396673229E-4</v>
      </c>
      <c r="F127">
        <f>EXP(((-1)/(2*'Cálculos Diversos'!$B$5))*(SQRT(SUMXMY2('Tabela Entrada-Saída'!$B$127:$O$127,'Coordenadas dos Polos'!$BT$2:$CG$2)))^2)</f>
        <v>2.5944475949372688E-6</v>
      </c>
      <c r="G127">
        <f>EXP(((-1)/(2*'Cálculos Diversos'!$B$5))*(SQRT(SUMXMY2('Tabela Entrada-Saída'!$B$127:$O$127,'Coordenadas dos Polos'!$CH$2:$CU$2)))^2)</f>
        <v>1.2723991665560284E-4</v>
      </c>
      <c r="H127">
        <f>EXP(((-1)/(2*'Cálculos Diversos'!$B$5))*(SQRT(SUMXMY2('Tabela Entrada-Saída'!$B$127:$O$127,'Coordenadas dos Polos'!$CV$2:$DI$2)))^2)</f>
        <v>5.9879401567505816E-6</v>
      </c>
      <c r="I127">
        <f>EXP(((-1)/(2*'Cálculos Diversos'!$B$5))*(SQRT(SUMXMY2('Tabela Entrada-Saída'!$B$127:$O$127,'Coordenadas dos Polos'!$DJ$2:$DW$2)))^2)</f>
        <v>2.6740419435343119E-4</v>
      </c>
      <c r="J127">
        <f>EXP(((-1)/(2*'Cálculos Diversos'!$B$5))*(SQRT(SUMXMY2('Tabela Entrada-Saída'!$B$127:$O$127,'Coordenadas dos Polos'!$DX$2:$EK$2)))^2)</f>
        <v>1.0211946697233286E-4</v>
      </c>
      <c r="K127">
        <f>EXP(((-1)/(2*'Cálculos Diversos'!$B$5))*(SQRT(SUMXMY2('Tabela Entrada-Saída'!$B$127:$O$127,'Coordenadas dos Polos'!$EL$2:$EY$2)))^2)</f>
        <v>4.3022203037419396E-6</v>
      </c>
      <c r="L127">
        <f>EXP(((-1)/(2*'Cálculos Diversos'!$B$5))*(SQRT(SUMXMY2('Tabela Entrada-Saída'!$B$127:$O$127,'Coordenadas dos Polos'!$EZ$2:$FM$2)))^2)</f>
        <v>6.3498369147171305E-7</v>
      </c>
      <c r="M127">
        <f>EXP(((-1)/(2*'Cálculos Diversos'!$B$5))*(SQRT(SUMXMY2('Tabela Entrada-Saída'!$B$127:$O$127,'Coordenadas dos Polos'!$FN$2:$GA$2)))^2)</f>
        <v>1.2729031128932602E-5</v>
      </c>
      <c r="N127">
        <f>EXP(((-1)/(2*'Cálculos Diversos'!$B$5))*(SQRT(SUMXMY2('Tabela Entrada-Saída'!$B$127:$O$127,'Coordenadas dos Polos'!$GB$2:$GO$2)))^2)</f>
        <v>3.1464117760870929E-5</v>
      </c>
      <c r="O127">
        <f>EXP(((-1)/(2*'Cálculos Diversos'!$B$5))*(SQRT(SUMXMY2('Tabela Entrada-Saída'!$B$127:$O$127,'Coordenadas dos Polos'!$GP$2:$HC$2)))^2)</f>
        <v>2.5959385605026862E-6</v>
      </c>
      <c r="P127">
        <v>1</v>
      </c>
    </row>
    <row r="128" spans="1:16" x14ac:dyDescent="0.25">
      <c r="A128">
        <v>127</v>
      </c>
      <c r="B128">
        <f>EXP(((-1)/(2*'Cálculos Diversos'!$B$5))*(SQRT(SUMXMY2('Tabela Entrada-Saída'!$B$128:$O$128,'Coordenadas dos Polos'!$P$2:$AC$2)))^2)</f>
        <v>9.3349553965587473E-2</v>
      </c>
      <c r="C128">
        <f>EXP(((-1)/(2*'Cálculos Diversos'!$B$5))*(SQRT(SUMXMY2('Tabela Entrada-Saída'!$B$128:$O$128,'Coordenadas dos Polos'!$AD$2:$AQ$2)))^2)</f>
        <v>7.5994715582677658E-5</v>
      </c>
      <c r="D128">
        <f>EXP(((-1)/(2*'Cálculos Diversos'!$B$5))*(SQRT(SUMXMY2('Tabela Entrada-Saída'!$B$128:$O$128,'Coordenadas dos Polos'!$AR$2:$BE$2)))^2)</f>
        <v>2.7285443415764915E-5</v>
      </c>
      <c r="E128">
        <f>EXP(((-1)/(2*'Cálculos Diversos'!$B$5))*(SQRT(SUMXMY2('Tabela Entrada-Saída'!$B$128:$O$128,'Coordenadas dos Polos'!$BF$2:$BS$2)))^2)</f>
        <v>1.006679706094998E-4</v>
      </c>
      <c r="F128">
        <f>EXP(((-1)/(2*'Cálculos Diversos'!$B$5))*(SQRT(SUMXMY2('Tabela Entrada-Saída'!$B$128:$O$128,'Coordenadas dos Polos'!$BT$2:$CG$2)))^2)</f>
        <v>2.5641299434211516E-6</v>
      </c>
      <c r="G128">
        <f>EXP(((-1)/(2*'Cálculos Diversos'!$B$5))*(SQRT(SUMXMY2('Tabela Entrada-Saída'!$B$128:$O$128,'Coordenadas dos Polos'!$CH$2:$CU$2)))^2)</f>
        <v>1.2713160805272856E-4</v>
      </c>
      <c r="H128">
        <f>EXP(((-1)/(2*'Cálculos Diversos'!$B$5))*(SQRT(SUMXMY2('Tabela Entrada-Saída'!$B$128:$O$128,'Coordenadas dos Polos'!$CV$2:$DI$2)))^2)</f>
        <v>5.9779531259719486E-6</v>
      </c>
      <c r="I128">
        <f>EXP(((-1)/(2*'Cálculos Diversos'!$B$5))*(SQRT(SUMXMY2('Tabela Entrada-Saída'!$B$128:$O$128,'Coordenadas dos Polos'!$DJ$2:$DW$2)))^2)</f>
        <v>2.6808345665092352E-4</v>
      </c>
      <c r="J128">
        <f>EXP(((-1)/(2*'Cálculos Diversos'!$B$5))*(SQRT(SUMXMY2('Tabela Entrada-Saída'!$B$128:$O$128,'Coordenadas dos Polos'!$DX$2:$EK$2)))^2)</f>
        <v>1.0189049278840213E-4</v>
      </c>
      <c r="K128">
        <f>EXP(((-1)/(2*'Cálculos Diversos'!$B$5))*(SQRT(SUMXMY2('Tabela Entrada-Saída'!$B$128:$O$128,'Coordenadas dos Polos'!$EL$2:$EY$2)))^2)</f>
        <v>4.3021606451355841E-6</v>
      </c>
      <c r="L128">
        <f>EXP(((-1)/(2*'Cálculos Diversos'!$B$5))*(SQRT(SUMXMY2('Tabela Entrada-Saída'!$B$128:$O$128,'Coordenadas dos Polos'!$EZ$2:$FM$2)))^2)</f>
        <v>6.2858893107293417E-7</v>
      </c>
      <c r="M128">
        <f>EXP(((-1)/(2*'Cálculos Diversos'!$B$5))*(SQRT(SUMXMY2('Tabela Entrada-Saída'!$B$128:$O$128,'Coordenadas dos Polos'!$FN$2:$GA$2)))^2)</f>
        <v>1.2610603002839306E-5</v>
      </c>
      <c r="N128">
        <f>EXP(((-1)/(2*'Cálculos Diversos'!$B$5))*(SQRT(SUMXMY2('Tabela Entrada-Saída'!$B$128:$O$128,'Coordenadas dos Polos'!$GB$2:$GO$2)))^2)</f>
        <v>3.1192446397632789E-5</v>
      </c>
      <c r="O128">
        <f>EXP(((-1)/(2*'Cálculos Diversos'!$B$5))*(SQRT(SUMXMY2('Tabela Entrada-Saída'!$B$128:$O$128,'Coordenadas dos Polos'!$GP$2:$HC$2)))^2)</f>
        <v>2.5768169219010808E-6</v>
      </c>
      <c r="P128">
        <v>1</v>
      </c>
    </row>
    <row r="129" spans="1:16" x14ac:dyDescent="0.25">
      <c r="A129">
        <v>128</v>
      </c>
      <c r="B129">
        <f>EXP(((-1)/(2*'Cálculos Diversos'!$B$5))*(SQRT(SUMXMY2('Tabela Entrada-Saída'!$B$129:$O$129,'Coordenadas dos Polos'!$P$2:$AC$2)))^2)</f>
        <v>9.3780392340269914E-2</v>
      </c>
      <c r="C129">
        <f>EXP(((-1)/(2*'Cálculos Diversos'!$B$5))*(SQRT(SUMXMY2('Tabela Entrada-Saída'!$B$129:$O$129,'Coordenadas dos Polos'!$AD$2:$AQ$2)))^2)</f>
        <v>7.6102630806377793E-5</v>
      </c>
      <c r="D129">
        <f>EXP(((-1)/(2*'Cálculos Diversos'!$B$5))*(SQRT(SUMXMY2('Tabela Entrada-Saída'!$B$129:$O$129,'Coordenadas dos Polos'!$AR$2:$BE$2)))^2)</f>
        <v>2.7281941480680443E-5</v>
      </c>
      <c r="E129">
        <f>EXP(((-1)/(2*'Cálculos Diversos'!$B$5))*(SQRT(SUMXMY2('Tabela Entrada-Saída'!$B$129:$O$129,'Coordenadas dos Polos'!$BF$2:$BS$2)))^2)</f>
        <v>1.0099863485383268E-4</v>
      </c>
      <c r="F129">
        <f>EXP(((-1)/(2*'Cálculos Diversos'!$B$5))*(SQRT(SUMXMY2('Tabela Entrada-Saída'!$B$129:$O$129,'Coordenadas dos Polos'!$BT$2:$CG$2)))^2)</f>
        <v>2.5746981548238767E-6</v>
      </c>
      <c r="G129">
        <f>EXP(((-1)/(2*'Cálculos Diversos'!$B$5))*(SQRT(SUMXMY2('Tabela Entrada-Saída'!$B$129:$O$129,'Coordenadas dos Polos'!$CH$2:$CU$2)))^2)</f>
        <v>1.271616113905994E-4</v>
      </c>
      <c r="H129">
        <f>EXP(((-1)/(2*'Cálculos Diversos'!$B$5))*(SQRT(SUMXMY2('Tabela Entrada-Saída'!$B$129:$O$129,'Coordenadas dos Polos'!$CV$2:$DI$2)))^2)</f>
        <v>5.9807298892410661E-6</v>
      </c>
      <c r="I129">
        <f>EXP(((-1)/(2*'Cálculos Diversos'!$B$5))*(SQRT(SUMXMY2('Tabela Entrada-Saída'!$B$129:$O$129,'Coordenadas dos Polos'!$DJ$2:$DW$2)))^2)</f>
        <v>2.6783931560725726E-4</v>
      </c>
      <c r="J129">
        <f>EXP(((-1)/(2*'Cálculos Diversos'!$B$5))*(SQRT(SUMXMY2('Tabela Entrada-Saída'!$B$129:$O$129,'Coordenadas dos Polos'!$DX$2:$EK$2)))^2)</f>
        <v>1.0195737488356636E-4</v>
      </c>
      <c r="K129">
        <f>EXP(((-1)/(2*'Cálculos Diversos'!$B$5))*(SQRT(SUMXMY2('Tabela Entrada-Saída'!$B$129:$O$129,'Coordenadas dos Polos'!$EL$2:$EY$2)))^2)</f>
        <v>4.301949809824573E-6</v>
      </c>
      <c r="L129">
        <f>EXP(((-1)/(2*'Cálculos Diversos'!$B$5))*(SQRT(SUMXMY2('Tabela Entrada-Saída'!$B$129:$O$129,'Coordenadas dos Polos'!$EZ$2:$FM$2)))^2)</f>
        <v>6.3080341816856461E-7</v>
      </c>
      <c r="M129">
        <f>EXP(((-1)/(2*'Cálculos Diversos'!$B$5))*(SQRT(SUMXMY2('Tabela Entrada-Saída'!$B$129:$O$129,'Coordenadas dos Polos'!$FN$2:$GA$2)))^2)</f>
        <v>1.2652055518025658E-5</v>
      </c>
      <c r="N129">
        <f>EXP(((-1)/(2*'Cálculos Diversos'!$B$5))*(SQRT(SUMXMY2('Tabela Entrada-Saída'!$B$129:$O$129,'Coordenadas dos Polos'!$GB$2:$GO$2)))^2)</f>
        <v>3.1285151864031783E-5</v>
      </c>
      <c r="O129">
        <f>EXP(((-1)/(2*'Cálculos Diversos'!$B$5))*(SQRT(SUMXMY2('Tabela Entrada-Saída'!$B$129:$O$129,'Coordenadas dos Polos'!$GP$2:$HC$2)))^2)</f>
        <v>2.5835257611242268E-6</v>
      </c>
      <c r="P129">
        <v>1</v>
      </c>
    </row>
    <row r="130" spans="1:16" x14ac:dyDescent="0.25">
      <c r="A130">
        <v>129</v>
      </c>
      <c r="B130">
        <f>EXP(((-1)/(2*'Cálculos Diversos'!$B$5))*(SQRT(SUMXMY2('Tabela Entrada-Saída'!$B$130:$O$130,'Coordenadas dos Polos'!$P$2:$AC$2)))^2)</f>
        <v>9.5594480047768174E-2</v>
      </c>
      <c r="C130">
        <f>EXP(((-1)/(2*'Cálculos Diversos'!$B$5))*(SQRT(SUMXMY2('Tabela Entrada-Saída'!$B$130:$O$130,'Coordenadas dos Polos'!$AD$2:$AQ$2)))^2)</f>
        <v>7.6585069569080734E-5</v>
      </c>
      <c r="D130">
        <f>EXP(((-1)/(2*'Cálculos Diversos'!$B$5))*(SQRT(SUMXMY2('Tabela Entrada-Saída'!$B$130:$O$130,'Coordenadas dos Polos'!$AR$2:$BE$2)))^2)</f>
        <v>2.7273270660880276E-5</v>
      </c>
      <c r="E130">
        <f>EXP(((-1)/(2*'Cálculos Diversos'!$B$5))*(SQRT(SUMXMY2('Tabela Entrada-Saída'!$B$130:$O$130,'Coordenadas dos Polos'!$BF$2:$BS$2)))^2)</f>
        <v>1.0240518447445E-4</v>
      </c>
      <c r="F130">
        <f>EXP(((-1)/(2*'Cálculos Diversos'!$B$5))*(SQRT(SUMXMY2('Tabela Entrada-Saída'!$B$130:$O$130,'Coordenadas dos Polos'!$BT$2:$CG$2)))^2)</f>
        <v>2.6205085681675269E-6</v>
      </c>
      <c r="G130">
        <f>EXP(((-1)/(2*'Cálculos Diversos'!$B$5))*(SQRT(SUMXMY2('Tabela Entrada-Saída'!$B$130:$O$130,'Coordenadas dos Polos'!$CH$2:$CU$2)))^2)</f>
        <v>1.2733084355937824E-4</v>
      </c>
      <c r="H130">
        <f>EXP(((-1)/(2*'Cálculos Diversos'!$B$5))*(SQRT(SUMXMY2('Tabela Entrada-Saída'!$B$130:$O$130,'Coordenadas dos Polos'!$CV$2:$DI$2)))^2)</f>
        <v>5.9960873324089876E-6</v>
      </c>
      <c r="I130">
        <f>EXP(((-1)/(2*'Cálculos Diversos'!$B$5))*(SQRT(SUMXMY2('Tabela Entrada-Saída'!$B$130:$O$130,'Coordenadas dos Polos'!$DJ$2:$DW$2)))^2)</f>
        <v>2.6682306201873663E-4</v>
      </c>
      <c r="J130">
        <f>EXP(((-1)/(2*'Cálculos Diversos'!$B$5))*(SQRT(SUMXMY2('Tabela Entrada-Saída'!$B$130:$O$130,'Coordenadas dos Polos'!$DX$2:$EK$2)))^2)</f>
        <v>1.0231622284148755E-4</v>
      </c>
      <c r="K130">
        <f>EXP(((-1)/(2*'Cálculos Diversos'!$B$5))*(SQRT(SUMXMY2('Tabela Entrada-Saída'!$B$130:$O$130,'Coordenadas dos Polos'!$EL$2:$EY$2)))^2)</f>
        <v>4.3020139479526295E-6</v>
      </c>
      <c r="L130">
        <f>EXP(((-1)/(2*'Cálculos Diversos'!$B$5))*(SQRT(SUMXMY2('Tabela Entrada-Saída'!$B$130:$O$130,'Coordenadas dos Polos'!$EZ$2:$FM$2)))^2)</f>
        <v>6.4046326154405527E-7</v>
      </c>
      <c r="M130">
        <f>EXP(((-1)/(2*'Cálculos Diversos'!$B$5))*(SQRT(SUMXMY2('Tabela Entrada-Saída'!$B$130:$O$130,'Coordenadas dos Polos'!$FN$2:$GA$2)))^2)</f>
        <v>1.2830079017553289E-5</v>
      </c>
      <c r="N130">
        <f>EXP(((-1)/(2*'Cálculos Diversos'!$B$5))*(SQRT(SUMXMY2('Tabela Entrada-Saída'!$B$130:$O$130,'Coordenadas dos Polos'!$GB$2:$GO$2)))^2)</f>
        <v>3.1694894772974733E-5</v>
      </c>
      <c r="O130">
        <f>EXP(((-1)/(2*'Cálculos Diversos'!$B$5))*(SQRT(SUMXMY2('Tabela Entrada-Saída'!$B$130:$O$130,'Coordenadas dos Polos'!$GP$2:$HC$2)))^2)</f>
        <v>2.612243398235943E-6</v>
      </c>
      <c r="P130">
        <v>1</v>
      </c>
    </row>
    <row r="131" spans="1:16" x14ac:dyDescent="0.25">
      <c r="A131">
        <v>130</v>
      </c>
      <c r="B131">
        <f>EXP(((-1)/(2*'Cálculos Diversos'!$B$5))*(SQRT(SUMXMY2('Tabela Entrada-Saída'!$B$131:$O$131,'Coordenadas dos Polos'!$P$2:$AC$2)))^2)</f>
        <v>9.5738891617313651E-2</v>
      </c>
      <c r="C131">
        <f>EXP(((-1)/(2*'Cálculos Diversos'!$B$5))*(SQRT(SUMXMY2('Tabela Entrada-Saída'!$B$131:$O$131,'Coordenadas dos Polos'!$AD$2:$AQ$2)))^2)</f>
        <v>7.6618917203905454E-5</v>
      </c>
      <c r="D131">
        <f>EXP(((-1)/(2*'Cálculos Diversos'!$B$5))*(SQRT(SUMXMY2('Tabela Entrada-Saída'!$B$131:$O$131,'Coordenadas dos Polos'!$AR$2:$BE$2)))^2)</f>
        <v>2.7271323996683636E-5</v>
      </c>
      <c r="E131">
        <f>EXP(((-1)/(2*'Cálculos Diversos'!$B$5))*(SQRT(SUMXMY2('Tabela Entrada-Saída'!$B$131:$O$131,'Coordenadas dos Polos'!$BF$2:$BS$2)))^2)</f>
        <v>1.0251624784111032E-4</v>
      </c>
      <c r="F131">
        <f>EXP(((-1)/(2*'Cálculos Diversos'!$B$5))*(SQRT(SUMXMY2('Tabela Entrada-Saída'!$B$131:$O$131,'Coordenadas dos Polos'!$BT$2:$CG$2)))^2)</f>
        <v>2.6241324219907196E-6</v>
      </c>
      <c r="G131">
        <f>EXP(((-1)/(2*'Cálculos Diversos'!$B$5))*(SQRT(SUMXMY2('Tabela Entrada-Saída'!$B$131:$O$131,'Coordenadas dos Polos'!$CH$2:$CU$2)))^2)</f>
        <v>1.2734276793069298E-4</v>
      </c>
      <c r="H131">
        <f>EXP(((-1)/(2*'Cálculos Diversos'!$B$5))*(SQRT(SUMXMY2('Tabela Entrada-Saída'!$B$131:$O$131,'Coordenadas dos Polos'!$CV$2:$DI$2)))^2)</f>
        <v>5.9966304698095236E-6</v>
      </c>
      <c r="I131">
        <f>EXP(((-1)/(2*'Cálculos Diversos'!$B$5))*(SQRT(SUMXMY2('Tabela Entrada-Saída'!$B$131:$O$131,'Coordenadas dos Polos'!$DJ$2:$DW$2)))^2)</f>
        <v>2.6674152121995085E-4</v>
      </c>
      <c r="J131">
        <f>EXP(((-1)/(2*'Cálculos Diversos'!$B$5))*(SQRT(SUMXMY2('Tabela Entrada-Saída'!$B$131:$O$131,'Coordenadas dos Polos'!$DX$2:$EK$2)))^2)</f>
        <v>1.0233928950828704E-4</v>
      </c>
      <c r="K131">
        <f>EXP(((-1)/(2*'Cálculos Diversos'!$B$5))*(SQRT(SUMXMY2('Tabela Entrada-Saída'!$B$131:$O$131,'Coordenadas dos Polos'!$EL$2:$EY$2)))^2)</f>
        <v>4.3017821731351895E-6</v>
      </c>
      <c r="L131">
        <f>EXP(((-1)/(2*'Cálculos Diversos'!$B$5))*(SQRT(SUMXMY2('Tabela Entrada-Saída'!$B$131:$O$131,'Coordenadas dos Polos'!$EZ$2:$FM$2)))^2)</f>
        <v>6.4121212820819122E-7</v>
      </c>
      <c r="M131">
        <f>EXP(((-1)/(2*'Cálculos Diversos'!$B$5))*(SQRT(SUMXMY2('Tabela Entrada-Saída'!$B$131:$O$131,'Coordenadas dos Polos'!$FN$2:$GA$2)))^2)</f>
        <v>1.2843854795151024E-5</v>
      </c>
      <c r="N131">
        <f>EXP(((-1)/(2*'Cálculos Diversos'!$B$5))*(SQRT(SUMXMY2('Tabela Entrada-Saída'!$B$131:$O$131,'Coordenadas dos Polos'!$GB$2:$GO$2)))^2)</f>
        <v>3.1724502373361054E-5</v>
      </c>
      <c r="O131">
        <f>EXP(((-1)/(2*'Cálculos Diversos'!$B$5))*(SQRT(SUMXMY2('Tabela Entrada-Saída'!$B$131:$O$131,'Coordenadas dos Polos'!$GP$2:$HC$2)))^2)</f>
        <v>2.6145403081625531E-6</v>
      </c>
      <c r="P131">
        <v>1</v>
      </c>
    </row>
    <row r="132" spans="1:16" x14ac:dyDescent="0.25">
      <c r="A132">
        <v>131</v>
      </c>
      <c r="B132">
        <f>EXP(((-1)/(2*'Cálculos Diversos'!$B$5))*(SQRT(SUMXMY2('Tabela Entrada-Saída'!$B$132:$O$132,'Coordenadas dos Polos'!$P$2:$AC$2)))^2)</f>
        <v>9.4133023059645285E-2</v>
      </c>
      <c r="C132">
        <f>EXP(((-1)/(2*'Cálculos Diversos'!$B$5))*(SQRT(SUMXMY2('Tabela Entrada-Saída'!$B$132:$O$132,'Coordenadas dos Polos'!$AD$2:$AQ$2)))^2)</f>
        <v>7.6195381232605419E-5</v>
      </c>
      <c r="D132">
        <f>EXP(((-1)/(2*'Cálculos Diversos'!$B$5))*(SQRT(SUMXMY2('Tabela Entrada-Saída'!$B$132:$O$132,'Coordenadas dos Polos'!$AR$2:$BE$2)))^2)</f>
        <v>2.7279813984366544E-5</v>
      </c>
      <c r="E132">
        <f>EXP(((-1)/(2*'Cálculos Diversos'!$B$5))*(SQRT(SUMXMY2('Tabela Entrada-Saída'!$B$132:$O$132,'Coordenadas dos Polos'!$BF$2:$BS$2)))^2)</f>
        <v>1.0127242397568426E-4</v>
      </c>
      <c r="F132">
        <f>EXP(((-1)/(2*'Cálculos Diversos'!$B$5))*(SQRT(SUMXMY2('Tabela Entrada-Saída'!$B$132:$O$132,'Coordenadas dos Polos'!$BT$2:$CG$2)))^2)</f>
        <v>2.5836260024328192E-6</v>
      </c>
      <c r="G132">
        <f>EXP(((-1)/(2*'Cálculos Diversos'!$B$5))*(SQRT(SUMXMY2('Tabela Entrada-Saída'!$B$132:$O$132,'Coordenadas dos Polos'!$CH$2:$CU$2)))^2)</f>
        <v>1.2719575442987581E-4</v>
      </c>
      <c r="H132">
        <f>EXP(((-1)/(2*'Cálculos Diversos'!$B$5))*(SQRT(SUMXMY2('Tabela Entrada-Saída'!$B$132:$O$132,'Coordenadas dos Polos'!$CV$2:$DI$2)))^2)</f>
        <v>5.9834563038454405E-6</v>
      </c>
      <c r="I132">
        <f>EXP(((-1)/(2*'Cálculos Diversos'!$B$5))*(SQRT(SUMXMY2('Tabela Entrada-Saída'!$B$132:$O$132,'Coordenadas dos Polos'!$DJ$2:$DW$2)))^2)</f>
        <v>2.6764226752438211E-4</v>
      </c>
      <c r="J132">
        <f>EXP(((-1)/(2*'Cálculos Diversos'!$B$5))*(SQRT(SUMXMY2('Tabela Entrada-Saída'!$B$132:$O$132,'Coordenadas dos Polos'!$DX$2:$EK$2)))^2)</f>
        <v>1.0202692010711572E-4</v>
      </c>
      <c r="K132">
        <f>EXP(((-1)/(2*'Cálculos Diversos'!$B$5))*(SQRT(SUMXMY2('Tabela Entrada-Saída'!$B$132:$O$132,'Coordenadas dos Polos'!$EL$2:$EY$2)))^2)</f>
        <v>4.3018567953881566E-6</v>
      </c>
      <c r="L132">
        <f>EXP(((-1)/(2*'Cálculos Diversos'!$B$5))*(SQRT(SUMXMY2('Tabela Entrada-Saída'!$B$132:$O$132,'Coordenadas dos Polos'!$EZ$2:$FM$2)))^2)</f>
        <v>6.3267779377452503E-7</v>
      </c>
      <c r="M132">
        <f>EXP(((-1)/(2*'Cálculos Diversos'!$B$5))*(SQRT(SUMXMY2('Tabela Entrada-Saída'!$B$132:$O$132,'Coordenadas dos Polos'!$FN$2:$GA$2)))^2)</f>
        <v>1.2686613771791668E-5</v>
      </c>
      <c r="N132">
        <f>EXP(((-1)/(2*'Cálculos Diversos'!$B$5))*(SQRT(SUMXMY2('Tabela Entrada-Saída'!$B$132:$O$132,'Coordenadas dos Polos'!$GB$2:$GO$2)))^2)</f>
        <v>3.1363612810430633E-5</v>
      </c>
      <c r="O132">
        <f>EXP(((-1)/(2*'Cálculos Diversos'!$B$5))*(SQRT(SUMXMY2('Tabela Entrada-Saída'!$B$132:$O$132,'Coordenadas dos Polos'!$GP$2:$HC$2)))^2)</f>
        <v>2.5891418513082584E-6</v>
      </c>
      <c r="P132">
        <v>1</v>
      </c>
    </row>
    <row r="133" spans="1:16" x14ac:dyDescent="0.25">
      <c r="A133">
        <v>132</v>
      </c>
      <c r="B133">
        <f>EXP(((-1)/(2*'Cálculos Diversos'!$B$5))*(SQRT(SUMXMY2('Tabela Entrada-Saída'!$B$133:$O$133,'Coordenadas dos Polos'!$P$2:$AC$2)))^2)</f>
        <v>9.614971859818168E-2</v>
      </c>
      <c r="C133">
        <f>EXP(((-1)/(2*'Cálculos Diversos'!$B$5))*(SQRT(SUMXMY2('Tabela Entrada-Saída'!$B$133:$O$133,'Coordenadas dos Polos'!$AD$2:$AQ$2)))^2)</f>
        <v>7.6727630051452551E-5</v>
      </c>
      <c r="D133">
        <f>EXP(((-1)/(2*'Cálculos Diversos'!$B$5))*(SQRT(SUMXMY2('Tabela Entrada-Saída'!$B$133:$O$133,'Coordenadas dos Polos'!$AR$2:$BE$2)))^2)</f>
        <v>2.726945542783308E-5</v>
      </c>
      <c r="E133">
        <f>EXP(((-1)/(2*'Cálculos Diversos'!$B$5))*(SQRT(SUMXMY2('Tabela Entrada-Saída'!$B$133:$O$133,'Coordenadas dos Polos'!$BF$2:$BS$2)))^2)</f>
        <v>1.0283230469955321E-4</v>
      </c>
      <c r="F133">
        <f>EXP(((-1)/(2*'Cálculos Diversos'!$B$5))*(SQRT(SUMXMY2('Tabela Entrada-Saída'!$B$133:$O$133,'Coordenadas dos Polos'!$BT$2:$CG$2)))^2)</f>
        <v>2.6344117333929575E-6</v>
      </c>
      <c r="G133">
        <f>EXP(((-1)/(2*'Cálculos Diversos'!$B$5))*(SQRT(SUMXMY2('Tabela Entrada-Saída'!$B$133:$O$133,'Coordenadas dos Polos'!$CH$2:$CU$2)))^2)</f>
        <v>1.2737601847862028E-4</v>
      </c>
      <c r="H133">
        <f>EXP(((-1)/(2*'Cálculos Diversos'!$B$5))*(SQRT(SUMXMY2('Tabela Entrada-Saída'!$B$133:$O$133,'Coordenadas dos Polos'!$CV$2:$DI$2)))^2)</f>
        <v>6.0002795993511165E-6</v>
      </c>
      <c r="I133">
        <f>EXP(((-1)/(2*'Cálculos Diversos'!$B$5))*(SQRT(SUMXMY2('Tabela Entrada-Saída'!$B$133:$O$133,'Coordenadas dos Polos'!$DJ$2:$DW$2)))^2)</f>
        <v>2.6650910979725273E-4</v>
      </c>
      <c r="J133">
        <f>EXP(((-1)/(2*'Cálculos Diversos'!$B$5))*(SQRT(SUMXMY2('Tabela Entrada-Saída'!$B$133:$O$133,'Coordenadas dos Polos'!$DX$2:$EK$2)))^2)</f>
        <v>1.0241641506673352E-4</v>
      </c>
      <c r="K133">
        <f>EXP(((-1)/(2*'Cálculos Diversos'!$B$5))*(SQRT(SUMXMY2('Tabela Entrada-Saída'!$B$133:$O$133,'Coordenadas dos Polos'!$EL$2:$EY$2)))^2)</f>
        <v>4.3018477650093068E-6</v>
      </c>
      <c r="L133">
        <f>EXP(((-1)/(2*'Cálculos Diversos'!$B$5))*(SQRT(SUMXMY2('Tabela Entrada-Saída'!$B$133:$O$133,'Coordenadas dos Polos'!$EZ$2:$FM$2)))^2)</f>
        <v>6.4338242239447693E-7</v>
      </c>
      <c r="M133">
        <f>EXP(((-1)/(2*'Cálculos Diversos'!$B$5))*(SQRT(SUMXMY2('Tabela Entrada-Saída'!$B$133:$O$133,'Coordenadas dos Polos'!$FN$2:$GA$2)))^2)</f>
        <v>1.2883988676869359E-5</v>
      </c>
      <c r="N133">
        <f>EXP(((-1)/(2*'Cálculos Diversos'!$B$5))*(SQRT(SUMXMY2('Tabela Entrada-Saída'!$B$133:$O$133,'Coordenadas dos Polos'!$GB$2:$GO$2)))^2)</f>
        <v>3.1817834369849074E-5</v>
      </c>
      <c r="O133">
        <f>EXP(((-1)/(2*'Cálculos Diversos'!$B$5))*(SQRT(SUMXMY2('Tabela Entrada-Saída'!$B$133:$O$133,'Coordenadas dos Polos'!$GP$2:$HC$2)))^2)</f>
        <v>2.6209247901511468E-6</v>
      </c>
      <c r="P133">
        <v>1</v>
      </c>
    </row>
    <row r="134" spans="1:16" x14ac:dyDescent="0.25">
      <c r="A134">
        <v>133</v>
      </c>
      <c r="B134">
        <f>EXP(((-1)/(2*'Cálculos Diversos'!$B$5))*(SQRT(SUMXMY2('Tabela Entrada-Saída'!$B$134:$O$134,'Coordenadas dos Polos'!$P$2:$AC$2)))^2)</f>
        <v>9.3839259522755639E-2</v>
      </c>
      <c r="C134">
        <f>EXP(((-1)/(2*'Cálculos Diversos'!$B$5))*(SQRT(SUMXMY2('Tabela Entrada-Saída'!$B$134:$O$134,'Coordenadas dos Polos'!$AD$2:$AQ$2)))^2)</f>
        <v>7.6119615703736524E-5</v>
      </c>
      <c r="D134">
        <f>EXP(((-1)/(2*'Cálculos Diversos'!$B$5))*(SQRT(SUMXMY2('Tabela Entrada-Saída'!$B$134:$O$134,'Coordenadas dos Polos'!$AR$2:$BE$2)))^2)</f>
        <v>2.7281702985974196E-5</v>
      </c>
      <c r="E134">
        <f>EXP(((-1)/(2*'Cálculos Diversos'!$B$5))*(SQRT(SUMXMY2('Tabela Entrada-Saída'!$B$134:$O$134,'Coordenadas dos Polos'!$BF$2:$BS$2)))^2)</f>
        <v>1.0104493465413857E-4</v>
      </c>
      <c r="F134">
        <f>EXP(((-1)/(2*'Cálculos Diversos'!$B$5))*(SQRT(SUMXMY2('Tabela Entrada-Saída'!$B$134:$O$134,'Coordenadas dos Polos'!$BT$2:$CG$2)))^2)</f>
        <v>2.576220622443058E-6</v>
      </c>
      <c r="G134">
        <f>EXP(((-1)/(2*'Cálculos Diversos'!$B$5))*(SQRT(SUMXMY2('Tabela Entrada-Saída'!$B$134:$O$134,'Coordenadas dos Polos'!$CH$2:$CU$2)))^2)</f>
        <v>1.2716945012703073E-4</v>
      </c>
      <c r="H134">
        <f>EXP(((-1)/(2*'Cálculos Diversos'!$B$5))*(SQRT(SUMXMY2('Tabela Entrada-Saída'!$B$134:$O$134,'Coordenadas dos Polos'!$CV$2:$DI$2)))^2)</f>
        <v>5.9813479673719744E-6</v>
      </c>
      <c r="I134">
        <f>EXP(((-1)/(2*'Cálculos Diversos'!$B$5))*(SQRT(SUMXMY2('Tabela Entrada-Saída'!$B$134:$O$134,'Coordenadas dos Polos'!$DJ$2:$DW$2)))^2)</f>
        <v>2.6780522246153696E-4</v>
      </c>
      <c r="J134">
        <f>EXP(((-1)/(2*'Cálculos Diversos'!$B$5))*(SQRT(SUMXMY2('Tabela Entrada-Saída'!$B$134:$O$134,'Coordenadas dos Polos'!$DX$2:$EK$2)))^2)</f>
        <v>1.0197222781121857E-4</v>
      </c>
      <c r="K134">
        <f>EXP(((-1)/(2*'Cálculos Diversos'!$B$5))*(SQRT(SUMXMY2('Tabela Entrada-Saída'!$B$134:$O$134,'Coordenadas dos Polos'!$EL$2:$EY$2)))^2)</f>
        <v>4.3019861984581023E-6</v>
      </c>
      <c r="L134">
        <f>EXP(((-1)/(2*'Cálculos Diversos'!$B$5))*(SQRT(SUMXMY2('Tabela Entrada-Saída'!$B$134:$O$134,'Coordenadas dos Polos'!$EZ$2:$FM$2)))^2)</f>
        <v>6.3112503024334159E-7</v>
      </c>
      <c r="M134">
        <f>EXP(((-1)/(2*'Cálculos Diversos'!$B$5))*(SQRT(SUMXMY2('Tabela Entrada-Saída'!$B$134:$O$134,'Coordenadas dos Polos'!$FN$2:$GA$2)))^2)</f>
        <v>1.2657966770565227E-5</v>
      </c>
      <c r="N134">
        <f>EXP(((-1)/(2*'Cálculos Diversos'!$B$5))*(SQRT(SUMXMY2('Tabela Entrada-Saída'!$B$134:$O$134,'Coordenadas dos Polos'!$GB$2:$GO$2)))^2)</f>
        <v>3.1299057135620758E-5</v>
      </c>
      <c r="O134">
        <f>EXP(((-1)/(2*'Cálculos Diversos'!$B$5))*(SQRT(SUMXMY2('Tabela Entrada-Saída'!$B$134:$O$134,'Coordenadas dos Polos'!$GP$2:$HC$2)))^2)</f>
        <v>2.5844837139206961E-6</v>
      </c>
      <c r="P134">
        <v>1</v>
      </c>
    </row>
    <row r="135" spans="1:16" x14ac:dyDescent="0.25">
      <c r="A135">
        <v>134</v>
      </c>
      <c r="B135">
        <f>EXP(((-1)/(2*'Cálculos Diversos'!$B$5))*(SQRT(SUMXMY2('Tabela Entrada-Saída'!$B$135:$O$135,'Coordenadas dos Polos'!$P$2:$AC$2)))^2)</f>
        <v>9.4793851404282453E-2</v>
      </c>
      <c r="C135">
        <f>EXP(((-1)/(2*'Cálculos Diversos'!$B$5))*(SQRT(SUMXMY2('Tabela Entrada-Saída'!$B$135:$O$135,'Coordenadas dos Polos'!$AD$2:$AQ$2)))^2)</f>
        <v>7.6377066710418091E-5</v>
      </c>
      <c r="D135">
        <f>EXP(((-1)/(2*'Cálculos Diversos'!$B$5))*(SQRT(SUMXMY2('Tabela Entrada-Saída'!$B$135:$O$135,'Coordenadas dos Polos'!$AR$2:$BE$2)))^2)</f>
        <v>2.7278116325899178E-5</v>
      </c>
      <c r="E135">
        <f>EXP(((-1)/(2*'Cálculos Diversos'!$B$5))*(SQRT(SUMXMY2('Tabela Entrada-Saída'!$B$135:$O$135,'Coordenadas dos Polos'!$BF$2:$BS$2)))^2)</f>
        <v>1.0178844885960557E-4</v>
      </c>
      <c r="F135">
        <f>EXP(((-1)/(2*'Cálculos Diversos'!$B$5))*(SQRT(SUMXMY2('Tabela Entrada-Saída'!$B$135:$O$135,'Coordenadas dos Polos'!$BT$2:$CG$2)))^2)</f>
        <v>2.6004570723507932E-6</v>
      </c>
      <c r="G135">
        <f>EXP(((-1)/(2*'Cálculos Diversos'!$B$5))*(SQRT(SUMXMY2('Tabela Entrada-Saída'!$B$135:$O$135,'Coordenadas dos Polos'!$CH$2:$CU$2)))^2)</f>
        <v>1.272644464483258E-4</v>
      </c>
      <c r="H135">
        <f>EXP(((-1)/(2*'Cálculos Diversos'!$B$5))*(SQRT(SUMXMY2('Tabela Entrada-Saída'!$B$135:$O$135,'Coordenadas dos Polos'!$CV$2:$DI$2)))^2)</f>
        <v>5.989741868831026E-6</v>
      </c>
      <c r="I135">
        <f>EXP(((-1)/(2*'Cálculos Diversos'!$B$5))*(SQRT(SUMXMY2('Tabela Entrada-Saída'!$B$135:$O$135,'Coordenadas dos Polos'!$DJ$2:$DW$2)))^2)</f>
        <v>2.6727610851775478E-4</v>
      </c>
      <c r="J135">
        <f>EXP(((-1)/(2*'Cálculos Diversos'!$B$5))*(SQRT(SUMXMY2('Tabela Entrada-Saída'!$B$135:$O$135,'Coordenadas dos Polos'!$DX$2:$EK$2)))^2)</f>
        <v>1.0216854804487827E-4</v>
      </c>
      <c r="K135">
        <f>EXP(((-1)/(2*'Cálculos Diversos'!$B$5))*(SQRT(SUMXMY2('Tabela Entrada-Saída'!$B$135:$O$135,'Coordenadas dos Polos'!$EL$2:$EY$2)))^2)</f>
        <v>4.302151649469404E-6</v>
      </c>
      <c r="L135">
        <f>EXP(((-1)/(2*'Cálculos Diversos'!$B$5))*(SQRT(SUMXMY2('Tabela Entrada-Saída'!$B$135:$O$135,'Coordenadas dos Polos'!$EZ$2:$FM$2)))^2)</f>
        <v>6.3624510790252905E-7</v>
      </c>
      <c r="M135">
        <f>EXP(((-1)/(2*'Cálculos Diversos'!$B$5))*(SQRT(SUMXMY2('Tabela Entrada-Saída'!$B$135:$O$135,'Coordenadas dos Polos'!$FN$2:$GA$2)))^2)</f>
        <v>1.2752143723124838E-5</v>
      </c>
      <c r="N135">
        <f>EXP(((-1)/(2*'Cálculos Diversos'!$B$5))*(SQRT(SUMXMY2('Tabela Entrada-Saída'!$B$135:$O$135,'Coordenadas dos Polos'!$GB$2:$GO$2)))^2)</f>
        <v>3.1516287710632744E-5</v>
      </c>
      <c r="O135">
        <f>EXP(((-1)/(2*'Cálculos Diversos'!$B$5))*(SQRT(SUMXMY2('Tabela Entrada-Saída'!$B$135:$O$135,'Coordenadas dos Polos'!$GP$2:$HC$2)))^2)</f>
        <v>2.5997060912388557E-6</v>
      </c>
      <c r="P135">
        <v>1</v>
      </c>
    </row>
    <row r="136" spans="1:16" x14ac:dyDescent="0.25">
      <c r="A136">
        <v>135</v>
      </c>
      <c r="B136">
        <f>EXP(((-1)/(2*'Cálculos Diversos'!$B$5))*(SQRT(SUMXMY2('Tabela Entrada-Saída'!$B$136:$O$136,'Coordenadas dos Polos'!$P$2:$AC$2)))^2)</f>
        <v>9.6055548960814696E-2</v>
      </c>
      <c r="C136">
        <f>EXP(((-1)/(2*'Cálculos Diversos'!$B$5))*(SQRT(SUMXMY2('Tabela Entrada-Saída'!$B$136:$O$136,'Coordenadas dos Polos'!$AD$2:$AQ$2)))^2)</f>
        <v>7.6706654465313873E-5</v>
      </c>
      <c r="D136">
        <f>EXP(((-1)/(2*'Cálculos Diversos'!$B$5))*(SQRT(SUMXMY2('Tabela Entrada-Saída'!$B$136:$O$136,'Coordenadas dos Polos'!$AR$2:$BE$2)))^2)</f>
        <v>2.7271012509908081E-5</v>
      </c>
      <c r="E136">
        <f>EXP(((-1)/(2*'Cálculos Diversos'!$B$5))*(SQRT(SUMXMY2('Tabela Entrada-Saída'!$B$136:$O$136,'Coordenadas dos Polos'!$BF$2:$BS$2)))^2)</f>
        <v>1.027605165891595E-4</v>
      </c>
      <c r="F136">
        <f>EXP(((-1)/(2*'Cálculos Diversos'!$B$5))*(SQRT(SUMXMY2('Tabela Entrada-Saída'!$B$136:$O$136,'Coordenadas dos Polos'!$BT$2:$CG$2)))^2)</f>
        <v>2.6320269979527053E-6</v>
      </c>
      <c r="G136">
        <f>EXP(((-1)/(2*'Cálculos Diversos'!$B$5))*(SQRT(SUMXMY2('Tabela Entrada-Saída'!$B$136:$O$136,'Coordenadas dos Polos'!$CH$2:$CU$2)))^2)</f>
        <v>1.2736896694312644E-4</v>
      </c>
      <c r="H136">
        <f>EXP(((-1)/(2*'Cálculos Diversos'!$B$5))*(SQRT(SUMXMY2('Tabela Entrada-Saída'!$B$136:$O$136,'Coordenadas dos Polos'!$CV$2:$DI$2)))^2)</f>
        <v>6.0000774036295994E-6</v>
      </c>
      <c r="I136">
        <f>EXP(((-1)/(2*'Cálculos Diversos'!$B$5))*(SQRT(SUMXMY2('Tabela Entrada-Saída'!$B$136:$O$136,'Coordenadas dos Polos'!$DJ$2:$DW$2)))^2)</f>
        <v>2.6656225032054291E-4</v>
      </c>
      <c r="J136">
        <f>EXP(((-1)/(2*'Cálculos Diversos'!$B$5))*(SQRT(SUMXMY2('Tabela Entrada-Saída'!$B$136:$O$136,'Coordenadas dos Polos'!$DX$2:$EK$2)))^2)</f>
        <v>1.0240147683704957E-4</v>
      </c>
      <c r="K136">
        <f>EXP(((-1)/(2*'Cálculos Diversos'!$B$5))*(SQRT(SUMXMY2('Tabela Entrada-Saída'!$B$136:$O$136,'Coordenadas dos Polos'!$EL$2:$EY$2)))^2)</f>
        <v>4.3020940744904331E-6</v>
      </c>
      <c r="L136">
        <f>EXP(((-1)/(2*'Cálculos Diversos'!$B$5))*(SQRT(SUMXMY2('Tabela Entrada-Saída'!$B$136:$O$136,'Coordenadas dos Polos'!$EZ$2:$FM$2)))^2)</f>
        <v>6.4289674230097119E-7</v>
      </c>
      <c r="M136">
        <f>EXP(((-1)/(2*'Cálculos Diversos'!$B$5))*(SQRT(SUMXMY2('Tabela Entrada-Saída'!$B$136:$O$136,'Coordenadas dos Polos'!$FN$2:$GA$2)))^2)</f>
        <v>1.2875080418946965E-5</v>
      </c>
      <c r="N136">
        <f>EXP(((-1)/(2*'Cálculos Diversos'!$B$5))*(SQRT(SUMXMY2('Tabela Entrada-Saída'!$B$136:$O$136,'Coordenadas dos Polos'!$GB$2:$GO$2)))^2)</f>
        <v>3.1799327536369986E-5</v>
      </c>
      <c r="O136">
        <f>EXP(((-1)/(2*'Cálculos Diversos'!$B$5))*(SQRT(SUMXMY2('Tabela Entrada-Saída'!$B$136:$O$136,'Coordenadas dos Polos'!$GP$2:$HC$2)))^2)</f>
        <v>2.6194437939416738E-6</v>
      </c>
      <c r="P136">
        <v>1</v>
      </c>
    </row>
    <row r="137" spans="1:16" x14ac:dyDescent="0.25">
      <c r="A137">
        <v>136</v>
      </c>
      <c r="B137">
        <f>EXP(((-1)/(2*'Cálculos Diversos'!$B$5))*(SQRT(SUMXMY2('Tabela Entrada-Saída'!$B$137:$O$137,'Coordenadas dos Polos'!$P$2:$AC$2)))^2)</f>
        <v>9.4464436187357073E-2</v>
      </c>
      <c r="C137">
        <f>EXP(((-1)/(2*'Cálculos Diversos'!$B$5))*(SQRT(SUMXMY2('Tabela Entrada-Saída'!$B$137:$O$137,'Coordenadas dos Polos'!$AD$2:$AQ$2)))^2)</f>
        <v>7.6289685063217377E-5</v>
      </c>
      <c r="D137">
        <f>EXP(((-1)/(2*'Cálculos Diversos'!$B$5))*(SQRT(SUMXMY2('Tabela Entrada-Saída'!$B$137:$O$137,'Coordenadas dos Polos'!$AR$2:$BE$2)))^2)</f>
        <v>2.7279910191273196E-5</v>
      </c>
      <c r="E137">
        <f>EXP(((-1)/(2*'Cálculos Diversos'!$B$5))*(SQRT(SUMXMY2('Tabela Entrada-Saída'!$B$137:$O$137,'Coordenadas dos Polos'!$BF$2:$BS$2)))^2)</f>
        <v>1.0153241777484185E-4</v>
      </c>
      <c r="F137">
        <f>EXP(((-1)/(2*'Cálculos Diversos'!$B$5))*(SQRT(SUMXMY2('Tabela Entrada-Saída'!$B$137:$O$137,'Coordenadas dos Polos'!$BT$2:$CG$2)))^2)</f>
        <v>2.5920900974706252E-6</v>
      </c>
      <c r="G137">
        <f>EXP(((-1)/(2*'Cálculos Diversos'!$B$5))*(SQRT(SUMXMY2('Tabela Entrada-Saída'!$B$137:$O$137,'Coordenadas dos Polos'!$CH$2:$CU$2)))^2)</f>
        <v>1.2723183460601053E-4</v>
      </c>
      <c r="H137">
        <f>EXP(((-1)/(2*'Cálculos Diversos'!$B$5))*(SQRT(SUMXMY2('Tabela Entrada-Saída'!$B$137:$O$137,'Coordenadas dos Polos'!$CV$2:$DI$2)))^2)</f>
        <v>5.9870527110416299E-6</v>
      </c>
      <c r="I137">
        <f>EXP(((-1)/(2*'Cálculos Diversos'!$B$5))*(SQRT(SUMXMY2('Tabela Entrada-Saída'!$B$137:$O$137,'Coordenadas dos Polos'!$DJ$2:$DW$2)))^2)</f>
        <v>2.6746116023235324E-4</v>
      </c>
      <c r="J137">
        <f>EXP(((-1)/(2*'Cálculos Diversos'!$B$5))*(SQRT(SUMXMY2('Tabela Entrada-Saída'!$B$137:$O$137,'Coordenadas dos Polos'!$DX$2:$EK$2)))^2)</f>
        <v>1.021012780734932E-4</v>
      </c>
      <c r="K137">
        <f>EXP(((-1)/(2*'Cálculos Diversos'!$B$5))*(SQRT(SUMXMY2('Tabela Entrada-Saída'!$B$137:$O$137,'Coordenadas dos Polos'!$EL$2:$EY$2)))^2)</f>
        <v>4.3021833659924734E-6</v>
      </c>
      <c r="L137">
        <f>EXP(((-1)/(2*'Cálculos Diversos'!$B$5))*(SQRT(SUMXMY2('Tabela Entrada-Saída'!$B$137:$O$137,'Coordenadas dos Polos'!$EZ$2:$FM$2)))^2)</f>
        <v>6.3448288954667072E-7</v>
      </c>
      <c r="M137">
        <f>EXP(((-1)/(2*'Cálculos Diversos'!$B$5))*(SQRT(SUMXMY2('Tabela Entrada-Saída'!$B$137:$O$137,'Coordenadas dos Polos'!$FN$2:$GA$2)))^2)</f>
        <v>1.2719793859395307E-5</v>
      </c>
      <c r="N137">
        <f>EXP(((-1)/(2*'Cálculos Diversos'!$B$5))*(SQRT(SUMXMY2('Tabela Entrada-Saída'!$B$137:$O$137,'Coordenadas dos Polos'!$GB$2:$GO$2)))^2)</f>
        <v>3.1442140122205771E-5</v>
      </c>
      <c r="O137">
        <f>EXP(((-1)/(2*'Cálculos Diversos'!$B$5))*(SQRT(SUMXMY2('Tabela Entrada-Saída'!$B$137:$O$137,'Coordenadas dos Polos'!$GP$2:$HC$2)))^2)</f>
        <v>2.5944495353432452E-6</v>
      </c>
      <c r="P137">
        <v>1</v>
      </c>
    </row>
    <row r="138" spans="1:16" x14ac:dyDescent="0.25">
      <c r="A138">
        <v>137</v>
      </c>
      <c r="B138">
        <f>EXP(((-1)/(2*'Cálculos Diversos'!$B$5))*(SQRT(SUMXMY2('Tabela Entrada-Saída'!$B$138:$O$138,'Coordenadas dos Polos'!$P$2:$AC$2)))^2)</f>
        <v>9.3362190643819926E-2</v>
      </c>
      <c r="C138">
        <f>EXP(((-1)/(2*'Cálculos Diversos'!$B$5))*(SQRT(SUMXMY2('Tabela Entrada-Saída'!$B$138:$O$138,'Coordenadas dos Polos'!$AD$2:$AQ$2)))^2)</f>
        <v>7.5991170063055175E-5</v>
      </c>
      <c r="D138">
        <f>EXP(((-1)/(2*'Cálculos Diversos'!$B$5))*(SQRT(SUMXMY2('Tabela Entrada-Saída'!$B$138:$O$138,'Coordenadas dos Polos'!$AR$2:$BE$2)))^2)</f>
        <v>2.7283655998648973E-5</v>
      </c>
      <c r="E138">
        <f>EXP(((-1)/(2*'Cálculos Diversos'!$B$5))*(SQRT(SUMXMY2('Tabela Entrada-Saída'!$B$138:$O$138,'Coordenadas dos Polos'!$BF$2:$BS$2)))^2)</f>
        <v>1.0067407232580262E-4</v>
      </c>
      <c r="F138">
        <f>EXP(((-1)/(2*'Cálculos Diversos'!$B$5))*(SQRT(SUMXMY2('Tabela Entrada-Saída'!$B$138:$O$138,'Coordenadas dos Polos'!$BT$2:$CG$2)))^2)</f>
        <v>2.5642467301385456E-6</v>
      </c>
      <c r="G138">
        <f>EXP(((-1)/(2*'Cálculos Diversos'!$B$5))*(SQRT(SUMXMY2('Tabela Entrada-Saída'!$B$138:$O$138,'Coordenadas dos Polos'!$CH$2:$CU$2)))^2)</f>
        <v>1.2712424765335575E-4</v>
      </c>
      <c r="H138">
        <f>EXP(((-1)/(2*'Cálculos Diversos'!$B$5))*(SQRT(SUMXMY2('Tabela Entrada-Saída'!$B$138:$O$138,'Coordenadas dos Polos'!$CV$2:$DI$2)))^2)</f>
        <v>5.9771682201182624E-6</v>
      </c>
      <c r="I138">
        <f>EXP(((-1)/(2*'Cálculos Diversos'!$B$5))*(SQRT(SUMXMY2('Tabela Entrada-Saída'!$B$138:$O$138,'Coordenadas dos Polos'!$DJ$2:$DW$2)))^2)</f>
        <v>2.680728871728622E-4</v>
      </c>
      <c r="J138">
        <f>EXP(((-1)/(2*'Cálculos Diversos'!$B$5))*(SQRT(SUMXMY2('Tabela Entrada-Saída'!$B$138:$O$138,'Coordenadas dos Polos'!$DX$2:$EK$2)))^2)</f>
        <v>1.018789414640989E-4</v>
      </c>
      <c r="K138">
        <f>EXP(((-1)/(2*'Cálculos Diversos'!$B$5))*(SQRT(SUMXMY2('Tabela Entrada-Saída'!$B$138:$O$138,'Coordenadas dos Polos'!$EL$2:$EY$2)))^2)</f>
        <v>4.3018530947245195E-6</v>
      </c>
      <c r="L138">
        <f>EXP(((-1)/(2*'Cálculos Diversos'!$B$5))*(SQRT(SUMXMY2('Tabela Entrada-Saída'!$B$138:$O$138,'Coordenadas dos Polos'!$EZ$2:$FM$2)))^2)</f>
        <v>6.2859242317809264E-7</v>
      </c>
      <c r="M138">
        <f>EXP(((-1)/(2*'Cálculos Diversos'!$B$5))*(SQRT(SUMXMY2('Tabela Entrada-Saída'!$B$138:$O$138,'Coordenadas dos Polos'!$FN$2:$GA$2)))^2)</f>
        <v>1.2611071204735838E-5</v>
      </c>
      <c r="N138">
        <f>EXP(((-1)/(2*'Cálculos Diversos'!$B$5))*(SQRT(SUMXMY2('Tabela Entrada-Saída'!$B$138:$O$138,'Coordenadas dos Polos'!$GB$2:$GO$2)))^2)</f>
        <v>3.1190750469854098E-5</v>
      </c>
      <c r="O138">
        <f>EXP(((-1)/(2*'Cálculos Diversos'!$B$5))*(SQRT(SUMXMY2('Tabela Entrada-Saída'!$B$138:$O$138,'Coordenadas dos Polos'!$GP$2:$HC$2)))^2)</f>
        <v>2.5769061624645836E-6</v>
      </c>
      <c r="P138">
        <v>1</v>
      </c>
    </row>
    <row r="139" spans="1:16" x14ac:dyDescent="0.25">
      <c r="A139">
        <v>138</v>
      </c>
      <c r="B139">
        <f>EXP(((-1)/(2*'Cálculos Diversos'!$B$5))*(SQRT(SUMXMY2('Tabela Entrada-Saída'!$B$139:$O$139,'Coordenadas dos Polos'!$P$2:$AC$2)))^2)</f>
        <v>9.3956255627835328E-2</v>
      </c>
      <c r="C139">
        <f>EXP(((-1)/(2*'Cálculos Diversos'!$B$5))*(SQRT(SUMXMY2('Tabela Entrada-Saída'!$B$139:$O$139,'Coordenadas dos Polos'!$AD$2:$AQ$2)))^2)</f>
        <v>7.6153220117467223E-5</v>
      </c>
      <c r="D139">
        <f>EXP(((-1)/(2*'Cálculos Diversos'!$B$5))*(SQRT(SUMXMY2('Tabela Entrada-Saída'!$B$139:$O$139,'Coordenadas dos Polos'!$AR$2:$BE$2)))^2)</f>
        <v>2.7281993924118815E-5</v>
      </c>
      <c r="E139">
        <f>EXP(((-1)/(2*'Cálculos Diversos'!$B$5))*(SQRT(SUMXMY2('Tabela Entrada-Saída'!$B$139:$O$139,'Coordenadas dos Polos'!$BF$2:$BS$2)))^2)</f>
        <v>1.0113661406255393E-4</v>
      </c>
      <c r="F139">
        <f>EXP(((-1)/(2*'Cálculos Diversos'!$B$5))*(SQRT(SUMXMY2('Tabela Entrada-Saída'!$B$139:$O$139,'Coordenadas dos Polos'!$BT$2:$CG$2)))^2)</f>
        <v>2.5791813195298461E-6</v>
      </c>
      <c r="G139">
        <f>EXP(((-1)/(2*'Cálculos Diversos'!$B$5))*(SQRT(SUMXMY2('Tabela Entrada-Saída'!$B$139:$O$139,'Coordenadas dos Polos'!$CH$2:$CU$2)))^2)</f>
        <v>1.2718139395274629E-4</v>
      </c>
      <c r="H139">
        <f>EXP(((-1)/(2*'Cálculos Diversos'!$B$5))*(SQRT(SUMXMY2('Tabela Entrada-Saída'!$B$139:$O$139,'Coordenadas dos Polos'!$CV$2:$DI$2)))^2)</f>
        <v>5.9827163414490581E-6</v>
      </c>
      <c r="I139">
        <f>EXP(((-1)/(2*'Cálculos Diversos'!$B$5))*(SQRT(SUMXMY2('Tabela Entrada-Saída'!$B$139:$O$139,'Coordenadas dos Polos'!$DJ$2:$DW$2)))^2)</f>
        <v>2.6774135732905485E-4</v>
      </c>
      <c r="J139">
        <f>EXP(((-1)/(2*'Cálculos Diversos'!$B$5))*(SQRT(SUMXMY2('Tabela Entrada-Saída'!$B$139:$O$139,'Coordenadas dos Polos'!$DX$2:$EK$2)))^2)</f>
        <v>1.0199756143003116E-4</v>
      </c>
      <c r="K139">
        <f>EXP(((-1)/(2*'Cálculos Diversos'!$B$5))*(SQRT(SUMXMY2('Tabela Entrada-Saída'!$B$139:$O$139,'Coordenadas dos Polos'!$EL$2:$EY$2)))^2)</f>
        <v>4.3021519887023834E-6</v>
      </c>
      <c r="L139">
        <f>EXP(((-1)/(2*'Cálculos Diversos'!$B$5))*(SQRT(SUMXMY2('Tabela Entrada-Saída'!$B$139:$O$139,'Coordenadas dos Polos'!$EZ$2:$FM$2)))^2)</f>
        <v>6.3176137268481988E-7</v>
      </c>
      <c r="M139">
        <f>EXP(((-1)/(2*'Cálculos Diversos'!$B$5))*(SQRT(SUMXMY2('Tabela Entrada-Saída'!$B$139:$O$139,'Coordenadas dos Polos'!$FN$2:$GA$2)))^2)</f>
        <v>1.2669672055374201E-5</v>
      </c>
      <c r="N139">
        <f>EXP(((-1)/(2*'Cálculos Diversos'!$B$5))*(SQRT(SUMXMY2('Tabela Entrada-Saída'!$B$139:$O$139,'Coordenadas dos Polos'!$GB$2:$GO$2)))^2)</f>
        <v>3.1327251503162223E-5</v>
      </c>
      <c r="O139">
        <f>EXP(((-1)/(2*'Cálculos Diversos'!$B$5))*(SQRT(SUMXMY2('Tabela Entrada-Saída'!$B$139:$O$139,'Coordenadas dos Polos'!$GP$2:$HC$2)))^2)</f>
        <v>2.5863480606805105E-6</v>
      </c>
      <c r="P139">
        <v>1</v>
      </c>
    </row>
    <row r="140" spans="1:16" x14ac:dyDescent="0.25">
      <c r="A140">
        <v>139</v>
      </c>
      <c r="B140">
        <f>EXP(((-1)/(2*'Cálculos Diversos'!$B$5))*(SQRT(SUMXMY2('Tabela Entrada-Saída'!$B$140:$O$140,'Coordenadas dos Polos'!$P$2:$AC$2)))^2)</f>
        <v>9.3711436715722254E-2</v>
      </c>
      <c r="C140">
        <f>EXP(((-1)/(2*'Cálculos Diversos'!$B$5))*(SQRT(SUMXMY2('Tabela Entrada-Saída'!$B$140:$O$140,'Coordenadas dos Polos'!$AD$2:$AQ$2)))^2)</f>
        <v>7.6090076760037317E-5</v>
      </c>
      <c r="D140">
        <f>EXP(((-1)/(2*'Cálculos Diversos'!$B$5))*(SQRT(SUMXMY2('Tabela Entrada-Saída'!$B$140:$O$140,'Coordenadas dos Polos'!$AR$2:$BE$2)))^2)</f>
        <v>2.7283633626140234E-5</v>
      </c>
      <c r="E140">
        <f>EXP(((-1)/(2*'Cálculos Diversos'!$B$5))*(SQRT(SUMXMY2('Tabela Entrada-Saída'!$B$140:$O$140,'Coordenadas dos Polos'!$BF$2:$BS$2)))^2)</f>
        <v>1.009479212952086E-4</v>
      </c>
      <c r="F140">
        <f>EXP(((-1)/(2*'Cálculos Diversos'!$B$5))*(SQRT(SUMXMY2('Tabela Entrada-Saída'!$B$140:$O$140,'Coordenadas dos Polos'!$BT$2:$CG$2)))^2)</f>
        <v>2.5731265095291816E-6</v>
      </c>
      <c r="G140">
        <f>EXP(((-1)/(2*'Cálculos Diversos'!$B$5))*(SQRT(SUMXMY2('Tabela Entrada-Saída'!$B$140:$O$140,'Coordenadas dos Polos'!$CH$2:$CU$2)))^2)</f>
        <v>1.2716179982304196E-4</v>
      </c>
      <c r="H140">
        <f>EXP(((-1)/(2*'Cálculos Diversos'!$B$5))*(SQRT(SUMXMY2('Tabela Entrada-Saída'!$B$140:$O$140,'Coordenadas dos Polos'!$CV$2:$DI$2)))^2)</f>
        <v>5.9808815446589846E-6</v>
      </c>
      <c r="I140">
        <f>EXP(((-1)/(2*'Cálculos Diversos'!$B$5))*(SQRT(SUMXMY2('Tabela Entrada-Saída'!$B$140:$O$140,'Coordenadas dos Polos'!$DJ$2:$DW$2)))^2)</f>
        <v>2.6788086728456531E-4</v>
      </c>
      <c r="J140">
        <f>EXP(((-1)/(2*'Cálculos Diversos'!$B$5))*(SQRT(SUMXMY2('Tabela Entrada-Saída'!$B$140:$O$140,'Coordenadas dos Polos'!$DX$2:$EK$2)))^2)</f>
        <v>1.0195565171693677E-4</v>
      </c>
      <c r="K140">
        <f>EXP(((-1)/(2*'Cálculos Diversos'!$B$5))*(SQRT(SUMXMY2('Tabela Entrada-Saída'!$B$140:$O$140,'Coordenadas dos Polos'!$EL$2:$EY$2)))^2)</f>
        <v>4.3021833799569668E-6</v>
      </c>
      <c r="L140">
        <f>EXP(((-1)/(2*'Cálculos Diversos'!$B$5))*(SQRT(SUMXMY2('Tabela Entrada-Saída'!$B$140:$O$140,'Coordenadas dos Polos'!$EZ$2:$FM$2)))^2)</f>
        <v>6.3048629430160237E-7</v>
      </c>
      <c r="M140">
        <f>EXP(((-1)/(2*'Cálculos Diversos'!$B$5))*(SQRT(SUMXMY2('Tabela Entrada-Saída'!$B$140:$O$140,'Coordenadas dos Polos'!$FN$2:$GA$2)))^2)</f>
        <v>1.264594494234049E-5</v>
      </c>
      <c r="N140">
        <f>EXP(((-1)/(2*'Cálculos Diversos'!$B$5))*(SQRT(SUMXMY2('Tabela Entrada-Saída'!$B$140:$O$140,'Coordenadas dos Polos'!$GB$2:$GO$2)))^2)</f>
        <v>3.1273155816640281E-5</v>
      </c>
      <c r="O140">
        <f>EXP(((-1)/(2*'Cálculos Diversos'!$B$5))*(SQRT(SUMXMY2('Tabela Entrada-Saída'!$B$140:$O$140,'Coordenadas dos Polos'!$GP$2:$HC$2)))^2)</f>
        <v>2.5825049725575028E-6</v>
      </c>
      <c r="P140">
        <v>1</v>
      </c>
    </row>
    <row r="141" spans="1:16" x14ac:dyDescent="0.25">
      <c r="A141">
        <v>140</v>
      </c>
      <c r="B141">
        <f>EXP(((-1)/(2*'Cálculos Diversos'!$B$5))*(SQRT(SUMXMY2('Tabela Entrada-Saída'!$B$141:$O$141,'Coordenadas dos Polos'!$P$2:$AC$2)))^2)</f>
        <v>9.5660141355641257E-2</v>
      </c>
      <c r="C141">
        <f>EXP(((-1)/(2*'Cálculos Diversos'!$B$5))*(SQRT(SUMXMY2('Tabela Entrada-Saída'!$B$141:$O$141,'Coordenadas dos Polos'!$AD$2:$AQ$2)))^2)</f>
        <v>7.660302076442532E-5</v>
      </c>
      <c r="D141">
        <f>EXP(((-1)/(2*'Cálculos Diversos'!$B$5))*(SQRT(SUMXMY2('Tabela Entrada-Saída'!$B$141:$O$141,'Coordenadas dos Polos'!$AR$2:$BE$2)))^2)</f>
        <v>2.7272949315988902E-5</v>
      </c>
      <c r="E141">
        <f>EXP(((-1)/(2*'Cálculos Diversos'!$B$5))*(SQRT(SUMXMY2('Tabela Entrada-Saída'!$B$141:$O$141,'Coordenadas dos Polos'!$BF$2:$BS$2)))^2)</f>
        <v>1.0245681114074433E-4</v>
      </c>
      <c r="F141">
        <f>EXP(((-1)/(2*'Cálculos Diversos'!$B$5))*(SQRT(SUMXMY2('Tabela Entrada-Saída'!$B$141:$O$141,'Coordenadas dos Polos'!$BT$2:$CG$2)))^2)</f>
        <v>2.6221947589039103E-6</v>
      </c>
      <c r="G141">
        <f>EXP(((-1)/(2*'Cálculos Diversos'!$B$5))*(SQRT(SUMXMY2('Tabela Entrada-Saída'!$B$141:$O$141,'Coordenadas dos Polos'!$CH$2:$CU$2)))^2)</f>
        <v>1.2733859148036583E-4</v>
      </c>
      <c r="H141">
        <f>EXP(((-1)/(2*'Cálculos Diversos'!$B$5))*(SQRT(SUMXMY2('Tabela Entrada-Saída'!$B$141:$O$141,'Coordenadas dos Polos'!$CV$2:$DI$2)))^2)</f>
        <v>5.996645363683934E-6</v>
      </c>
      <c r="I141">
        <f>EXP(((-1)/(2*'Cálculos Diversos'!$B$5))*(SQRT(SUMXMY2('Tabela Entrada-Saída'!$B$141:$O$141,'Coordenadas dos Polos'!$DJ$2:$DW$2)))^2)</f>
        <v>2.6678775223133331E-4</v>
      </c>
      <c r="J141">
        <f>EXP(((-1)/(2*'Cálculos Diversos'!$B$5))*(SQRT(SUMXMY2('Tabela Entrada-Saída'!$B$141:$O$141,'Coordenadas dos Polos'!$DX$2:$EK$2)))^2)</f>
        <v>1.023300967095825E-4</v>
      </c>
      <c r="K141">
        <f>EXP(((-1)/(2*'Cálculos Diversos'!$B$5))*(SQRT(SUMXMY2('Tabela Entrada-Saída'!$B$141:$O$141,'Coordenadas dos Polos'!$EL$2:$EY$2)))^2)</f>
        <v>4.3020275682067579E-6</v>
      </c>
      <c r="L141">
        <f>EXP(((-1)/(2*'Cálculos Diversos'!$B$5))*(SQRT(SUMXMY2('Tabela Entrada-Saída'!$B$141:$O$141,'Coordenadas dos Polos'!$EZ$2:$FM$2)))^2)</f>
        <v>6.4081745576071285E-7</v>
      </c>
      <c r="M141">
        <f>EXP(((-1)/(2*'Cálculos Diversos'!$B$5))*(SQRT(SUMXMY2('Tabela Entrada-Saída'!$B$141:$O$141,'Coordenadas dos Polos'!$FN$2:$GA$2)))^2)</f>
        <v>1.2836618838685976E-5</v>
      </c>
      <c r="N141">
        <f>EXP(((-1)/(2*'Cálculos Diversos'!$B$5))*(SQRT(SUMXMY2('Tabela Entrada-Saída'!$B$141:$O$141,'Coordenadas dos Polos'!$GB$2:$GO$2)))^2)</f>
        <v>3.1709740806131402E-5</v>
      </c>
      <c r="O141">
        <f>EXP(((-1)/(2*'Cálculos Diversos'!$B$5))*(SQRT(SUMXMY2('Tabela Entrada-Saída'!$B$141:$O$141,'Coordenadas dos Polos'!$GP$2:$HC$2)))^2)</f>
        <v>2.613305873488257E-6</v>
      </c>
      <c r="P141">
        <v>1</v>
      </c>
    </row>
    <row r="142" spans="1:16" x14ac:dyDescent="0.25">
      <c r="A142">
        <v>141</v>
      </c>
      <c r="B142">
        <f>EXP(((-1)/(2*'Cálculos Diversos'!$B$5))*(SQRT(SUMXMY2('Tabela Entrada-Saída'!$B$142:$O$142,'Coordenadas dos Polos'!$P$2:$AC$2)))^2)</f>
        <v>9.5199047050036234E-2</v>
      </c>
      <c r="C142">
        <f>EXP(((-1)/(2*'Cálculos Diversos'!$B$5))*(SQRT(SUMXMY2('Tabela Entrada-Saída'!$B$142:$O$142,'Coordenadas dos Polos'!$AD$2:$AQ$2)))^2)</f>
        <v>7.648152467004839E-5</v>
      </c>
      <c r="D142">
        <f>EXP(((-1)/(2*'Cálculos Diversos'!$B$5))*(SQRT(SUMXMY2('Tabela Entrada-Saída'!$B$142:$O$142,'Coordenadas dos Polos'!$AR$2:$BE$2)))^2)</f>
        <v>2.7275360072208329E-5</v>
      </c>
      <c r="E142">
        <f>EXP(((-1)/(2*'Cálculos Diversos'!$B$5))*(SQRT(SUMXMY2('Tabela Entrada-Saída'!$B$142:$O$142,'Coordenadas dos Polos'!$BF$2:$BS$2)))^2)</f>
        <v>1.0210099433669835E-4</v>
      </c>
      <c r="F142">
        <f>EXP(((-1)/(2*'Cálculos Diversos'!$B$5))*(SQRT(SUMXMY2('Tabela Entrada-Saída'!$B$142:$O$142,'Coordenadas dos Polos'!$BT$2:$CG$2)))^2)</f>
        <v>2.6106231344742206E-6</v>
      </c>
      <c r="G142">
        <f>EXP(((-1)/(2*'Cálculos Diversos'!$B$5))*(SQRT(SUMXMY2('Tabela Entrada-Saída'!$B$142:$O$142,'Coordenadas dos Polos'!$CH$2:$CU$2)))^2)</f>
        <v>1.2729904063378075E-4</v>
      </c>
      <c r="H142">
        <f>EXP(((-1)/(2*'Cálculos Diversos'!$B$5))*(SQRT(SUMXMY2('Tabela Entrada-Saída'!$B$142:$O$142,'Coordenadas dos Polos'!$CV$2:$DI$2)))^2)</f>
        <v>5.9927589861859175E-6</v>
      </c>
      <c r="I142">
        <f>EXP(((-1)/(2*'Cálculos Diversos'!$B$5))*(SQRT(SUMXMY2('Tabela Entrada-Saída'!$B$142:$O$142,'Coordenadas dos Polos'!$DJ$2:$DW$2)))^2)</f>
        <v>2.6704817667056791E-4</v>
      </c>
      <c r="J142">
        <f>EXP(((-1)/(2*'Cálculos Diversos'!$B$5))*(SQRT(SUMXMY2('Tabela Entrada-Saída'!$B$142:$O$142,'Coordenadas dos Polos'!$DX$2:$EK$2)))^2)</f>
        <v>1.0224252820489822E-4</v>
      </c>
      <c r="K142">
        <f>EXP(((-1)/(2*'Cálculos Diversos'!$B$5))*(SQRT(SUMXMY2('Tabela Entrada-Saída'!$B$142:$O$142,'Coordenadas dos Polos'!$EL$2:$EY$2)))^2)</f>
        <v>4.3020156238172581E-6</v>
      </c>
      <c r="L142">
        <f>EXP(((-1)/(2*'Cálculos Diversos'!$B$5))*(SQRT(SUMXMY2('Tabela Entrada-Saída'!$B$142:$O$142,'Coordenadas dos Polos'!$EZ$2:$FM$2)))^2)</f>
        <v>6.3837791066482676E-7</v>
      </c>
      <c r="M142">
        <f>EXP(((-1)/(2*'Cálculos Diversos'!$B$5))*(SQRT(SUMXMY2('Tabela Entrada-Saída'!$B$142:$O$142,'Coordenadas dos Polos'!$FN$2:$GA$2)))^2)</f>
        <v>1.2791562639397944E-5</v>
      </c>
      <c r="N142">
        <f>EXP(((-1)/(2*'Cálculos Diversos'!$B$5))*(SQRT(SUMXMY2('Tabela Entrada-Saída'!$B$142:$O$142,'Coordenadas dos Polos'!$GB$2:$GO$2)))^2)</f>
        <v>3.1605799052050092E-5</v>
      </c>
      <c r="O142">
        <f>EXP(((-1)/(2*'Cálculos Diversos'!$B$5))*(SQRT(SUMXMY2('Tabela Entrada-Saída'!$B$142:$O$142,'Coordenadas dos Polos'!$GP$2:$HC$2)))^2)</f>
        <v>2.6060777348044236E-6</v>
      </c>
      <c r="P142">
        <v>1</v>
      </c>
    </row>
    <row r="143" spans="1:16" x14ac:dyDescent="0.25">
      <c r="A143">
        <v>142</v>
      </c>
      <c r="B143">
        <f>EXP(((-1)/(2*'Cálculos Diversos'!$B$5))*(SQRT(SUMXMY2('Tabela Entrada-Saída'!$B$143:$O$143,'Coordenadas dos Polos'!$P$2:$AC$2)))^2)</f>
        <v>9.4725909974013978E-2</v>
      </c>
      <c r="C143">
        <f>EXP(((-1)/(2*'Cálculos Diversos'!$B$5))*(SQRT(SUMXMY2('Tabela Entrada-Saída'!$B$143:$O$143,'Coordenadas dos Polos'!$AD$2:$AQ$2)))^2)</f>
        <v>7.6355710925683811E-5</v>
      </c>
      <c r="D143">
        <f>EXP(((-1)/(2*'Cálculos Diversos'!$B$5))*(SQRT(SUMXMY2('Tabela Entrada-Saída'!$B$143:$O$143,'Coordenadas dos Polos'!$AR$2:$BE$2)))^2)</f>
        <v>2.7277746632797489E-5</v>
      </c>
      <c r="E143">
        <f>EXP(((-1)/(2*'Cálculos Diversos'!$B$5))*(SQRT(SUMXMY2('Tabela Entrada-Saída'!$B$143:$O$143,'Coordenadas dos Polos'!$BF$2:$BS$2)))^2)</f>
        <v>1.0173319163923597E-4</v>
      </c>
      <c r="F143">
        <f>EXP(((-1)/(2*'Cálculos Diversos'!$B$5))*(SQRT(SUMXMY2('Tabela Entrada-Saída'!$B$143:$O$143,'Coordenadas dos Polos'!$BT$2:$CG$2)))^2)</f>
        <v>2.5985773350123841E-6</v>
      </c>
      <c r="G143">
        <f>EXP(((-1)/(2*'Cálculos Diversos'!$B$5))*(SQRT(SUMXMY2('Tabela Entrada-Saída'!$B$143:$O$143,'Coordenadas dos Polos'!$CH$2:$CU$2)))^2)</f>
        <v>1.2725208788421844E-4</v>
      </c>
      <c r="H143">
        <f>EXP(((-1)/(2*'Cálculos Diversos'!$B$5))*(SQRT(SUMXMY2('Tabela Entrada-Saída'!$B$143:$O$143,'Coordenadas dos Polos'!$CV$2:$DI$2)))^2)</f>
        <v>5.9888460501829448E-6</v>
      </c>
      <c r="I143">
        <f>EXP(((-1)/(2*'Cálculos Diversos'!$B$5))*(SQRT(SUMXMY2('Tabela Entrada-Saída'!$B$143:$O$143,'Coordenadas dos Polos'!$DJ$2:$DW$2)))^2)</f>
        <v>2.6731068975629097E-4</v>
      </c>
      <c r="J143">
        <f>EXP(((-1)/(2*'Cálculos Diversos'!$B$5))*(SQRT(SUMXMY2('Tabela Entrada-Saída'!$B$143:$O$143,'Coordenadas dos Polos'!$DX$2:$EK$2)))^2)</f>
        <v>1.0214608582936649E-4</v>
      </c>
      <c r="K143">
        <f>EXP(((-1)/(2*'Cálculos Diversos'!$B$5))*(SQRT(SUMXMY2('Tabela Entrada-Saída'!$B$143:$O$143,'Coordenadas dos Polos'!$EL$2:$EY$2)))^2)</f>
        <v>4.3020573603477225E-6</v>
      </c>
      <c r="L143">
        <f>EXP(((-1)/(2*'Cálculos Diversos'!$B$5))*(SQRT(SUMXMY2('Tabela Entrada-Saída'!$B$143:$O$143,'Coordenadas dos Polos'!$EZ$2:$FM$2)))^2)</f>
        <v>6.3584351117774636E-7</v>
      </c>
      <c r="M143">
        <f>EXP(((-1)/(2*'Cálculos Diversos'!$B$5))*(SQRT(SUMXMY2('Tabela Entrada-Saída'!$B$143:$O$143,'Coordenadas dos Polos'!$FN$2:$GA$2)))^2)</f>
        <v>1.2745010396955421E-5</v>
      </c>
      <c r="N143">
        <f>EXP(((-1)/(2*'Cálculos Diversos'!$B$5))*(SQRT(SUMXMY2('Tabela Entrada-Saída'!$B$143:$O$143,'Coordenadas dos Polos'!$GB$2:$GO$2)))^2)</f>
        <v>3.1499224650824037E-5</v>
      </c>
      <c r="O143">
        <f>EXP(((-1)/(2*'Cálculos Diversos'!$B$5))*(SQRT(SUMXMY2('Tabela Entrada-Saída'!$B$143:$O$143,'Coordenadas dos Polos'!$GP$2:$HC$2)))^2)</f>
        <v>2.5985425685233042E-6</v>
      </c>
      <c r="P143">
        <v>1</v>
      </c>
    </row>
    <row r="144" spans="1:16" x14ac:dyDescent="0.25">
      <c r="A144">
        <v>143</v>
      </c>
      <c r="B144">
        <f>EXP(((-1)/(2*'Cálculos Diversos'!$B$5))*(SQRT(SUMXMY2('Tabela Entrada-Saída'!$B$144:$O$144,'Coordenadas dos Polos'!$P$2:$AC$2)))^2)</f>
        <v>9.5569238044797597E-2</v>
      </c>
      <c r="C144">
        <f>EXP(((-1)/(2*'Cálculos Diversos'!$B$5))*(SQRT(SUMXMY2('Tabela Entrada-Saída'!$B$144:$O$144,'Coordenadas dos Polos'!$AD$2:$AQ$2)))^2)</f>
        <v>7.6575911240448012E-5</v>
      </c>
      <c r="D144">
        <f>EXP(((-1)/(2*'Cálculos Diversos'!$B$5))*(SQRT(SUMXMY2('Tabela Entrada-Saída'!$B$144:$O$144,'Coordenadas dos Polos'!$AR$2:$BE$2)))^2)</f>
        <v>2.7272637644221403E-5</v>
      </c>
      <c r="E144">
        <f>EXP(((-1)/(2*'Cálculos Diversos'!$B$5))*(SQRT(SUMXMY2('Tabela Entrada-Saída'!$B$144:$O$144,'Coordenadas dos Polos'!$BF$2:$BS$2)))^2)</f>
        <v>1.0238469121041504E-4</v>
      </c>
      <c r="F144">
        <f>EXP(((-1)/(2*'Cálculos Diversos'!$B$5))*(SQRT(SUMXMY2('Tabela Entrada-Saída'!$B$144:$O$144,'Coordenadas dos Polos'!$BT$2:$CG$2)))^2)</f>
        <v>2.6197916466228825E-6</v>
      </c>
      <c r="G144">
        <f>EXP(((-1)/(2*'Cálculos Diversos'!$B$5))*(SQRT(SUMXMY2('Tabela Entrada-Saída'!$B$144:$O$144,'Coordenadas dos Polos'!$CH$2:$CU$2)))^2)</f>
        <v>1.2732648497045191E-4</v>
      </c>
      <c r="H144">
        <f>EXP(((-1)/(2*'Cálculos Diversos'!$B$5))*(SQRT(SUMXMY2('Tabela Entrada-Saída'!$B$144:$O$144,'Coordenadas dos Polos'!$CV$2:$DI$2)))^2)</f>
        <v>5.9955218242417127E-6</v>
      </c>
      <c r="I144">
        <f>EXP(((-1)/(2*'Cálculos Diversos'!$B$5))*(SQRT(SUMXMY2('Tabela Entrada-Saída'!$B$144:$O$144,'Coordenadas dos Polos'!$DJ$2:$DW$2)))^2)</f>
        <v>2.6683524331096414E-4</v>
      </c>
      <c r="J144">
        <f>EXP(((-1)/(2*'Cálculos Diversos'!$B$5))*(SQRT(SUMXMY2('Tabela Entrada-Saída'!$B$144:$O$144,'Coordenadas dos Polos'!$DX$2:$EK$2)))^2)</f>
        <v>1.0230606340019452E-4</v>
      </c>
      <c r="K144">
        <f>EXP(((-1)/(2*'Cálculos Diversos'!$B$5))*(SQRT(SUMXMY2('Tabela Entrada-Saída'!$B$144:$O$144,'Coordenadas dos Polos'!$EL$2:$EY$2)))^2)</f>
        <v>4.3019152885650453E-6</v>
      </c>
      <c r="L144">
        <f>EXP(((-1)/(2*'Cálculos Diversos'!$B$5))*(SQRT(SUMXMY2('Tabela Entrada-Saída'!$B$144:$O$144,'Coordenadas dos Polos'!$EZ$2:$FM$2)))^2)</f>
        <v>6.4030513689587862E-7</v>
      </c>
      <c r="M144">
        <f>EXP(((-1)/(2*'Cálculos Diversos'!$B$5))*(SQRT(SUMXMY2('Tabela Entrada-Saída'!$B$144:$O$144,'Coordenadas dos Polos'!$FN$2:$GA$2)))^2)</f>
        <v>1.2827317260319999E-5</v>
      </c>
      <c r="N144">
        <f>EXP(((-1)/(2*'Cálculos Diversos'!$B$5))*(SQRT(SUMXMY2('Tabela Entrada-Saída'!$B$144:$O$144,'Coordenadas dos Polos'!$GB$2:$GO$2)))^2)</f>
        <v>3.1687517419403571E-5</v>
      </c>
      <c r="O144">
        <f>EXP(((-1)/(2*'Cálculos Diversos'!$B$5))*(SQRT(SUMXMY2('Tabela Entrada-Saída'!$B$144:$O$144,'Coordenadas dos Polos'!$GP$2:$HC$2)))^2)</f>
        <v>2.6118281775694782E-6</v>
      </c>
      <c r="P144">
        <v>1</v>
      </c>
    </row>
    <row r="145" spans="1:16" x14ac:dyDescent="0.25">
      <c r="A145">
        <v>144</v>
      </c>
      <c r="B145">
        <f>EXP(((-1)/(2*'Cálculos Diversos'!$B$5))*(SQRT(SUMXMY2('Tabela Entrada-Saída'!$B$145:$O$145,'Coordenadas dos Polos'!$P$2:$AC$2)))^2)</f>
        <v>9.48651683541194E-2</v>
      </c>
      <c r="C145">
        <f>EXP(((-1)/(2*'Cálculos Diversos'!$B$5))*(SQRT(SUMXMY2('Tabela Entrada-Saída'!$B$145:$O$145,'Coordenadas dos Polos'!$AD$2:$AQ$2)))^2)</f>
        <v>7.6392242137576086E-5</v>
      </c>
      <c r="D145">
        <f>EXP(((-1)/(2*'Cálculos Diversos'!$B$5))*(SQRT(SUMXMY2('Tabela Entrada-Saída'!$B$145:$O$145,'Coordenadas dos Polos'!$AR$2:$BE$2)))^2)</f>
        <v>2.7276962620167786E-5</v>
      </c>
      <c r="E145">
        <f>EXP(((-1)/(2*'Cálculos Diversos'!$B$5))*(SQRT(SUMXMY2('Tabela Entrada-Saída'!$B$145:$O$145,'Coordenadas dos Polos'!$BF$2:$BS$2)))^2)</f>
        <v>1.0184129768606814E-4</v>
      </c>
      <c r="F145">
        <f>EXP(((-1)/(2*'Cálculos Diversos'!$B$5))*(SQRT(SUMXMY2('Tabela Entrada-Saída'!$B$145:$O$145,'Coordenadas dos Polos'!$BT$2:$CG$2)))^2)</f>
        <v>2.6021165223225549E-6</v>
      </c>
      <c r="G145">
        <f>EXP(((-1)/(2*'Cálculos Diversos'!$B$5))*(SQRT(SUMXMY2('Tabela Entrada-Saída'!$B$145:$O$145,'Coordenadas dos Polos'!$CH$2:$CU$2)))^2)</f>
        <v>1.2726536394422298E-4</v>
      </c>
      <c r="H145">
        <f>EXP(((-1)/(2*'Cálculos Diversos'!$B$5))*(SQRT(SUMXMY2('Tabela Entrada-Saída'!$B$145:$O$145,'Coordenadas dos Polos'!$CV$2:$DI$2)))^2)</f>
        <v>5.9899215785165861E-6</v>
      </c>
      <c r="I145">
        <f>EXP(((-1)/(2*'Cálculos Diversos'!$B$5))*(SQRT(SUMXMY2('Tabela Entrada-Saída'!$B$145:$O$145,'Coordenadas dos Polos'!$DJ$2:$DW$2)))^2)</f>
        <v>2.6723407068455596E-4</v>
      </c>
      <c r="J145">
        <f>EXP(((-1)/(2*'Cálculos Diversos'!$B$5))*(SQRT(SUMXMY2('Tabela Entrada-Saída'!$B$145:$O$145,'Coordenadas dos Polos'!$DX$2:$EK$2)))^2)</f>
        <v>1.0217354316143747E-4</v>
      </c>
      <c r="K145">
        <f>EXP(((-1)/(2*'Cálculos Diversos'!$B$5))*(SQRT(SUMXMY2('Tabela Entrada-Saída'!$B$145:$O$145,'Coordenadas dos Polos'!$EL$2:$EY$2)))^2)</f>
        <v>4.3020157624681821E-6</v>
      </c>
      <c r="L145">
        <f>EXP(((-1)/(2*'Cálculos Diversos'!$B$5))*(SQRT(SUMXMY2('Tabela Entrada-Saída'!$B$145:$O$145,'Coordenadas dos Polos'!$EZ$2:$FM$2)))^2)</f>
        <v>6.3658593980160996E-7</v>
      </c>
      <c r="M145">
        <f>EXP(((-1)/(2*'Cálculos Diversos'!$B$5))*(SQRT(SUMXMY2('Tabela Entrada-Saída'!$B$145:$O$145,'Coordenadas dos Polos'!$FN$2:$GA$2)))^2)</f>
        <v>1.2758676220305915E-5</v>
      </c>
      <c r="N145">
        <f>EXP(((-1)/(2*'Cálculos Diversos'!$B$5))*(SQRT(SUMXMY2('Tabela Entrada-Saída'!$B$145:$O$145,'Coordenadas dos Polos'!$GB$2:$GO$2)))^2)</f>
        <v>3.1530171312272044E-5</v>
      </c>
      <c r="O145">
        <f>EXP(((-1)/(2*'Cálculos Diversos'!$B$5))*(SQRT(SUMXMY2('Tabela Entrada-Saída'!$B$145:$O$145,'Coordenadas dos Polos'!$GP$2:$HC$2)))^2)</f>
        <v>2.6007543233677429E-6</v>
      </c>
      <c r="P145">
        <v>1</v>
      </c>
    </row>
    <row r="146" spans="1:16" x14ac:dyDescent="0.25">
      <c r="A146">
        <v>145</v>
      </c>
      <c r="B146">
        <f>EXP(((-1)/(2*'Cálculos Diversos'!$B$5))*(SQRT(SUMXMY2('Tabela Entrada-Saída'!$B$146:$O$146,'Coordenadas dos Polos'!$P$2:$AC$2)))^2)</f>
        <v>9.5930540111023546E-2</v>
      </c>
      <c r="C146">
        <f>EXP(((-1)/(2*'Cálculos Diversos'!$B$5))*(SQRT(SUMXMY2('Tabela Entrada-Saída'!$B$146:$O$146,'Coordenadas dos Polos'!$AD$2:$AQ$2)))^2)</f>
        <v>7.6669044004908855E-5</v>
      </c>
      <c r="D146">
        <f>EXP(((-1)/(2*'Cálculos Diversos'!$B$5))*(SQRT(SUMXMY2('Tabela Entrada-Saída'!$B$146:$O$146,'Coordenadas dos Polos'!$AR$2:$BE$2)))^2)</f>
        <v>2.7270358218595837E-5</v>
      </c>
      <c r="E146">
        <f>EXP(((-1)/(2*'Cálculos Diversos'!$B$5))*(SQRT(SUMXMY2('Tabela Entrada-Saída'!$B$146:$O$146,'Coordenadas dos Polos'!$BF$2:$BS$2)))^2)</f>
        <v>1.0266277324616427E-4</v>
      </c>
      <c r="F146">
        <f>EXP(((-1)/(2*'Cálculos Diversos'!$B$5))*(SQRT(SUMXMY2('Tabela Entrada-Saída'!$B$146:$O$146,'Coordenadas dos Polos'!$BT$2:$CG$2)))^2)</f>
        <v>2.6288473737086226E-6</v>
      </c>
      <c r="G146">
        <f>EXP(((-1)/(2*'Cálculos Diversos'!$B$5))*(SQRT(SUMXMY2('Tabela Entrada-Saída'!$B$146:$O$146,'Coordenadas dos Polos'!$CH$2:$CU$2)))^2)</f>
        <v>1.2735589999039881E-4</v>
      </c>
      <c r="H146">
        <f>EXP(((-1)/(2*'Cálculos Diversos'!$B$5))*(SQRT(SUMXMY2('Tabela Entrada-Saída'!$B$146:$O$146,'Coordenadas dos Polos'!$CV$2:$DI$2)))^2)</f>
        <v>5.9983110124999006E-6</v>
      </c>
      <c r="I146">
        <f>EXP(((-1)/(2*'Cálculos Diversos'!$B$5))*(SQRT(SUMXMY2('Tabela Entrada-Saída'!$B$146:$O$146,'Coordenadas dos Polos'!$DJ$2:$DW$2)))^2)</f>
        <v>2.6663185426447126E-4</v>
      </c>
      <c r="J146">
        <f>EXP(((-1)/(2*'Cálculos Diversos'!$B$5))*(SQRT(SUMXMY2('Tabela Entrada-Saída'!$B$146:$O$146,'Coordenadas dos Polos'!$DX$2:$EK$2)))^2)</f>
        <v>1.0237172133918301E-4</v>
      </c>
      <c r="K146">
        <f>EXP(((-1)/(2*'Cálculos Diversos'!$B$5))*(SQRT(SUMXMY2('Tabela Entrada-Saída'!$B$146:$O$146,'Coordenadas dos Polos'!$EL$2:$EY$2)))^2)</f>
        <v>4.3018254867842775E-6</v>
      </c>
      <c r="L146">
        <f>EXP(((-1)/(2*'Cálculos Diversos'!$B$5))*(SQRT(SUMXMY2('Tabela Entrada-Saída'!$B$146:$O$146,'Coordenadas dos Polos'!$EZ$2:$FM$2)))^2)</f>
        <v>6.4220824991148785E-7</v>
      </c>
      <c r="M146">
        <f>EXP(((-1)/(2*'Cálculos Diversos'!$B$5))*(SQRT(SUMXMY2('Tabela Entrada-Saída'!$B$146:$O$146,'Coordenadas dos Polos'!$FN$2:$GA$2)))^2)</f>
        <v>1.2862441920150034E-5</v>
      </c>
      <c r="N146">
        <f>EXP(((-1)/(2*'Cálculos Diversos'!$B$5))*(SQRT(SUMXMY2('Tabela Entrada-Saída'!$B$146:$O$146,'Coordenadas dos Polos'!$GB$2:$GO$2)))^2)</f>
        <v>3.17677829053293E-5</v>
      </c>
      <c r="O146">
        <f>EXP(((-1)/(2*'Cálculos Diversos'!$B$5))*(SQRT(SUMXMY2('Tabela Entrada-Saída'!$B$146:$O$146,'Coordenadas dos Polos'!$GP$2:$HC$2)))^2)</f>
        <v>2.6174775635541247E-6</v>
      </c>
      <c r="P146">
        <v>1</v>
      </c>
    </row>
    <row r="147" spans="1:16" x14ac:dyDescent="0.25">
      <c r="A147">
        <v>146</v>
      </c>
      <c r="B147">
        <f>EXP(((-1)/(2*'Cálculos Diversos'!$B$5))*(SQRT(SUMXMY2('Tabela Entrada-Saída'!$B$147:$O$147,'Coordenadas dos Polos'!$P$2:$AC$2)))^2)</f>
        <v>9.5067288251617435E-2</v>
      </c>
      <c r="C147">
        <f>EXP(((-1)/(2*'Cálculos Diversos'!$B$5))*(SQRT(SUMXMY2('Tabela Entrada-Saída'!$B$147:$O$147,'Coordenadas dos Polos'!$AD$2:$AQ$2)))^2)</f>
        <v>7.6443076188306789E-5</v>
      </c>
      <c r="D147">
        <f>EXP(((-1)/(2*'Cálculos Diversos'!$B$5))*(SQRT(SUMXMY2('Tabela Entrada-Saída'!$B$147:$O$147,'Coordenadas dos Polos'!$AR$2:$BE$2)))^2)</f>
        <v>2.7275204176629623E-5</v>
      </c>
      <c r="E147">
        <f>EXP(((-1)/(2*'Cálculos Diversos'!$B$5))*(SQRT(SUMXMY2('Tabela Entrada-Saída'!$B$147:$O$147,'Coordenadas dos Polos'!$BF$2:$BS$2)))^2)</f>
        <v>1.0199588767404071E-4</v>
      </c>
      <c r="F147">
        <f>EXP(((-1)/(2*'Cálculos Diversos'!$B$5))*(SQRT(SUMXMY2('Tabela Entrada-Saída'!$B$147:$O$147,'Coordenadas dos Polos'!$BT$2:$CG$2)))^2)</f>
        <v>2.6071097986725079E-6</v>
      </c>
      <c r="G147">
        <f>EXP(((-1)/(2*'Cálculos Diversos'!$B$5))*(SQRT(SUMXMY2('Tabela Entrada-Saída'!$B$147:$O$147,'Coordenadas dos Polos'!$CH$2:$CU$2)))^2)</f>
        <v>1.2728028420079749E-4</v>
      </c>
      <c r="H147">
        <f>EXP(((-1)/(2*'Cálculos Diversos'!$B$5))*(SQRT(SUMXMY2('Tabela Entrada-Saída'!$B$147:$O$147,'Coordenadas dos Polos'!$CV$2:$DI$2)))^2)</f>
        <v>5.9913343023973244E-6</v>
      </c>
      <c r="I147">
        <f>EXP(((-1)/(2*'Cálculos Diversos'!$B$5))*(SQRT(SUMXMY2('Tabela Entrada-Saída'!$B$147:$O$147,'Coordenadas dos Polos'!$DJ$2:$DW$2)))^2)</f>
        <v>2.6711597670494089E-4</v>
      </c>
      <c r="J147">
        <f>EXP(((-1)/(2*'Cálculos Diversos'!$B$5))*(SQRT(SUMXMY2('Tabela Entrada-Saída'!$B$147:$O$147,'Coordenadas dos Polos'!$DX$2:$EK$2)))^2)</f>
        <v>1.0220750977729073E-4</v>
      </c>
      <c r="K147">
        <f>EXP(((-1)/(2*'Cálculos Diversos'!$B$5))*(SQRT(SUMXMY2('Tabela Entrada-Saída'!$B$147:$O$147,'Coordenadas dos Polos'!$EL$2:$EY$2)))^2)</f>
        <v>4.301922317886906E-6</v>
      </c>
      <c r="L147">
        <f>EXP(((-1)/(2*'Cálculos Diversos'!$B$5))*(SQRT(SUMXMY2('Tabela Entrada-Saída'!$B$147:$O$147,'Coordenadas dos Polos'!$EZ$2:$FM$2)))^2)</f>
        <v>6.3763362643584774E-7</v>
      </c>
      <c r="M147">
        <f>EXP(((-1)/(2*'Cálculos Diversos'!$B$5))*(SQRT(SUMXMY2('Tabela Entrada-Saída'!$B$147:$O$147,'Coordenadas dos Polos'!$FN$2:$GA$2)))^2)</f>
        <v>1.2778099600773064E-5</v>
      </c>
      <c r="N147">
        <f>EXP(((-1)/(2*'Cálculos Diversos'!$B$5))*(SQRT(SUMXMY2('Tabela Entrada-Saída'!$B$147:$O$147,'Coordenadas dos Polos'!$GB$2:$GO$2)))^2)</f>
        <v>3.1574451154829837E-5</v>
      </c>
      <c r="O147">
        <f>EXP(((-1)/(2*'Cálculos Diversos'!$B$5))*(SQRT(SUMXMY2('Tabela Entrada-Saída'!$B$147:$O$147,'Coordenadas dos Polos'!$GP$2:$HC$2)))^2)</f>
        <v>2.6038993612398953E-6</v>
      </c>
      <c r="P147">
        <v>1</v>
      </c>
    </row>
    <row r="148" spans="1:16" x14ac:dyDescent="0.25">
      <c r="A148">
        <v>147</v>
      </c>
      <c r="B148">
        <f>EXP(((-1)/(2*'Cálculos Diversos'!$B$5))*(SQRT(SUMXMY2('Tabela Entrada-Saída'!$B$148:$O$148,'Coordenadas dos Polos'!$P$2:$AC$2)))^2)</f>
        <v>9.4411583389220247E-2</v>
      </c>
      <c r="C148">
        <f>EXP(((-1)/(2*'Cálculos Diversos'!$B$5))*(SQRT(SUMXMY2('Tabela Entrada-Saída'!$B$148:$O$148,'Coordenadas dos Polos'!$AD$2:$AQ$2)))^2)</f>
        <v>7.627408377059076E-5</v>
      </c>
      <c r="D148">
        <f>EXP(((-1)/(2*'Cálculos Diversos'!$B$5))*(SQRT(SUMXMY2('Tabela Entrada-Saída'!$B$148:$O$148,'Coordenadas dos Polos'!$AR$2:$BE$2)))^2)</f>
        <v>2.7279702170460777E-5</v>
      </c>
      <c r="E148">
        <f>EXP(((-1)/(2*'Cálculos Diversos'!$B$5))*(SQRT(SUMXMY2('Tabela Entrada-Saída'!$B$148:$O$148,'Coordenadas dos Polos'!$BF$2:$BS$2)))^2)</f>
        <v>1.0149098062954488E-4</v>
      </c>
      <c r="F148">
        <f>EXP(((-1)/(2*'Cálculos Diversos'!$B$5))*(SQRT(SUMXMY2('Tabela Entrada-Saída'!$B$148:$O$148,'Coordenadas dos Polos'!$BT$2:$CG$2)))^2)</f>
        <v>2.5907431620970443E-6</v>
      </c>
      <c r="G148">
        <f>EXP(((-1)/(2*'Cálculos Diversos'!$B$5))*(SQRT(SUMXMY2('Tabela Entrada-Saída'!$B$148:$O$148,'Coordenadas dos Polos'!$CH$2:$CU$2)))^2)</f>
        <v>1.272261686804724E-4</v>
      </c>
      <c r="H148">
        <f>EXP(((-1)/(2*'Cálculos Diversos'!$B$5))*(SQRT(SUMXMY2('Tabela Entrada-Saída'!$B$148:$O$148,'Coordenadas dos Polos'!$CV$2:$DI$2)))^2)</f>
        <v>5.9863806686039291E-6</v>
      </c>
      <c r="I148">
        <f>EXP(((-1)/(2*'Cálculos Diversos'!$B$5))*(SQRT(SUMXMY2('Tabela Entrada-Saída'!$B$148:$O$148,'Coordenadas dos Polos'!$DJ$2:$DW$2)))^2)</f>
        <v>2.6748929541364362E-4</v>
      </c>
      <c r="J148">
        <f>EXP(((-1)/(2*'Cálculos Diversos'!$B$5))*(SQRT(SUMXMY2('Tabela Entrada-Saída'!$B$148:$O$148,'Coordenadas dos Polos'!$DX$2:$EK$2)))^2)</f>
        <v>1.0208948256320835E-4</v>
      </c>
      <c r="K148">
        <f>EXP(((-1)/(2*'Cálculos Diversos'!$B$5))*(SQRT(SUMXMY2('Tabela Entrada-Saída'!$B$148:$O$148,'Coordenadas dos Polos'!$EL$2:$EY$2)))^2)</f>
        <v>4.3020980719121259E-6</v>
      </c>
      <c r="L148">
        <f>EXP(((-1)/(2*'Cálculos Diversos'!$B$5))*(SQRT(SUMXMY2('Tabela Entrada-Saída'!$B$148:$O$148,'Coordenadas dos Polos'!$EZ$2:$FM$2)))^2)</f>
        <v>6.341943970494986E-7</v>
      </c>
      <c r="M148">
        <f>EXP(((-1)/(2*'Cálculos Diversos'!$B$5))*(SQRT(SUMXMY2('Tabela Entrada-Saída'!$B$148:$O$148,'Coordenadas dos Polos'!$FN$2:$GA$2)))^2)</f>
        <v>1.2714453585342635E-5</v>
      </c>
      <c r="N148">
        <f>EXP(((-1)/(2*'Cálculos Diversos'!$B$5))*(SQRT(SUMXMY2('Tabela Entrada-Saída'!$B$148:$O$148,'Coordenadas dos Polos'!$GB$2:$GO$2)))^2)</f>
        <v>3.1429232440262764E-5</v>
      </c>
      <c r="O148">
        <f>EXP(((-1)/(2*'Cálculos Diversos'!$B$5))*(SQRT(SUMXMY2('Tabela Entrada-Saída'!$B$148:$O$148,'Coordenadas dos Polos'!$GP$2:$HC$2)))^2)</f>
        <v>2.5936142981429461E-6</v>
      </c>
      <c r="P148">
        <v>1</v>
      </c>
    </row>
    <row r="149" spans="1:16" x14ac:dyDescent="0.25">
      <c r="A149">
        <v>148</v>
      </c>
      <c r="B149">
        <f>EXP(((-1)/(2*'Cálculos Diversos'!$B$5))*(SQRT(SUMXMY2('Tabela Entrada-Saída'!$B$149:$O$149,'Coordenadas dos Polos'!$P$2:$AC$2)))^2)</f>
        <v>9.5187555817290173E-2</v>
      </c>
      <c r="C149">
        <f>EXP(((-1)/(2*'Cálculos Diversos'!$B$5))*(SQRT(SUMXMY2('Tabela Entrada-Saída'!$B$149:$O$149,'Coordenadas dos Polos'!$AD$2:$AQ$2)))^2)</f>
        <v>7.6481044942929209E-5</v>
      </c>
      <c r="D149">
        <f>EXP(((-1)/(2*'Cálculos Diversos'!$B$5))*(SQRT(SUMXMY2('Tabela Entrada-Saída'!$B$149:$O$149,'Coordenadas dos Polos'!$AR$2:$BE$2)))^2)</f>
        <v>2.7276248606842911E-5</v>
      </c>
      <c r="E149">
        <f>EXP(((-1)/(2*'Cálculos Diversos'!$B$5))*(SQRT(SUMXMY2('Tabela Entrada-Saída'!$B$149:$O$149,'Coordenadas dos Polos'!$BF$2:$BS$2)))^2)</f>
        <v>1.0209279200398949E-4</v>
      </c>
      <c r="F149">
        <f>EXP(((-1)/(2*'Cálculos Diversos'!$B$5))*(SQRT(SUMXMY2('Tabela Entrada-Saída'!$B$149:$O$149,'Coordenadas dos Polos'!$BT$2:$CG$2)))^2)</f>
        <v>2.6103375603039304E-6</v>
      </c>
      <c r="G149">
        <f>EXP(((-1)/(2*'Cálculos Diversos'!$B$5))*(SQRT(SUMXMY2('Tabela Entrada-Saída'!$B$149:$O$149,'Coordenadas dos Polos'!$CH$2:$CU$2)))^2)</f>
        <v>1.2729855935407356E-4</v>
      </c>
      <c r="H149">
        <f>EXP(((-1)/(2*'Cálculos Diversos'!$B$5))*(SQRT(SUMXMY2('Tabela Entrada-Saída'!$B$149:$O$149,'Coordenadas dos Polos'!$CV$2:$DI$2)))^2)</f>
        <v>5.9930584800044922E-6</v>
      </c>
      <c r="I149">
        <f>EXP(((-1)/(2*'Cálculos Diversos'!$B$5))*(SQRT(SUMXMY2('Tabela Entrada-Saída'!$B$149:$O$149,'Coordenadas dos Polos'!$DJ$2:$DW$2)))^2)</f>
        <v>2.6705626087241606E-4</v>
      </c>
      <c r="J149">
        <f>EXP(((-1)/(2*'Cálculos Diversos'!$B$5))*(SQRT(SUMXMY2('Tabela Entrada-Saída'!$B$149:$O$149,'Coordenadas dos Polos'!$DX$2:$EK$2)))^2)</f>
        <v>1.0224251489023813E-4</v>
      </c>
      <c r="K149">
        <f>EXP(((-1)/(2*'Cálculos Diversos'!$B$5))*(SQRT(SUMXMY2('Tabela Entrada-Saída'!$B$149:$O$149,'Coordenadas dos Polos'!$EL$2:$EY$2)))^2)</f>
        <v>4.3021746210523553E-6</v>
      </c>
      <c r="L149">
        <f>EXP(((-1)/(2*'Cálculos Diversos'!$B$5))*(SQRT(SUMXMY2('Tabela Entrada-Saída'!$B$149:$O$149,'Coordenadas dos Polos'!$EZ$2:$FM$2)))^2)</f>
        <v>6.3832846799516474E-7</v>
      </c>
      <c r="M149">
        <f>EXP(((-1)/(2*'Cálculos Diversos'!$B$5))*(SQRT(SUMXMY2('Tabela Entrada-Saída'!$B$149:$O$149,'Coordenadas dos Polos'!$FN$2:$GA$2)))^2)</f>
        <v>1.2790669343939463E-5</v>
      </c>
      <c r="N149">
        <f>EXP(((-1)/(2*'Cálculos Diversos'!$B$5))*(SQRT(SUMXMY2('Tabela Entrada-Saída'!$B$149:$O$149,'Coordenadas dos Polos'!$GB$2:$GO$2)))^2)</f>
        <v>3.1604963332371777E-5</v>
      </c>
      <c r="O149">
        <f>EXP(((-1)/(2*'Cálculos Diversos'!$B$5))*(SQRT(SUMXMY2('Tabela Entrada-Saída'!$B$149:$O$149,'Coordenadas dos Polos'!$GP$2:$HC$2)))^2)</f>
        <v>2.605890598874774E-6</v>
      </c>
      <c r="P149">
        <v>1</v>
      </c>
    </row>
    <row r="150" spans="1:16" x14ac:dyDescent="0.25">
      <c r="A150">
        <v>149</v>
      </c>
      <c r="B150">
        <f>EXP(((-1)/(2*'Cálculos Diversos'!$B$5))*(SQRT(SUMXMY2('Tabela Entrada-Saída'!$B$150:$O$150,'Coordenadas dos Polos'!$P$2:$AC$2)))^2)</f>
        <v>9.4387825174833434E-2</v>
      </c>
      <c r="C150">
        <f>EXP(((-1)/(2*'Cálculos Diversos'!$B$5))*(SQRT(SUMXMY2('Tabela Entrada-Saída'!$B$150:$O$150,'Coordenadas dos Polos'!$AD$2:$AQ$2)))^2)</f>
        <v>7.6269559924341997E-5</v>
      </c>
      <c r="D150">
        <f>EXP(((-1)/(2*'Cálculos Diversos'!$B$5))*(SQRT(SUMXMY2('Tabela Entrada-Saída'!$B$150:$O$150,'Coordenadas dos Polos'!$AR$2:$BE$2)))^2)</f>
        <v>2.7280436902078419E-5</v>
      </c>
      <c r="E150">
        <f>EXP(((-1)/(2*'Cálculos Diversos'!$B$5))*(SQRT(SUMXMY2('Tabela Entrada-Saída'!$B$150:$O$150,'Coordenadas dos Polos'!$BF$2:$BS$2)))^2)</f>
        <v>1.014725052983279E-4</v>
      </c>
      <c r="F150">
        <f>EXP(((-1)/(2*'Cálculos Diversos'!$B$5))*(SQRT(SUMXMY2('Tabela Entrada-Saída'!$B$150:$O$150,'Coordenadas dos Polos'!$BT$2:$CG$2)))^2)</f>
        <v>2.590104433923802E-6</v>
      </c>
      <c r="G150">
        <f>EXP(((-1)/(2*'Cálculos Diversos'!$B$5))*(SQRT(SUMXMY2('Tabela Entrada-Saída'!$B$150:$O$150,'Coordenadas dos Polos'!$CH$2:$CU$2)))^2)</f>
        <v>1.2722310055351342E-4</v>
      </c>
      <c r="H150">
        <f>EXP(((-1)/(2*'Cálculos Diversos'!$B$5))*(SQRT(SUMXMY2('Tabela Entrada-Saída'!$B$150:$O$150,'Coordenadas dos Polos'!$CV$2:$DI$2)))^2)</f>
        <v>5.9865084720116539E-6</v>
      </c>
      <c r="I150">
        <f>EXP(((-1)/(2*'Cálculos Diversos'!$B$5))*(SQRT(SUMXMY2('Tabela Entrada-Saída'!$B$150:$O$150,'Coordenadas dos Polos'!$DJ$2:$DW$2)))^2)</f>
        <v>2.6750282783754843E-4</v>
      </c>
      <c r="J150">
        <f>EXP(((-1)/(2*'Cálculos Diversos'!$B$5))*(SQRT(SUMXMY2('Tabela Entrada-Saída'!$B$150:$O$150,'Coordenadas dos Polos'!$DX$2:$EK$2)))^2)</f>
        <v>1.0208479815160536E-4</v>
      </c>
      <c r="K150">
        <f>EXP(((-1)/(2*'Cálculos Diversos'!$B$5))*(SQRT(SUMXMY2('Tabela Entrada-Saída'!$B$150:$O$150,'Coordenadas dos Polos'!$EL$2:$EY$2)))^2)</f>
        <v>4.3022351961209125E-6</v>
      </c>
      <c r="L150">
        <f>EXP(((-1)/(2*'Cálculos Diversos'!$B$5))*(SQRT(SUMXMY2('Tabela Entrada-Saída'!$B$150:$O$150,'Coordenadas dos Polos'!$EZ$2:$FM$2)))^2)</f>
        <v>6.3406883365898911E-7</v>
      </c>
      <c r="M150">
        <f>EXP(((-1)/(2*'Cálculos Diversos'!$B$5))*(SQRT(SUMXMY2('Tabela Entrada-Saída'!$B$150:$O$150,'Coordenadas dos Polos'!$FN$2:$GA$2)))^2)</f>
        <v>1.2712231265268184E-5</v>
      </c>
      <c r="N150">
        <f>EXP(((-1)/(2*'Cálculos Diversos'!$B$5))*(SQRT(SUMXMY2('Tabela Entrada-Saída'!$B$150:$O$150,'Coordenadas dos Polos'!$GB$2:$GO$2)))^2)</f>
        <v>3.142525683341664E-5</v>
      </c>
      <c r="O150">
        <f>EXP(((-1)/(2*'Cálculos Diversos'!$B$5))*(SQRT(SUMXMY2('Tabela Entrada-Saída'!$B$150:$O$150,'Coordenadas dos Polos'!$GP$2:$HC$2)))^2)</f>
        <v>2.5932081575233807E-6</v>
      </c>
      <c r="P150">
        <v>1</v>
      </c>
    </row>
    <row r="151" spans="1:16" x14ac:dyDescent="0.25">
      <c r="A151">
        <v>150</v>
      </c>
      <c r="B151">
        <f>EXP(((-1)/(2*'Cálculos Diversos'!$B$5))*(SQRT(SUMXMY2('Tabela Entrada-Saída'!$B$151:$O$151,'Coordenadas dos Polos'!$P$2:$AC$2)))^2)</f>
        <v>9.5744442804197791E-2</v>
      </c>
      <c r="C151">
        <f>EXP(((-1)/(2*'Cálculos Diversos'!$B$5))*(SQRT(SUMXMY2('Tabela Entrada-Saída'!$B$151:$O$151,'Coordenadas dos Polos'!$AD$2:$AQ$2)))^2)</f>
        <v>7.662107817568428E-5</v>
      </c>
      <c r="D151">
        <f>EXP(((-1)/(2*'Cálculos Diversos'!$B$5))*(SQRT(SUMXMY2('Tabela Entrada-Saída'!$B$151:$O$151,'Coordenadas dos Polos'!$AR$2:$BE$2)))^2)</f>
        <v>2.7271399023200871E-5</v>
      </c>
      <c r="E151">
        <f>EXP(((-1)/(2*'Cálculos Diversos'!$B$5))*(SQRT(SUMXMY2('Tabela Entrada-Saída'!$B$151:$O$151,'Coordenadas dos Polos'!$BF$2:$BS$2)))^2)</f>
        <v>1.0251965048041905E-4</v>
      </c>
      <c r="F151">
        <f>EXP(((-1)/(2*'Cálculos Diversos'!$B$5))*(SQRT(SUMXMY2('Tabela Entrada-Saída'!$B$151:$O$151,'Coordenadas dos Polos'!$BT$2:$CG$2)))^2)</f>
        <v>2.6242117071547839E-6</v>
      </c>
      <c r="G151">
        <f>EXP(((-1)/(2*'Cálculos Diversos'!$B$5))*(SQRT(SUMXMY2('Tabela Entrada-Saída'!$B$151:$O$151,'Coordenadas dos Polos'!$CH$2:$CU$2)))^2)</f>
        <v>1.2734180435027695E-4</v>
      </c>
      <c r="H151">
        <f>EXP(((-1)/(2*'Cálculos Diversos'!$B$5))*(SQRT(SUMXMY2('Tabela Entrada-Saída'!$B$151:$O$151,'Coordenadas dos Polos'!$CV$2:$DI$2)))^2)</f>
        <v>5.996847467061516E-6</v>
      </c>
      <c r="I151">
        <f>EXP(((-1)/(2*'Cálculos Diversos'!$B$5))*(SQRT(SUMXMY2('Tabela Entrada-Saída'!$B$151:$O$151,'Coordenadas dos Polos'!$DJ$2:$DW$2)))^2)</f>
        <v>2.6673610991053272E-4</v>
      </c>
      <c r="J151">
        <f>EXP(((-1)/(2*'Cálculos Diversos'!$B$5))*(SQRT(SUMXMY2('Tabela Entrada-Saída'!$B$151:$O$151,'Coordenadas dos Polos'!$DX$2:$EK$2)))^2)</f>
        <v>1.023390962226402E-4</v>
      </c>
      <c r="K151">
        <f>EXP(((-1)/(2*'Cálculos Diversos'!$B$5))*(SQRT(SUMXMY2('Tabela Entrada-Saída'!$B$151:$O$151,'Coordenadas dos Polos'!$EL$2:$EY$2)))^2)</f>
        <v>4.3018436022109125E-6</v>
      </c>
      <c r="L151">
        <f>EXP(((-1)/(2*'Cálculos Diversos'!$B$5))*(SQRT(SUMXMY2('Tabela Entrada-Saída'!$B$151:$O$151,'Coordenadas dos Polos'!$EZ$2:$FM$2)))^2)</f>
        <v>6.4123138424927187E-7</v>
      </c>
      <c r="M151">
        <f>EXP(((-1)/(2*'Cálculos Diversos'!$B$5))*(SQRT(SUMXMY2('Tabela Entrada-Saída'!$B$151:$O$151,'Coordenadas dos Polos'!$FN$2:$GA$2)))^2)</f>
        <v>1.2844366409643294E-5</v>
      </c>
      <c r="N151">
        <f>EXP(((-1)/(2*'Cálculos Diversos'!$B$5))*(SQRT(SUMXMY2('Tabela Entrada-Saída'!$B$151:$O$151,'Coordenadas dos Polos'!$GB$2:$GO$2)))^2)</f>
        <v>3.1726384520122741E-5</v>
      </c>
      <c r="O151">
        <f>EXP(((-1)/(2*'Cálculos Diversos'!$B$5))*(SQRT(SUMXMY2('Tabela Entrada-Saída'!$B$151:$O$151,'Coordenadas dos Polos'!$GP$2:$HC$2)))^2)</f>
        <v>2.6145810789522735E-6</v>
      </c>
      <c r="P151">
        <v>1</v>
      </c>
    </row>
    <row r="152" spans="1:16" x14ac:dyDescent="0.25">
      <c r="A152">
        <v>151</v>
      </c>
      <c r="B152">
        <f>EXP(((-1)/(2*'Cálculos Diversos'!$B$5))*(SQRT(SUMXMY2('Tabela Entrada-Saída'!$B$152:$O$152,'Coordenadas dos Polos'!$P$2:$AC$2)))^2)</f>
        <v>9.5034816040614173E-2</v>
      </c>
      <c r="C152">
        <f>EXP(((-1)/(2*'Cálculos Diversos'!$B$5))*(SQRT(SUMXMY2('Tabela Entrada-Saída'!$B$152:$O$152,'Coordenadas dos Polos'!$AD$2:$AQ$2)))^2)</f>
        <v>7.6438202294292743E-5</v>
      </c>
      <c r="D152">
        <f>EXP(((-1)/(2*'Cálculos Diversos'!$B$5))*(SQRT(SUMXMY2('Tabela Entrada-Saída'!$B$152:$O$152,'Coordenadas dos Polos'!$AR$2:$BE$2)))^2)</f>
        <v>2.7276273349347214E-5</v>
      </c>
      <c r="E152">
        <f>EXP(((-1)/(2*'Cálculos Diversos'!$B$5))*(SQRT(SUMXMY2('Tabela Entrada-Saída'!$B$152:$O$152,'Coordenadas dos Polos'!$BF$2:$BS$2)))^2)</f>
        <v>1.0197316915429342E-4</v>
      </c>
      <c r="F152">
        <f>EXP(((-1)/(2*'Cálculos Diversos'!$B$5))*(SQRT(SUMXMY2('Tabela Entrada-Saída'!$B$152:$O$152,'Coordenadas dos Polos'!$BT$2:$CG$2)))^2)</f>
        <v>2.6064201708252344E-6</v>
      </c>
      <c r="G152">
        <f>EXP(((-1)/(2*'Cálculos Diversos'!$B$5))*(SQRT(SUMXMY2('Tabela Entrada-Saída'!$B$152:$O$152,'Coordenadas dos Polos'!$CH$2:$CU$2)))^2)</f>
        <v>1.2728238951911086E-4</v>
      </c>
      <c r="H152">
        <f>EXP(((-1)/(2*'Cálculos Diversos'!$B$5))*(SQRT(SUMXMY2('Tabela Entrada-Saída'!$B$152:$O$152,'Coordenadas dos Polos'!$CV$2:$DI$2)))^2)</f>
        <v>5.9914742440253859E-6</v>
      </c>
      <c r="I152">
        <f>EXP(((-1)/(2*'Cálculos Diversos'!$B$5))*(SQRT(SUMXMY2('Tabela Entrada-Saída'!$B$152:$O$152,'Coordenadas dos Polos'!$DJ$2:$DW$2)))^2)</f>
        <v>2.6713841265918421E-4</v>
      </c>
      <c r="J152">
        <f>EXP(((-1)/(2*'Cálculos Diversos'!$B$5))*(SQRT(SUMXMY2('Tabela Entrada-Saída'!$B$152:$O$152,'Coordenadas dos Polos'!$DX$2:$EK$2)))^2)</f>
        <v>1.0220879172320617E-4</v>
      </c>
      <c r="K152">
        <f>EXP(((-1)/(2*'Cálculos Diversos'!$B$5))*(SQRT(SUMXMY2('Tabela Entrada-Saída'!$B$152:$O$152,'Coordenadas dos Polos'!$EL$2:$EY$2)))^2)</f>
        <v>4.3020633279273456E-6</v>
      </c>
      <c r="L152">
        <f>EXP(((-1)/(2*'Cálculos Diversos'!$B$5))*(SQRT(SUMXMY2('Tabela Entrada-Saída'!$B$152:$O$152,'Coordenadas dos Polos'!$EZ$2:$FM$2)))^2)</f>
        <v>6.3749605151580178E-7</v>
      </c>
      <c r="M152">
        <f>EXP(((-1)/(2*'Cálculos Diversos'!$B$5))*(SQRT(SUMXMY2('Tabela Entrada-Saída'!$B$152:$O$152,'Coordenadas dos Polos'!$FN$2:$GA$2)))^2)</f>
        <v>1.2775399706739761E-5</v>
      </c>
      <c r="N152">
        <f>EXP(((-1)/(2*'Cálculos Diversos'!$B$5))*(SQRT(SUMXMY2('Tabela Entrada-Saída'!$B$152:$O$152,'Coordenadas dos Polos'!$GB$2:$GO$2)))^2)</f>
        <v>3.1569135502233398E-5</v>
      </c>
      <c r="O152">
        <f>EXP(((-1)/(2*'Cálculos Diversos'!$B$5))*(SQRT(SUMXMY2('Tabela Entrada-Saída'!$B$152:$O$152,'Coordenadas dos Polos'!$GP$2:$HC$2)))^2)</f>
        <v>2.6034530802617385E-6</v>
      </c>
      <c r="P152">
        <v>1</v>
      </c>
    </row>
    <row r="153" spans="1:16" x14ac:dyDescent="0.25">
      <c r="A153">
        <v>152</v>
      </c>
      <c r="B153">
        <f>EXP(((-1)/(2*'Cálculos Diversos'!$B$5))*(SQRT(SUMXMY2('Tabela Entrada-Saída'!$B$153:$O$153,'Coordenadas dos Polos'!$P$2:$AC$2)))^2)</f>
        <v>9.5671262095353996E-2</v>
      </c>
      <c r="C153">
        <f>EXP(((-1)/(2*'Cálculos Diversos'!$B$5))*(SQRT(SUMXMY2('Tabela Entrada-Saída'!$B$153:$O$153,'Coordenadas dos Polos'!$AD$2:$AQ$2)))^2)</f>
        <v>7.6606055369042702E-5</v>
      </c>
      <c r="D153">
        <f>EXP(((-1)/(2*'Cálculos Diversos'!$B$5))*(SQRT(SUMXMY2('Tabela Entrada-Saída'!$B$153:$O$153,'Coordenadas dos Polos'!$AR$2:$BE$2)))^2)</f>
        <v>2.727304356169481E-5</v>
      </c>
      <c r="E153">
        <f>EXP(((-1)/(2*'Cálculos Diversos'!$B$5))*(SQRT(SUMXMY2('Tabela Entrada-Saída'!$B$153:$O$153,'Coordenadas dos Polos'!$BF$2:$BS$2)))^2)</f>
        <v>1.0246513553366111E-4</v>
      </c>
      <c r="F153">
        <f>EXP(((-1)/(2*'Cálculos Diversos'!$B$5))*(SQRT(SUMXMY2('Tabela Entrada-Saída'!$B$153:$O$153,'Coordenadas dos Polos'!$BT$2:$CG$2)))^2)</f>
        <v>2.622443949330717E-6</v>
      </c>
      <c r="G153">
        <f>EXP(((-1)/(2*'Cálculos Diversos'!$B$5))*(SQRT(SUMXMY2('Tabela Entrada-Saída'!$B$153:$O$153,'Coordenadas dos Polos'!$CH$2:$CU$2)))^2)</f>
        <v>1.2733856154046114E-4</v>
      </c>
      <c r="H153">
        <f>EXP(((-1)/(2*'Cálculos Diversos'!$B$5))*(SQRT(SUMXMY2('Tabela Entrada-Saída'!$B$153:$O$153,'Coordenadas dos Polos'!$CV$2:$DI$2)))^2)</f>
        <v>5.9968068216112613E-6</v>
      </c>
      <c r="I153">
        <f>EXP(((-1)/(2*'Cálculos Diversos'!$B$5))*(SQRT(SUMXMY2('Tabela Entrada-Saída'!$B$153:$O$153,'Coordenadas dos Polos'!$DJ$2:$DW$2)))^2)</f>
        <v>2.6678106579735298E-4</v>
      </c>
      <c r="J153">
        <f>EXP(((-1)/(2*'Cálculos Diversos'!$B$5))*(SQRT(SUMXMY2('Tabela Entrada-Saída'!$B$153:$O$153,'Coordenadas dos Polos'!$DX$2:$EK$2)))^2)</f>
        <v>1.023312193303025E-4</v>
      </c>
      <c r="K153">
        <f>EXP(((-1)/(2*'Cálculos Diversos'!$B$5))*(SQRT(SUMXMY2('Tabela Entrada-Saída'!$B$153:$O$153,'Coordenadas dos Polos'!$EL$2:$EY$2)))^2)</f>
        <v>4.3020650092944086E-6</v>
      </c>
      <c r="L153">
        <f>EXP(((-1)/(2*'Cálculos Diversos'!$B$5))*(SQRT(SUMXMY2('Tabela Entrada-Saída'!$B$153:$O$153,'Coordenadas dos Polos'!$EZ$2:$FM$2)))^2)</f>
        <v>6.4087375083463497E-7</v>
      </c>
      <c r="M153">
        <f>EXP(((-1)/(2*'Cálculos Diversos'!$B$5))*(SQRT(SUMXMY2('Tabela Entrada-Saída'!$B$153:$O$153,'Coordenadas dos Polos'!$FN$2:$GA$2)))^2)</f>
        <v>1.2837675738490426E-5</v>
      </c>
      <c r="N153">
        <f>EXP(((-1)/(2*'Cálculos Diversos'!$B$5))*(SQRT(SUMXMY2('Tabela Entrada-Saída'!$B$153:$O$153,'Coordenadas dos Polos'!$GB$2:$GO$2)))^2)</f>
        <v>3.1712566161089274E-5</v>
      </c>
      <c r="O153">
        <f>EXP(((-1)/(2*'Cálculos Diversos'!$B$5))*(SQRT(SUMXMY2('Tabela Entrada-Saída'!$B$153:$O$153,'Coordenadas dos Polos'!$GP$2:$HC$2)))^2)</f>
        <v>2.6134660576280746E-6</v>
      </c>
      <c r="P153">
        <v>1</v>
      </c>
    </row>
    <row r="154" spans="1:16" x14ac:dyDescent="0.25">
      <c r="A154">
        <v>153</v>
      </c>
      <c r="B154">
        <f>EXP(((-1)/(2*'Cálculos Diversos'!$B$5))*(SQRT(SUMXMY2('Tabela Entrada-Saída'!$B$154:$O$154,'Coordenadas dos Polos'!$P$2:$AC$2)))^2)</f>
        <v>9.579881942777306E-2</v>
      </c>
      <c r="C154">
        <f>EXP(((-1)/(2*'Cálculos Diversos'!$B$5))*(SQRT(SUMXMY2('Tabela Entrada-Saída'!$B$154:$O$154,'Coordenadas dos Polos'!$AD$2:$AQ$2)))^2)</f>
        <v>7.6635980660690701E-5</v>
      </c>
      <c r="D154">
        <f>EXP(((-1)/(2*'Cálculos Diversos'!$B$5))*(SQRT(SUMXMY2('Tabela Entrada-Saída'!$B$154:$O$154,'Coordenadas dos Polos'!$AR$2:$BE$2)))^2)</f>
        <v>2.7271449100412891E-5</v>
      </c>
      <c r="E154">
        <f>EXP(((-1)/(2*'Cálculos Diversos'!$B$5))*(SQRT(SUMXMY2('Tabela Entrada-Saída'!$B$154:$O$154,'Coordenadas dos Polos'!$BF$2:$BS$2)))^2)</f>
        <v>1.0256176283937727E-4</v>
      </c>
      <c r="F154">
        <f>EXP(((-1)/(2*'Cálculos Diversos'!$B$5))*(SQRT(SUMXMY2('Tabela Entrada-Saída'!$B$154:$O$154,'Coordenadas dos Polos'!$BT$2:$CG$2)))^2)</f>
        <v>2.6255524309934137E-6</v>
      </c>
      <c r="G154">
        <f>EXP(((-1)/(2*'Cálculos Diversos'!$B$5))*(SQRT(SUMXMY2('Tabela Entrada-Saída'!$B$154:$O$154,'Coordenadas dos Polos'!$CH$2:$CU$2)))^2)</f>
        <v>1.2734577574369566E-4</v>
      </c>
      <c r="H154">
        <f>EXP(((-1)/(2*'Cálculos Diversos'!$B$5))*(SQRT(SUMXMY2('Tabela Entrada-Saída'!$B$154:$O$154,'Coordenadas dos Polos'!$CV$2:$DI$2)))^2)</f>
        <v>5.9974251328036865E-6</v>
      </c>
      <c r="I154">
        <f>EXP(((-1)/(2*'Cálculos Diversos'!$B$5))*(SQRT(SUMXMY2('Tabela Entrada-Saída'!$B$154:$O$154,'Coordenadas dos Polos'!$DJ$2:$DW$2)))^2)</f>
        <v>2.667062268091727E-4</v>
      </c>
      <c r="J154">
        <f>EXP(((-1)/(2*'Cálculos Diversos'!$B$5))*(SQRT(SUMXMY2('Tabela Entrada-Saída'!$B$154:$O$154,'Coordenadas dos Polos'!$DX$2:$EK$2)))^2)</f>
        <v>1.0234885344019592E-4</v>
      </c>
      <c r="K154">
        <f>EXP(((-1)/(2*'Cálculos Diversos'!$B$5))*(SQRT(SUMXMY2('Tabela Entrada-Saída'!$B$154:$O$154,'Coordenadas dos Polos'!$EL$2:$EY$2)))^2)</f>
        <v>4.3019133983373266E-6</v>
      </c>
      <c r="L154">
        <f>EXP(((-1)/(2*'Cálculos Diversos'!$B$5))*(SQRT(SUMXMY2('Tabela Entrada-Saída'!$B$154:$O$154,'Coordenadas dos Polos'!$EZ$2:$FM$2)))^2)</f>
        <v>6.4152000315836112E-7</v>
      </c>
      <c r="M154">
        <f>EXP(((-1)/(2*'Cálculos Diversos'!$B$5))*(SQRT(SUMXMY2('Tabela Entrada-Saída'!$B$154:$O$154,'Coordenadas dos Polos'!$FN$2:$GA$2)))^2)</f>
        <v>1.2849715970064682E-5</v>
      </c>
      <c r="N154">
        <f>EXP(((-1)/(2*'Cálculos Diversos'!$B$5))*(SQRT(SUMXMY2('Tabela Entrada-Saída'!$B$154:$O$154,'Coordenadas dos Polos'!$GB$2:$GO$2)))^2)</f>
        <v>3.1739174227932153E-5</v>
      </c>
      <c r="O154">
        <f>EXP(((-1)/(2*'Cálculos Diversos'!$B$5))*(SQRT(SUMXMY2('Tabela Entrada-Saída'!$B$154:$O$154,'Coordenadas dos Polos'!$GP$2:$HC$2)))^2)</f>
        <v>2.615425940759191E-6</v>
      </c>
      <c r="P154">
        <v>1</v>
      </c>
    </row>
    <row r="155" spans="1:16" x14ac:dyDescent="0.25">
      <c r="A155">
        <v>154</v>
      </c>
      <c r="B155">
        <f>EXP(((-1)/(2*'Cálculos Diversos'!$B$5))*(SQRT(SUMXMY2('Tabela Entrada-Saída'!$B$155:$O$155,'Coordenadas dos Polos'!$P$2:$AC$2)))^2)</f>
        <v>9.4742041646035599E-2</v>
      </c>
      <c r="C155">
        <f>EXP(((-1)/(2*'Cálculos Diversos'!$B$5))*(SQRT(SUMXMY2('Tabela Entrada-Saída'!$B$155:$O$155,'Coordenadas dos Polos'!$AD$2:$AQ$2)))^2)</f>
        <v>7.6361616053915857E-5</v>
      </c>
      <c r="D155">
        <f>EXP(((-1)/(2*'Cálculos Diversos'!$B$5))*(SQRT(SUMXMY2('Tabela Entrada-Saída'!$B$155:$O$155,'Coordenadas dos Polos'!$AR$2:$BE$2)))^2)</f>
        <v>2.7277949175337923E-5</v>
      </c>
      <c r="E155">
        <f>EXP(((-1)/(2*'Cálculos Diversos'!$B$5))*(SQRT(SUMXMY2('Tabela Entrada-Saída'!$B$155:$O$155,'Coordenadas dos Polos'!$BF$2:$BS$2)))^2)</f>
        <v>1.0174607337934887E-4</v>
      </c>
      <c r="F155">
        <f>EXP(((-1)/(2*'Cálculos Diversos'!$B$5))*(SQRT(SUMXMY2('Tabela Entrada-Saída'!$B$155:$O$155,'Coordenadas dos Polos'!$BT$2:$CG$2)))^2)</f>
        <v>2.5990072885620218E-6</v>
      </c>
      <c r="G155">
        <f>EXP(((-1)/(2*'Cálculos Diversos'!$B$5))*(SQRT(SUMXMY2('Tabela Entrada-Saída'!$B$155:$O$155,'Coordenadas dos Polos'!$CH$2:$CU$2)))^2)</f>
        <v>1.2725503767679999E-4</v>
      </c>
      <c r="H155">
        <f>EXP(((-1)/(2*'Cálculos Diversos'!$B$5))*(SQRT(SUMXMY2('Tabela Entrada-Saída'!$B$155:$O$155,'Coordenadas dos Polos'!$CV$2:$DI$2)))^2)</f>
        <v>5.9892003969339982E-6</v>
      </c>
      <c r="I155">
        <f>EXP(((-1)/(2*'Cálculos Diversos'!$B$5))*(SQRT(SUMXMY2('Tabela Entrada-Saída'!$B$155:$O$155,'Coordenadas dos Polos'!$DJ$2:$DW$2)))^2)</f>
        <v>2.6730137615990645E-4</v>
      </c>
      <c r="J155">
        <f>EXP(((-1)/(2*'Cálculos Diversos'!$B$5))*(SQRT(SUMXMY2('Tabela Entrada-Saída'!$B$155:$O$155,'Coordenadas dos Polos'!$DX$2:$EK$2)))^2)</f>
        <v>1.0215168134193962E-4</v>
      </c>
      <c r="K155">
        <f>EXP(((-1)/(2*'Cálculos Diversos'!$B$5))*(SQRT(SUMXMY2('Tabela Entrada-Saída'!$B$155:$O$155,'Coordenadas dos Polos'!$EL$2:$EY$2)))^2)</f>
        <v>4.3021267142242045E-6</v>
      </c>
      <c r="L155">
        <f>EXP(((-1)/(2*'Cálculos Diversos'!$B$5))*(SQRT(SUMXMY2('Tabela Entrada-Saída'!$B$155:$O$155,'Coordenadas dos Polos'!$EZ$2:$FM$2)))^2)</f>
        <v>6.3593703159941535E-7</v>
      </c>
      <c r="M155">
        <f>EXP(((-1)/(2*'Cálculos Diversos'!$B$5))*(SQRT(SUMXMY2('Tabela Entrada-Saída'!$B$155:$O$155,'Coordenadas dos Polos'!$FN$2:$GA$2)))^2)</f>
        <v>1.2746740049156424E-5</v>
      </c>
      <c r="N155">
        <f>EXP(((-1)/(2*'Cálculos Diversos'!$B$5))*(SQRT(SUMXMY2('Tabela Entrada-Saída'!$B$155:$O$155,'Coordenadas dos Polos'!$GB$2:$GO$2)))^2)</f>
        <v>3.150386844621464E-5</v>
      </c>
      <c r="O155">
        <f>EXP(((-1)/(2*'Cálculos Diversos'!$B$5))*(SQRT(SUMXMY2('Tabela Entrada-Saída'!$B$155:$O$155,'Coordenadas dos Polos'!$GP$2:$HC$2)))^2)</f>
        <v>2.5988020405241209E-6</v>
      </c>
      <c r="P155">
        <v>1</v>
      </c>
    </row>
    <row r="156" spans="1:16" x14ac:dyDescent="0.25">
      <c r="A156">
        <v>155</v>
      </c>
      <c r="B156">
        <f>EXP(((-1)/(2*'Cálculos Diversos'!$B$5))*(SQRT(SUMXMY2('Tabela Entrada-Saída'!$B$156:$O$156,'Coordenadas dos Polos'!$P$2:$AC$2)))^2)</f>
        <v>9.5583127379471625E-2</v>
      </c>
      <c r="C156">
        <f>EXP(((-1)/(2*'Cálculos Diversos'!$B$5))*(SQRT(SUMXMY2('Tabela Entrada-Saída'!$B$156:$O$156,'Coordenadas dos Polos'!$AD$2:$AQ$2)))^2)</f>
        <v>7.6581066351669104E-5</v>
      </c>
      <c r="D156">
        <f>EXP(((-1)/(2*'Cálculos Diversos'!$B$5))*(SQRT(SUMXMY2('Tabela Entrada-Saída'!$B$156:$O$156,'Coordenadas dos Polos'!$AR$2:$BE$2)))^2)</f>
        <v>2.7272939957742624E-5</v>
      </c>
      <c r="E156">
        <f>EXP(((-1)/(2*'Cálculos Diversos'!$B$5))*(SQRT(SUMXMY2('Tabela Entrada-Saída'!$B$156:$O$156,'Coordenadas dos Polos'!$BF$2:$BS$2)))^2)</f>
        <v>1.0239606213655451E-4</v>
      </c>
      <c r="F156">
        <f>EXP(((-1)/(2*'Cálculos Diversos'!$B$5))*(SQRT(SUMXMY2('Tabela Entrada-Saída'!$B$156:$O$156,'Coordenadas dos Polos'!$BT$2:$CG$2)))^2)</f>
        <v>2.6201868077953385E-6</v>
      </c>
      <c r="G156">
        <f>EXP(((-1)/(2*'Cálculos Diversos'!$B$5))*(SQRT(SUMXMY2('Tabela Entrada-Saída'!$B$156:$O$156,'Coordenadas dos Polos'!$CH$2:$CU$2)))^2)</f>
        <v>1.2732932907354966E-4</v>
      </c>
      <c r="H156">
        <f>EXP(((-1)/(2*'Cálculos Diversos'!$B$5))*(SQRT(SUMXMY2('Tabela Entrada-Saída'!$B$156:$O$156,'Coordenadas dos Polos'!$CV$2:$DI$2)))^2)</f>
        <v>5.995838371820646E-6</v>
      </c>
      <c r="I156">
        <f>EXP(((-1)/(2*'Cálculos Diversos'!$B$5))*(SQRT(SUMXMY2('Tabela Entrada-Saída'!$B$156:$O$156,'Coordenadas dos Polos'!$DJ$2:$DW$2)))^2)</f>
        <v>2.6682811656132796E-4</v>
      </c>
      <c r="J156">
        <f>EXP(((-1)/(2*'Cálculos Diversos'!$B$5))*(SQRT(SUMXMY2('Tabela Entrada-Saída'!$B$156:$O$156,'Coordenadas dos Polos'!$DX$2:$EK$2)))^2)</f>
        <v>1.023118310525488E-4</v>
      </c>
      <c r="K156">
        <f>EXP(((-1)/(2*'Cálculos Diversos'!$B$5))*(SQRT(SUMXMY2('Tabela Entrada-Saída'!$B$156:$O$156,'Coordenadas dos Polos'!$EL$2:$EY$2)))^2)</f>
        <v>4.301974759576467E-6</v>
      </c>
      <c r="L156">
        <f>EXP(((-1)/(2*'Cálculos Diversos'!$B$5))*(SQRT(SUMXMY2('Tabela Entrada-Saída'!$B$156:$O$156,'Coordenadas dos Polos'!$EZ$2:$FM$2)))^2)</f>
        <v>6.4039227938240371E-7</v>
      </c>
      <c r="M156">
        <f>EXP(((-1)/(2*'Cálculos Diversos'!$B$5))*(SQRT(SUMXMY2('Tabela Entrada-Saída'!$B$156:$O$156,'Coordenadas dos Polos'!$FN$2:$GA$2)))^2)</f>
        <v>1.2828842395667514E-5</v>
      </c>
      <c r="N156">
        <f>EXP(((-1)/(2*'Cálculos Diversos'!$B$5))*(SQRT(SUMXMY2('Tabela Entrada-Saída'!$B$156:$O$156,'Coordenadas dos Polos'!$GB$2:$GO$2)))^2)</f>
        <v>3.1691638793574777E-5</v>
      </c>
      <c r="O156">
        <f>EXP(((-1)/(2*'Cálculos Diversos'!$B$5))*(SQRT(SUMXMY2('Tabela Entrada-Saída'!$B$156:$O$156,'Coordenadas dos Polos'!$GP$2:$HC$2)))^2)</f>
        <v>2.6120628867338331E-6</v>
      </c>
      <c r="P156">
        <v>1</v>
      </c>
    </row>
    <row r="157" spans="1:16" x14ac:dyDescent="0.25">
      <c r="A157">
        <v>156</v>
      </c>
      <c r="B157">
        <f>EXP(((-1)/(2*'Cálculos Diversos'!$B$5))*(SQRT(SUMXMY2('Tabela Entrada-Saída'!$B$157:$O$157,'Coordenadas dos Polos'!$P$2:$AC$2)))^2)</f>
        <v>9.5272694323310356E-2</v>
      </c>
      <c r="C157">
        <f>EXP(((-1)/(2*'Cálculos Diversos'!$B$5))*(SQRT(SUMXMY2('Tabela Entrada-Saída'!$B$157:$O$157,'Coordenadas dos Polos'!$AD$2:$AQ$2)))^2)</f>
        <v>7.6500464094984518E-5</v>
      </c>
      <c r="D157">
        <f>EXP(((-1)/(2*'Cálculos Diversos'!$B$5))*(SQRT(SUMXMY2('Tabela Entrada-Saída'!$B$157:$O$157,'Coordenadas dos Polos'!$AR$2:$BE$2)))^2)</f>
        <v>2.7274938790041056E-5</v>
      </c>
      <c r="E157">
        <f>EXP(((-1)/(2*'Cálculos Diversos'!$B$5))*(SQRT(SUMXMY2('Tabela Entrada-Saída'!$B$157:$O$157,'Coordenadas dos Polos'!$BF$2:$BS$2)))^2)</f>
        <v>1.0215642647860811E-4</v>
      </c>
      <c r="F157">
        <f>EXP(((-1)/(2*'Cálculos Diversos'!$B$5))*(SQRT(SUMXMY2('Tabela Entrada-Saída'!$B$157:$O$157,'Coordenadas dos Polos'!$BT$2:$CG$2)))^2)</f>
        <v>2.6123642028274565E-6</v>
      </c>
      <c r="G157">
        <f>EXP(((-1)/(2*'Cálculos Diversos'!$B$5))*(SQRT(SUMXMY2('Tabela Entrada-Saída'!$B$157:$O$157,'Coordenadas dos Polos'!$CH$2:$CU$2)))^2)</f>
        <v>1.2730197659219334E-4</v>
      </c>
      <c r="H157">
        <f>EXP(((-1)/(2*'Cálculos Diversos'!$B$5))*(SQRT(SUMXMY2('Tabela Entrada-Saída'!$B$157:$O$157,'Coordenadas dos Polos'!$CV$2:$DI$2)))^2)</f>
        <v>5.9934295366329484E-6</v>
      </c>
      <c r="I157">
        <f>EXP(((-1)/(2*'Cálculos Diversos'!$B$5))*(SQRT(SUMXMY2('Tabela Entrada-Saída'!$B$157:$O$157,'Coordenadas dos Polos'!$DJ$2:$DW$2)))^2)</f>
        <v>2.6700351716409224E-4</v>
      </c>
      <c r="J157">
        <f>EXP(((-1)/(2*'Cálculos Diversos'!$B$5))*(SQRT(SUMXMY2('Tabela Entrada-Saída'!$B$157:$O$157,'Coordenadas dos Polos'!$DX$2:$EK$2)))^2)</f>
        <v>1.0225275589645906E-4</v>
      </c>
      <c r="K157">
        <f>EXP(((-1)/(2*'Cálculos Diversos'!$B$5))*(SQRT(SUMXMY2('Tabela Entrada-Saída'!$B$157:$O$157,'Coordenadas dos Polos'!$EL$2:$EY$2)))^2)</f>
        <v>4.3020554109804683E-6</v>
      </c>
      <c r="L157">
        <f>EXP(((-1)/(2*'Cálculos Diversos'!$B$5))*(SQRT(SUMXMY2('Tabela Entrada-Saída'!$B$157:$O$157,'Coordenadas dos Polos'!$EZ$2:$FM$2)))^2)</f>
        <v>6.3874848079654991E-7</v>
      </c>
      <c r="M157">
        <f>EXP(((-1)/(2*'Cálculos Diversos'!$B$5))*(SQRT(SUMXMY2('Tabela Entrada-Saída'!$B$157:$O$157,'Coordenadas dos Polos'!$FN$2:$GA$2)))^2)</f>
        <v>1.2798580911953887E-5</v>
      </c>
      <c r="N157">
        <f>EXP(((-1)/(2*'Cálculos Diversos'!$B$5))*(SQRT(SUMXMY2('Tabela Entrada-Saída'!$B$157:$O$157,'Coordenadas dos Polos'!$GB$2:$GO$2)))^2)</f>
        <v>3.1622479609359338E-5</v>
      </c>
      <c r="O157">
        <f>EXP(((-1)/(2*'Cálculos Diversos'!$B$5))*(SQRT(SUMXMY2('Tabela Entrada-Saída'!$B$157:$O$157,'Coordenadas dos Polos'!$GP$2:$HC$2)))^2)</f>
        <v>2.6071719986250816E-6</v>
      </c>
      <c r="P157">
        <v>1</v>
      </c>
    </row>
    <row r="158" spans="1:16" x14ac:dyDescent="0.25">
      <c r="A158">
        <v>157</v>
      </c>
      <c r="B158">
        <f>EXP(((-1)/(2*'Cálculos Diversos'!$B$5))*(SQRT(SUMXMY2('Tabela Entrada-Saída'!$B$158:$O$158,'Coordenadas dos Polos'!$P$2:$AC$2)))^2)</f>
        <v>9.4410870163474422E-2</v>
      </c>
      <c r="C158">
        <f>EXP(((-1)/(2*'Cálculos Diversos'!$B$5))*(SQRT(SUMXMY2('Tabela Entrada-Saída'!$B$158:$O$158,'Coordenadas dos Polos'!$AD$2:$AQ$2)))^2)</f>
        <v>7.6273858087784577E-5</v>
      </c>
      <c r="D158">
        <f>EXP(((-1)/(2*'Cálculos Diversos'!$B$5))*(SQRT(SUMXMY2('Tabela Entrada-Saída'!$B$158:$O$158,'Coordenadas dos Polos'!$AR$2:$BE$2)))^2)</f>
        <v>2.7279573812111332E-5</v>
      </c>
      <c r="E158">
        <f>EXP(((-1)/(2*'Cálculos Diversos'!$B$5))*(SQRT(SUMXMY2('Tabela Entrada-Saída'!$B$158:$O$158,'Coordenadas dos Polos'!$BF$2:$BS$2)))^2)</f>
        <v>1.0149003129329829E-4</v>
      </c>
      <c r="F158">
        <f>EXP(((-1)/(2*'Cálculos Diversos'!$B$5))*(SQRT(SUMXMY2('Tabela Entrada-Saída'!$B$158:$O$158,'Coordenadas dos Polos'!$BT$2:$CG$2)))^2)</f>
        <v>2.5907090057153002E-6</v>
      </c>
      <c r="G158">
        <f>EXP(((-1)/(2*'Cálculos Diversos'!$B$5))*(SQRT(SUMXMY2('Tabela Entrada-Saída'!$B$158:$O$158,'Coordenadas dos Polos'!$CH$2:$CU$2)))^2)</f>
        <v>1.2722590993462316E-4</v>
      </c>
      <c r="H158">
        <f>EXP(((-1)/(2*'Cálculos Diversos'!$B$5))*(SQRT(SUMXMY2('Tabela Entrada-Saída'!$B$158:$O$158,'Coordenadas dos Polos'!$CV$2:$DI$2)))^2)</f>
        <v>5.9863824296058493E-6</v>
      </c>
      <c r="I158">
        <f>EXP(((-1)/(2*'Cálculos Diversos'!$B$5))*(SQRT(SUMXMY2('Tabela Entrada-Saída'!$B$158:$O$158,'Coordenadas dos Polos'!$DJ$2:$DW$2)))^2)</f>
        <v>2.6748829593531258E-4</v>
      </c>
      <c r="J158">
        <f>EXP(((-1)/(2*'Cálculos Diversos'!$B$5))*(SQRT(SUMXMY2('Tabela Entrada-Saída'!$B$158:$O$158,'Coordenadas dos Polos'!$DX$2:$EK$2)))^2)</f>
        <v>1.0208887617919067E-4</v>
      </c>
      <c r="K158">
        <f>EXP(((-1)/(2*'Cálculos Diversos'!$B$5))*(SQRT(SUMXMY2('Tabela Entrada-Saída'!$B$158:$O$158,'Coordenadas dos Polos'!$EL$2:$EY$2)))^2)</f>
        <v>4.3020939341881659E-6</v>
      </c>
      <c r="L158">
        <f>EXP(((-1)/(2*'Cálculos Diversos'!$B$5))*(SQRT(SUMXMY2('Tabela Entrada-Saída'!$B$158:$O$158,'Coordenadas dos Polos'!$EZ$2:$FM$2)))^2)</f>
        <v>6.3418578994732304E-7</v>
      </c>
      <c r="M158">
        <f>EXP(((-1)/(2*'Cálculos Diversos'!$B$5))*(SQRT(SUMXMY2('Tabela Entrada-Saída'!$B$158:$O$158,'Coordenadas dos Polos'!$FN$2:$GA$2)))^2)</f>
        <v>1.2714345810896158E-5</v>
      </c>
      <c r="N158">
        <f>EXP(((-1)/(2*'Cálculos Diversos'!$B$5))*(SQRT(SUMXMY2('Tabela Entrada-Saída'!$B$158:$O$158,'Coordenadas dos Polos'!$GB$2:$GO$2)))^2)</f>
        <v>3.1429083316873637E-5</v>
      </c>
      <c r="O158">
        <f>EXP(((-1)/(2*'Cálculos Diversos'!$B$5))*(SQRT(SUMXMY2('Tabela Entrada-Saída'!$B$158:$O$158,'Coordenadas dos Polos'!$GP$2:$HC$2)))^2)</f>
        <v>2.5935905981339909E-6</v>
      </c>
      <c r="P158">
        <v>1</v>
      </c>
    </row>
    <row r="159" spans="1:16" x14ac:dyDescent="0.25">
      <c r="A159">
        <v>158</v>
      </c>
      <c r="B159">
        <f>EXP(((-1)/(2*'Cálculos Diversos'!$B$5))*(SQRT(SUMXMY2('Tabela Entrada-Saída'!$B$159:$O$159,'Coordenadas dos Polos'!$P$2:$AC$2)))^2)</f>
        <v>9.4815663908169437E-2</v>
      </c>
      <c r="C159">
        <f>EXP(((-1)/(2*'Cálculos Diversos'!$B$5))*(SQRT(SUMXMY2('Tabela Entrada-Saída'!$B$159:$O$159,'Coordenadas dos Polos'!$AD$2:$AQ$2)))^2)</f>
        <v>7.6378305242289675E-5</v>
      </c>
      <c r="D159">
        <f>EXP(((-1)/(2*'Cálculos Diversos'!$B$5))*(SQRT(SUMXMY2('Tabela Entrada-Saída'!$B$159:$O$159,'Coordenadas dos Polos'!$AR$2:$BE$2)))^2)</f>
        <v>2.7276996044468016E-5</v>
      </c>
      <c r="E159">
        <f>EXP(((-1)/(2*'Cálculos Diversos'!$B$5))*(SQRT(SUMXMY2('Tabela Entrada-Saída'!$B$159:$O$159,'Coordenadas dos Polos'!$BF$2:$BS$2)))^2)</f>
        <v>1.0180245545625557E-4</v>
      </c>
      <c r="F159">
        <f>EXP(((-1)/(2*'Cálculos Diversos'!$B$5))*(SQRT(SUMXMY2('Tabela Entrada-Saída'!$B$159:$O$159,'Coordenadas dos Polos'!$BT$2:$CG$2)))^2)</f>
        <v>2.6008459518820329E-6</v>
      </c>
      <c r="G159">
        <f>EXP(((-1)/(2*'Cálculos Diversos'!$B$5))*(SQRT(SUMXMY2('Tabela Entrada-Saída'!$B$159:$O$159,'Coordenadas dos Polos'!$CH$2:$CU$2)))^2)</f>
        <v>1.2725988666918239E-4</v>
      </c>
      <c r="H159">
        <f>EXP(((-1)/(2*'Cálculos Diversos'!$B$5))*(SQRT(SUMXMY2('Tabela Entrada-Saída'!$B$159:$O$159,'Coordenadas dos Polos'!$CV$2:$DI$2)))^2)</f>
        <v>5.9894124930960807E-6</v>
      </c>
      <c r="I159">
        <f>EXP(((-1)/(2*'Cálculos Diversos'!$B$5))*(SQRT(SUMXMY2('Tabela Entrada-Saída'!$B$159:$O$159,'Coordenadas dos Polos'!$DJ$2:$DW$2)))^2)</f>
        <v>2.6726075129177907E-4</v>
      </c>
      <c r="J159">
        <f>EXP(((-1)/(2*'Cálculos Diversos'!$B$5))*(SQRT(SUMXMY2('Tabela Entrada-Saída'!$B$159:$O$159,'Coordenadas dos Polos'!$DX$2:$EK$2)))^2)</f>
        <v>1.0216253198292324E-4</v>
      </c>
      <c r="K159">
        <f>EXP(((-1)/(2*'Cálculos Diversos'!$B$5))*(SQRT(SUMXMY2('Tabela Entrada-Saída'!$B$159:$O$159,'Coordenadas dos Polos'!$EL$2:$EY$2)))^2)</f>
        <v>4.3019800088297983E-6</v>
      </c>
      <c r="L159">
        <f>EXP(((-1)/(2*'Cálculos Diversos'!$B$5))*(SQRT(SUMXMY2('Tabela Entrada-Saída'!$B$159:$O$159,'Coordenadas dos Polos'!$EZ$2:$FM$2)))^2)</f>
        <v>6.3631630199844136E-7</v>
      </c>
      <c r="M159">
        <f>EXP(((-1)/(2*'Cálculos Diversos'!$B$5))*(SQRT(SUMXMY2('Tabela Entrada-Saída'!$B$159:$O$159,'Coordenadas dos Polos'!$FN$2:$GA$2)))^2)</f>
        <v>1.2753721118931183E-5</v>
      </c>
      <c r="N159">
        <f>EXP(((-1)/(2*'Cálculos Diversos'!$B$5))*(SQRT(SUMXMY2('Tabela Entrada-Saída'!$B$159:$O$159,'Coordenadas dos Polos'!$GB$2:$GO$2)))^2)</f>
        <v>3.1518579184984843E-5</v>
      </c>
      <c r="O159">
        <f>EXP(((-1)/(2*'Cálculos Diversos'!$B$5))*(SQRT(SUMXMY2('Tabela Entrada-Saída'!$B$159:$O$159,'Coordenadas dos Polos'!$GP$2:$HC$2)))^2)</f>
        <v>2.5999608856091458E-6</v>
      </c>
      <c r="P159">
        <v>1</v>
      </c>
    </row>
    <row r="160" spans="1:16" x14ac:dyDescent="0.25">
      <c r="A160">
        <v>159</v>
      </c>
      <c r="B160">
        <f>EXP(((-1)/(2*'Cálculos Diversos'!$B$5))*(SQRT(SUMXMY2('Tabela Entrada-Saída'!$B$160:$O$160,'Coordenadas dos Polos'!$P$2:$AC$2)))^2)</f>
        <v>9.5394364554915512E-2</v>
      </c>
      <c r="C160">
        <f>EXP(((-1)/(2*'Cálculos Diversos'!$B$5))*(SQRT(SUMXMY2('Tabela Entrada-Saída'!$B$160:$O$160,'Coordenadas dos Polos'!$AD$2:$AQ$2)))^2)</f>
        <v>7.6533955652985017E-5</v>
      </c>
      <c r="D160">
        <f>EXP(((-1)/(2*'Cálculos Diversos'!$B$5))*(SQRT(SUMXMY2('Tabela Entrada-Saída'!$B$160:$O$160,'Coordenadas dos Polos'!$AR$2:$BE$2)))^2)</f>
        <v>2.7274673123172154E-5</v>
      </c>
      <c r="E160">
        <f>EXP(((-1)/(2*'Cálculos Diversos'!$B$5))*(SQRT(SUMXMY2('Tabela Entrada-Saída'!$B$160:$O$160,'Coordenadas dos Polos'!$BF$2:$BS$2)))^2)</f>
        <v>1.0225112696811935E-4</v>
      </c>
      <c r="F160">
        <f>EXP(((-1)/(2*'Cálculos Diversos'!$B$5))*(SQRT(SUMXMY2('Tabela Entrada-Saída'!$B$160:$O$160,'Coordenadas dos Polos'!$BT$2:$CG$2)))^2)</f>
        <v>2.6154512798164074E-6</v>
      </c>
      <c r="G160">
        <f>EXP(((-1)/(2*'Cálculos Diversos'!$B$5))*(SQRT(SUMXMY2('Tabela Entrada-Saída'!$B$160:$O$160,'Coordenadas dos Polos'!$CH$2:$CU$2)))^2)</f>
        <v>1.2731408314575608E-4</v>
      </c>
      <c r="H160">
        <f>EXP(((-1)/(2*'Cálculos Diversos'!$B$5))*(SQRT(SUMXMY2('Tabela Entrada-Saída'!$B$160:$O$160,'Coordenadas dos Polos'!$CV$2:$DI$2)))^2)</f>
        <v>5.9946356501559977E-6</v>
      </c>
      <c r="I160">
        <f>EXP(((-1)/(2*'Cálculos Diversos'!$B$5))*(SQRT(SUMXMY2('Tabela Entrada-Saída'!$B$160:$O$160,'Coordenadas dos Polos'!$DJ$2:$DW$2)))^2)</f>
        <v>2.6693597284944829E-4</v>
      </c>
      <c r="J160">
        <f>EXP(((-1)/(2*'Cálculos Diversos'!$B$5))*(SQRT(SUMXMY2('Tabela Entrada-Saída'!$B$160:$O$160,'Coordenadas dos Polos'!$DX$2:$EK$2)))^2)</f>
        <v>1.022781387111442E-4</v>
      </c>
      <c r="K160">
        <f>EXP(((-1)/(2*'Cálculos Diversos'!$B$5))*(SQRT(SUMXMY2('Tabela Entrada-Saída'!$B$160:$O$160,'Coordenadas dos Polos'!$EL$2:$EY$2)))^2)</f>
        <v>4.3021281184151025E-6</v>
      </c>
      <c r="L160">
        <f>EXP(((-1)/(2*'Cálculos Diversos'!$B$5))*(SQRT(SUMXMY2('Tabela Entrada-Saída'!$B$160:$O$160,'Coordenadas dos Polos'!$EZ$2:$FM$2)))^2)</f>
        <v>6.3940369064103031E-7</v>
      </c>
      <c r="M160">
        <f>EXP(((-1)/(2*'Cálculos Diversos'!$B$5))*(SQRT(SUMXMY2('Tabela Entrada-Saída'!$B$160:$O$160,'Coordenadas dos Polos'!$FN$2:$GA$2)))^2)</f>
        <v>1.281063083910801E-5</v>
      </c>
      <c r="N160">
        <f>EXP(((-1)/(2*'Cálculos Diversos'!$B$5))*(SQRT(SUMXMY2('Tabela Entrada-Saída'!$B$160:$O$160,'Coordenadas dos Polos'!$GB$2:$GO$2)))^2)</f>
        <v>3.1650810936182141E-5</v>
      </c>
      <c r="O160">
        <f>EXP(((-1)/(2*'Cálculos Diversos'!$B$5))*(SQRT(SUMXMY2('Tabela Entrada-Saída'!$B$160:$O$160,'Coordenadas dos Polos'!$GP$2:$HC$2)))^2)</f>
        <v>2.6091011816504511E-6</v>
      </c>
      <c r="P160">
        <v>1</v>
      </c>
    </row>
    <row r="161" spans="1:16" x14ac:dyDescent="0.25">
      <c r="A161">
        <v>160</v>
      </c>
      <c r="B161">
        <f>EXP(((-1)/(2*'Cálculos Diversos'!$B$5))*(SQRT(SUMXMY2('Tabela Entrada-Saída'!$B$161:$O$161,'Coordenadas dos Polos'!$P$2:$AC$2)))^2)</f>
        <v>9.4905497103465838E-2</v>
      </c>
      <c r="C161">
        <f>EXP(((-1)/(2*'Cálculos Diversos'!$B$5))*(SQRT(SUMXMY2('Tabela Entrada-Saída'!$B$161:$O$161,'Coordenadas dos Polos'!$AD$2:$AQ$2)))^2)</f>
        <v>7.6403681944665336E-5</v>
      </c>
      <c r="D161">
        <f>EXP(((-1)/(2*'Cálculos Diversos'!$B$5))*(SQRT(SUMXMY2('Tabela Entrada-Saída'!$B$161:$O$161,'Coordenadas dos Polos'!$AR$2:$BE$2)))^2)</f>
        <v>2.7276925779973421E-5</v>
      </c>
      <c r="E161">
        <f>EXP(((-1)/(2*'Cálculos Diversos'!$B$5))*(SQRT(SUMXMY2('Tabela Entrada-Saída'!$B$161:$O$161,'Coordenadas dos Polos'!$BF$2:$BS$2)))^2)</f>
        <v>1.018724196122998E-4</v>
      </c>
      <c r="F161">
        <f>EXP(((-1)/(2*'Cálculos Diversos'!$B$5))*(SQRT(SUMXMY2('Tabela Entrada-Saída'!$B$161:$O$161,'Coordenadas dos Polos'!$BT$2:$CG$2)))^2)</f>
        <v>2.6031121784790387E-6</v>
      </c>
      <c r="G161">
        <f>EXP(((-1)/(2*'Cálculos Diversos'!$B$5))*(SQRT(SUMXMY2('Tabela Entrada-Saída'!$B$161:$O$161,'Coordenadas dos Polos'!$CH$2:$CU$2)))^2)</f>
        <v>1.2726886471722425E-4</v>
      </c>
      <c r="H161">
        <f>EXP(((-1)/(2*'Cálculos Diversos'!$B$5))*(SQRT(SUMXMY2('Tabela Entrada-Saída'!$B$161:$O$161,'Coordenadas dos Polos'!$CV$2:$DI$2)))^2)</f>
        <v>5.990397113807033E-6</v>
      </c>
      <c r="I161">
        <f>EXP(((-1)/(2*'Cálculos Diversos'!$B$5))*(SQRT(SUMXMY2('Tabela Entrada-Saída'!$B$161:$O$161,'Coordenadas dos Polos'!$DJ$2:$DW$2)))^2)</f>
        <v>2.6721023820976483E-4</v>
      </c>
      <c r="J161">
        <f>EXP(((-1)/(2*'Cálculos Diversos'!$B$5))*(SQRT(SUMXMY2('Tabela Entrada-Saída'!$B$161:$O$161,'Coordenadas dos Polos'!$DX$2:$EK$2)))^2)</f>
        <v>1.0218169851470891E-4</v>
      </c>
      <c r="K161">
        <f>EXP(((-1)/(2*'Cálculos Diversos'!$B$5))*(SQRT(SUMXMY2('Tabela Entrada-Saída'!$B$161:$O$161,'Coordenadas dos Polos'!$EL$2:$EY$2)))^2)</f>
        <v>4.3020735886596661E-6</v>
      </c>
      <c r="L161">
        <f>EXP(((-1)/(2*'Cálculos Diversos'!$B$5))*(SQRT(SUMXMY2('Tabela Entrada-Saída'!$B$161:$O$161,'Coordenadas dos Polos'!$EZ$2:$FM$2)))^2)</f>
        <v>6.3679977010900774E-7</v>
      </c>
      <c r="M161">
        <f>EXP(((-1)/(2*'Cálculos Diversos'!$B$5))*(SQRT(SUMXMY2('Tabela Entrada-Saída'!$B$161:$O$161,'Coordenadas dos Polos'!$FN$2:$GA$2)))^2)</f>
        <v>1.276265396112868E-5</v>
      </c>
      <c r="N161">
        <f>EXP(((-1)/(2*'Cálculos Diversos'!$B$5))*(SQRT(SUMXMY2('Tabela Entrada-Saída'!$B$161:$O$161,'Coordenadas dos Polos'!$GB$2:$GO$2)))^2)</f>
        <v>3.1539892471036232E-5</v>
      </c>
      <c r="O161">
        <f>EXP(((-1)/(2*'Cálculos Diversos'!$B$5))*(SQRT(SUMXMY2('Tabela Entrada-Saída'!$B$161:$O$161,'Coordenadas dos Polos'!$GP$2:$HC$2)))^2)</f>
        <v>2.6013807844507464E-6</v>
      </c>
      <c r="P161">
        <v>1</v>
      </c>
    </row>
    <row r="162" spans="1:16" x14ac:dyDescent="0.25">
      <c r="A162">
        <v>161</v>
      </c>
      <c r="B162">
        <f>EXP(((-1)/(2*'Cálculos Diversos'!$B$5))*(SQRT(SUMXMY2('Tabela Entrada-Saída'!$B$162:$O$162,'Coordenadas dos Polos'!$P$2:$AC$2)))^2)</f>
        <v>9.5521428195316713E-2</v>
      </c>
      <c r="C162">
        <f>EXP(((-1)/(2*'Cálculos Diversos'!$B$5))*(SQRT(SUMXMY2('Tabela Entrada-Saída'!$B$162:$O$162,'Coordenadas dos Polos'!$AD$2:$AQ$2)))^2)</f>
        <v>7.6566922385273194E-5</v>
      </c>
      <c r="D162">
        <f>EXP(((-1)/(2*'Cálculos Diversos'!$B$5))*(SQRT(SUMXMY2('Tabela Entrada-Saída'!$B$162:$O$162,'Coordenadas dos Polos'!$AR$2:$BE$2)))^2)</f>
        <v>2.7273893644791133E-5</v>
      </c>
      <c r="E162">
        <f>EXP(((-1)/(2*'Cálculos Diversos'!$B$5))*(SQRT(SUMXMY2('Tabela Entrada-Saída'!$B$162:$O$162,'Coordenadas dos Polos'!$BF$2:$BS$2)))^2)</f>
        <v>1.0234911334794043E-4</v>
      </c>
      <c r="F162">
        <f>EXP(((-1)/(2*'Cálculos Diversos'!$B$5))*(SQRT(SUMXMY2('Tabela Entrada-Saída'!$B$162:$O$162,'Coordenadas dos Polos'!$BT$2:$CG$2)))^2)</f>
        <v>2.618653242939642E-6</v>
      </c>
      <c r="G162">
        <f>EXP(((-1)/(2*'Cálculos Diversos'!$B$5))*(SQRT(SUMXMY2('Tabela Entrada-Saída'!$B$162:$O$162,'Coordenadas dos Polos'!$CH$2:$CU$2)))^2)</f>
        <v>1.2732493904438243E-4</v>
      </c>
      <c r="H162">
        <f>EXP(((-1)/(2*'Cálculos Diversos'!$B$5))*(SQRT(SUMXMY2('Tabela Entrada-Saída'!$B$162:$O$162,'Coordenadas dos Polos'!$CV$2:$DI$2)))^2)</f>
        <v>5.9956279127154356E-6</v>
      </c>
      <c r="I162">
        <f>EXP(((-1)/(2*'Cálculos Diversos'!$B$5))*(SQRT(SUMXMY2('Tabela Entrada-Saída'!$B$162:$O$162,'Coordenadas dos Polos'!$DJ$2:$DW$2)))^2)</f>
        <v>2.6686429995706077E-4</v>
      </c>
      <c r="J162">
        <f>EXP(((-1)/(2*'Cálculos Diversos'!$B$5))*(SQRT(SUMXMY2('Tabela Entrada-Saída'!$B$162:$O$162,'Coordenadas dos Polos'!$DX$2:$EK$2)))^2)</f>
        <v>1.0230237665471523E-4</v>
      </c>
      <c r="K162">
        <f>EXP(((-1)/(2*'Cálculos Diversos'!$B$5))*(SQRT(SUMXMY2('Tabela Entrada-Saída'!$B$162:$O$162,'Coordenadas dos Polos'!$EL$2:$EY$2)))^2)</f>
        <v>4.3020928593407744E-6</v>
      </c>
      <c r="L162">
        <f>EXP(((-1)/(2*'Cálculos Diversos'!$B$5))*(SQRT(SUMXMY2('Tabela Entrada-Saída'!$B$162:$O$162,'Coordenadas dos Polos'!$EZ$2:$FM$2)))^2)</f>
        <v>6.4007666275102606E-7</v>
      </c>
      <c r="M162">
        <f>EXP(((-1)/(2*'Cálculos Diversos'!$B$5))*(SQRT(SUMXMY2('Tabela Entrada-Saída'!$B$162:$O$162,'Coordenadas dos Polos'!$FN$2:$GA$2)))^2)</f>
        <v>1.2823016335673065E-5</v>
      </c>
      <c r="N162">
        <f>EXP(((-1)/(2*'Cálculos Diversos'!$B$5))*(SQRT(SUMXMY2('Tabela Entrada-Saída'!$B$162:$O$162,'Coordenadas dos Polos'!$GB$2:$GO$2)))^2)</f>
        <v>3.1679117465749997E-5</v>
      </c>
      <c r="O162">
        <f>EXP(((-1)/(2*'Cálculos Diversos'!$B$5))*(SQRT(SUMXMY2('Tabela Entrada-Saída'!$B$162:$O$162,'Coordenadas dos Polos'!$GP$2:$HC$2)))^2)</f>
        <v>2.6110970239029115E-6</v>
      </c>
      <c r="P162">
        <v>1</v>
      </c>
    </row>
    <row r="163" spans="1:16" x14ac:dyDescent="0.25">
      <c r="A163">
        <v>162</v>
      </c>
      <c r="B163">
        <f>EXP(((-1)/(2*'Cálculos Diversos'!$B$5))*(SQRT(SUMXMY2('Tabela Entrada-Saída'!$B$163:$O$163,'Coordenadas dos Polos'!$P$2:$AC$2)))^2)</f>
        <v>9.5079769026628708E-2</v>
      </c>
      <c r="C163">
        <f>EXP(((-1)/(2*'Cálculos Diversos'!$B$5))*(SQRT(SUMXMY2('Tabela Entrada-Saída'!$B$163:$O$163,'Coordenadas dos Polos'!$AD$2:$AQ$2)))^2)</f>
        <v>7.6448201652513193E-5</v>
      </c>
      <c r="D163">
        <f>EXP(((-1)/(2*'Cálculos Diversos'!$B$5))*(SQRT(SUMXMY2('Tabela Entrada-Saída'!$B$163:$O$163,'Coordenadas dos Polos'!$AR$2:$BE$2)))^2)</f>
        <v>2.7275657772413705E-5</v>
      </c>
      <c r="E163">
        <f>EXP(((-1)/(2*'Cálculos Diversos'!$B$5))*(SQRT(SUMXMY2('Tabela Entrada-Saída'!$B$163:$O$163,'Coordenadas dos Polos'!$BF$2:$BS$2)))^2)</f>
        <v>1.0200729828169589E-4</v>
      </c>
      <c r="F163">
        <f>EXP(((-1)/(2*'Cálculos Diversos'!$B$5))*(SQRT(SUMXMY2('Tabela Entrada-Saída'!$B$163:$O$163,'Coordenadas dos Polos'!$BT$2:$CG$2)))^2)</f>
        <v>2.6075192714503083E-6</v>
      </c>
      <c r="G163">
        <f>EXP(((-1)/(2*'Cálculos Diversos'!$B$5))*(SQRT(SUMXMY2('Tabela Entrada-Saída'!$B$163:$O$163,'Coordenadas dos Polos'!$CH$2:$CU$2)))^2)</f>
        <v>1.2728456002189024E-4</v>
      </c>
      <c r="H163">
        <f>EXP(((-1)/(2*'Cálculos Diversos'!$B$5))*(SQRT(SUMXMY2('Tabela Entrada-Saída'!$B$163:$O$163,'Coordenadas dos Polos'!$CV$2:$DI$2)))^2)</f>
        <v>5.9915941889428951E-6</v>
      </c>
      <c r="I163">
        <f>EXP(((-1)/(2*'Cálculos Diversos'!$B$5))*(SQRT(SUMXMY2('Tabela Entrada-Saída'!$B$163:$O$163,'Coordenadas dos Polos'!$DJ$2:$DW$2)))^2)</f>
        <v>2.671133391556552E-4</v>
      </c>
      <c r="J163">
        <f>EXP(((-1)/(2*'Cálculos Diversos'!$B$5))*(SQRT(SUMXMY2('Tabela Entrada-Saída'!$B$163:$O$163,'Coordenadas dos Polos'!$DX$2:$EK$2)))^2)</f>
        <v>1.0221434500923339E-4</v>
      </c>
      <c r="K163">
        <f>EXP(((-1)/(2*'Cálculos Diversos'!$B$5))*(SQRT(SUMXMY2('Tabela Entrada-Saída'!$B$163:$O$163,'Coordenadas dos Polos'!$EL$2:$EY$2)))^2)</f>
        <v>4.3019757885065303E-6</v>
      </c>
      <c r="L163">
        <f>EXP(((-1)/(2*'Cálculos Diversos'!$B$5))*(SQRT(SUMXMY2('Tabela Entrada-Saída'!$B$163:$O$163,'Coordenadas dos Polos'!$EZ$2:$FM$2)))^2)</f>
        <v>6.3772250919468763E-7</v>
      </c>
      <c r="M163">
        <f>EXP(((-1)/(2*'Cálculos Diversos'!$B$5))*(SQRT(SUMXMY2('Tabela Entrada-Saída'!$B$163:$O$163,'Coordenadas dos Polos'!$FN$2:$GA$2)))^2)</f>
        <v>1.2779623780869659E-5</v>
      </c>
      <c r="N163">
        <f>EXP(((-1)/(2*'Cálculos Diversos'!$B$5))*(SQRT(SUMXMY2('Tabela Entrada-Saída'!$B$163:$O$163,'Coordenadas dos Polos'!$GB$2:$GO$2)))^2)</f>
        <v>3.1578003518973912E-5</v>
      </c>
      <c r="O163">
        <f>EXP(((-1)/(2*'Cálculos Diversos'!$B$5))*(SQRT(SUMXMY2('Tabela Entrada-Saída'!$B$163:$O$163,'Coordenadas dos Polos'!$GP$2:$HC$2)))^2)</f>
        <v>2.6041459819421387E-6</v>
      </c>
      <c r="P163">
        <v>1</v>
      </c>
    </row>
    <row r="164" spans="1:16" x14ac:dyDescent="0.25">
      <c r="A164">
        <v>163</v>
      </c>
      <c r="B164">
        <f>EXP(((-1)/(2*'Cálculos Diversos'!$B$5))*(SQRT(SUMXMY2('Tabela Entrada-Saída'!$B$164:$O$164,'Coordenadas dos Polos'!$P$2:$AC$2)))^2)</f>
        <v>9.4483286452059112E-2</v>
      </c>
      <c r="C164">
        <f>EXP(((-1)/(2*'Cálculos Diversos'!$B$5))*(SQRT(SUMXMY2('Tabela Entrada-Saída'!$B$164:$O$164,'Coordenadas dos Polos'!$AD$2:$AQ$2)))^2)</f>
        <v>7.6292723827498299E-5</v>
      </c>
      <c r="D164">
        <f>EXP(((-1)/(2*'Cálculos Diversos'!$B$5))*(SQRT(SUMXMY2('Tabela Entrada-Saída'!$B$164:$O$164,'Coordenadas dos Polos'!$AR$2:$BE$2)))^2)</f>
        <v>2.7279274058074324E-5</v>
      </c>
      <c r="E164">
        <f>EXP(((-1)/(2*'Cálculos Diversos'!$B$5))*(SQRT(SUMXMY2('Tabela Entrada-Saída'!$B$164:$O$164,'Coordenadas dos Polos'!$BF$2:$BS$2)))^2)</f>
        <v>1.0154572449622764E-4</v>
      </c>
      <c r="F164">
        <f>EXP(((-1)/(2*'Cálculos Diversos'!$B$5))*(SQRT(SUMXMY2('Tabela Entrada-Saída'!$B$164:$O$164,'Coordenadas dos Polos'!$BT$2:$CG$2)))^2)</f>
        <v>2.5924889244672147E-6</v>
      </c>
      <c r="G164">
        <f>EXP(((-1)/(2*'Cálculos Diversos'!$B$5))*(SQRT(SUMXMY2('Tabela Entrada-Saída'!$B$164:$O$164,'Coordenadas dos Polos'!$CH$2:$CU$2)))^2)</f>
        <v>1.2723095198794766E-4</v>
      </c>
      <c r="H164">
        <f>EXP(((-1)/(2*'Cálculos Diversos'!$B$5))*(SQRT(SUMXMY2('Tabela Entrada-Saída'!$B$164:$O$164,'Coordenadas dos Polos'!$CV$2:$DI$2)))^2)</f>
        <v>5.9869888560521144E-6</v>
      </c>
      <c r="I164">
        <f>EXP(((-1)/(2*'Cálculos Diversos'!$B$5))*(SQRT(SUMXMY2('Tabela Entrada-Saída'!$B$164:$O$164,'Coordenadas dos Polos'!$DJ$2:$DW$2)))^2)</f>
        <v>2.6744758423396907E-4</v>
      </c>
      <c r="J164">
        <f>EXP(((-1)/(2*'Cálculos Diversos'!$B$5))*(SQRT(SUMXMY2('Tabela Entrada-Saída'!$B$164:$O$164,'Coordenadas dos Polos'!$DX$2:$EK$2)))^2)</f>
        <v>1.0210088662729452E-4</v>
      </c>
      <c r="K164">
        <f>EXP(((-1)/(2*'Cálculos Diversos'!$B$5))*(SQRT(SUMXMY2('Tabela Entrada-Saída'!$B$164:$O$164,'Coordenadas dos Polos'!$EL$2:$EY$2)))^2)</f>
        <v>4.302112774744773E-6</v>
      </c>
      <c r="L164">
        <f>EXP(((-1)/(2*'Cálculos Diversos'!$B$5))*(SQRT(SUMXMY2('Tabela Entrada-Saída'!$B$164:$O$164,'Coordenadas dos Polos'!$EZ$2:$FM$2)))^2)</f>
        <v>6.3456311088616125E-7</v>
      </c>
      <c r="M164">
        <f>EXP(((-1)/(2*'Cálculos Diversos'!$B$5))*(SQRT(SUMXMY2('Tabela Entrada-Saída'!$B$164:$O$164,'Coordenadas dos Polos'!$FN$2:$GA$2)))^2)</f>
        <v>1.2721373567156059E-5</v>
      </c>
      <c r="N164">
        <f>EXP(((-1)/(2*'Cálculos Diversos'!$B$5))*(SQRT(SUMXMY2('Tabela Entrada-Saída'!$B$164:$O$164,'Coordenadas dos Polos'!$GB$2:$GO$2)))^2)</f>
        <v>3.1445333056886765E-5</v>
      </c>
      <c r="O164">
        <f>EXP(((-1)/(2*'Cálculos Diversos'!$B$5))*(SQRT(SUMXMY2('Tabela Entrada-Saída'!$B$164:$O$164,'Coordenadas dos Polos'!$GP$2:$HC$2)))^2)</f>
        <v>2.5947140562152616E-6</v>
      </c>
      <c r="P164">
        <v>1</v>
      </c>
    </row>
    <row r="165" spans="1:16" x14ac:dyDescent="0.25">
      <c r="A165">
        <v>164</v>
      </c>
      <c r="B165">
        <f>EXP(((-1)/(2*'Cálculos Diversos'!$B$5))*(SQRT(SUMXMY2('Tabela Entrada-Saída'!$B$165:$O$165,'Coordenadas dos Polos'!$P$2:$AC$2)))^2)</f>
        <v>9.5189395987927972E-2</v>
      </c>
      <c r="C165">
        <f>EXP(((-1)/(2*'Cálculos Diversos'!$B$5))*(SQRT(SUMXMY2('Tabela Entrada-Saída'!$B$165:$O$165,'Coordenadas dos Polos'!$AD$2:$AQ$2)))^2)</f>
        <v>7.6478840531735896E-5</v>
      </c>
      <c r="D165">
        <f>EXP(((-1)/(2*'Cálculos Diversos'!$B$5))*(SQRT(SUMXMY2('Tabela Entrada-Saída'!$B$165:$O$165,'Coordenadas dos Polos'!$AR$2:$BE$2)))^2)</f>
        <v>2.7275551827443084E-5</v>
      </c>
      <c r="E165">
        <f>EXP(((-1)/(2*'Cálculos Diversos'!$B$5))*(SQRT(SUMXMY2('Tabela Entrada-Saída'!$B$165:$O$165,'Coordenadas dos Polos'!$BF$2:$BS$2)))^2)</f>
        <v>1.0209229900773906E-4</v>
      </c>
      <c r="F165">
        <f>EXP(((-1)/(2*'Cálculos Diversos'!$B$5))*(SQRT(SUMXMY2('Tabela Entrada-Saída'!$B$165:$O$165,'Coordenadas dos Polos'!$BT$2:$CG$2)))^2)</f>
        <v>2.610268425424856E-6</v>
      </c>
      <c r="G165">
        <f>EXP(((-1)/(2*'Cálculos Diversos'!$B$5))*(SQRT(SUMXMY2('Tabela Entrada-Saída'!$B$165:$O$165,'Coordenadas dos Polos'!$CH$2:$CU$2)))^2)</f>
        <v>1.2729462573077318E-4</v>
      </c>
      <c r="H165">
        <f>EXP(((-1)/(2*'Cálculos Diversos'!$B$5))*(SQRT(SUMXMY2('Tabela Entrada-Saída'!$B$165:$O$165,'Coordenadas dos Polos'!$CV$2:$DI$2)))^2)</f>
        <v>5.9927833699369673E-6</v>
      </c>
      <c r="I165">
        <f>EXP(((-1)/(2*'Cálculos Diversos'!$B$5))*(SQRT(SUMXMY2('Tabela Entrada-Saída'!$B$165:$O$165,'Coordenadas dos Polos'!$DJ$2:$DW$2)))^2)</f>
        <v>2.6705145078600014E-4</v>
      </c>
      <c r="J165">
        <f>EXP(((-1)/(2*'Cálculos Diversos'!$B$5))*(SQRT(SUMXMY2('Tabela Entrada-Saída'!$B$165:$O$165,'Coordenadas dos Polos'!$DX$2:$EK$2)))^2)</f>
        <v>1.0223677308771543E-4</v>
      </c>
      <c r="K165">
        <f>EXP(((-1)/(2*'Cálculos Diversos'!$B$5))*(SQRT(SUMXMY2('Tabela Entrada-Saída'!$B$165:$O$165,'Coordenadas dos Polos'!$EL$2:$EY$2)))^2)</f>
        <v>4.302084267052337E-6</v>
      </c>
      <c r="L165">
        <f>EXP(((-1)/(2*'Cálculos Diversos'!$B$5))*(SQRT(SUMXMY2('Tabela Entrada-Saída'!$B$165:$O$165,'Coordenadas dos Polos'!$EZ$2:$FM$2)))^2)</f>
        <v>6.3830898007241503E-7</v>
      </c>
      <c r="M165">
        <f>EXP(((-1)/(2*'Cálculos Diversos'!$B$5))*(SQRT(SUMXMY2('Tabela Entrada-Saída'!$B$165:$O$165,'Coordenadas dos Polos'!$FN$2:$GA$2)))^2)</f>
        <v>1.2790475874934405E-5</v>
      </c>
      <c r="N165">
        <f>EXP(((-1)/(2*'Cálculos Diversos'!$B$5))*(SQRT(SUMXMY2('Tabela Entrada-Saída'!$B$165:$O$165,'Coordenadas dos Polos'!$GB$2:$GO$2)))^2)</f>
        <v>3.1603928954404809E-5</v>
      </c>
      <c r="O165">
        <f>EXP(((-1)/(2*'Cálculos Diversos'!$B$5))*(SQRT(SUMXMY2('Tabela Entrada-Saída'!$B$165:$O$165,'Coordenadas dos Polos'!$GP$2:$HC$2)))^2)</f>
        <v>2.605863588176697E-6</v>
      </c>
      <c r="P165">
        <v>1</v>
      </c>
    </row>
    <row r="166" spans="1:16" x14ac:dyDescent="0.25">
      <c r="A166">
        <v>165</v>
      </c>
      <c r="B166">
        <f>EXP(((-1)/(2*'Cálculos Diversos'!$B$5))*(SQRT(SUMXMY2('Tabela Entrada-Saída'!$B$166:$O$166,'Coordenadas dos Polos'!$P$2:$AC$2)))^2)</f>
        <v>9.4636912599788695E-2</v>
      </c>
      <c r="C166">
        <f>EXP(((-1)/(2*'Cálculos Diversos'!$B$5))*(SQRT(SUMXMY2('Tabela Entrada-Saída'!$B$166:$O$166,'Coordenadas dos Polos'!$AD$2:$AQ$2)))^2)</f>
        <v>7.6332710112464667E-5</v>
      </c>
      <c r="D166">
        <f>EXP(((-1)/(2*'Cálculos Diversos'!$B$5))*(SQRT(SUMXMY2('Tabela Entrada-Saída'!$B$166:$O$166,'Coordenadas dos Polos'!$AR$2:$BE$2)))^2)</f>
        <v>2.7278345269759583E-5</v>
      </c>
      <c r="E166">
        <f>EXP(((-1)/(2*'Cálculos Diversos'!$B$5))*(SQRT(SUMXMY2('Tabela Entrada-Saída'!$B$166:$O$166,'Coordenadas dos Polos'!$BF$2:$BS$2)))^2)</f>
        <v>1.0166476138812237E-4</v>
      </c>
      <c r="F166">
        <f>EXP(((-1)/(2*'Cálculos Diversos'!$B$5))*(SQRT(SUMXMY2('Tabela Entrada-Saída'!$B$166:$O$166,'Coordenadas dos Polos'!$BT$2:$CG$2)))^2)</f>
        <v>2.596371620948052E-6</v>
      </c>
      <c r="G166">
        <f>EXP(((-1)/(2*'Cálculos Diversos'!$B$5))*(SQRT(SUMXMY2('Tabela Entrada-Saída'!$B$166:$O$166,'Coordenadas dos Polos'!$CH$2:$CU$2)))^2)</f>
        <v>1.2724500897395017E-4</v>
      </c>
      <c r="H166">
        <f>EXP(((-1)/(2*'Cálculos Diversos'!$B$5))*(SQRT(SUMXMY2('Tabela Entrada-Saída'!$B$166:$O$166,'Coordenadas dos Polos'!$CV$2:$DI$2)))^2)</f>
        <v>5.9881496391776275E-6</v>
      </c>
      <c r="I166">
        <f>EXP(((-1)/(2*'Cálculos Diversos'!$B$5))*(SQRT(SUMXMY2('Tabela Entrada-Saída'!$B$166:$O$166,'Coordenadas dos Polos'!$DJ$2:$DW$2)))^2)</f>
        <v>2.6736206070530026E-4</v>
      </c>
      <c r="J166">
        <f>EXP(((-1)/(2*'Cálculos Diversos'!$B$5))*(SQRT(SUMXMY2('Tabela Entrada-Saída'!$B$166:$O$166,'Coordenadas dos Polos'!$DX$2:$EK$2)))^2)</f>
        <v>1.0213040329783112E-4</v>
      </c>
      <c r="K166">
        <f>EXP(((-1)/(2*'Cálculos Diversos'!$B$5))*(SQRT(SUMXMY2('Tabela Entrada-Saída'!$B$166:$O$166,'Coordenadas dos Polos'!$EL$2:$EY$2)))^2)</f>
        <v>4.302064906303072E-6</v>
      </c>
      <c r="L166">
        <f>EXP(((-1)/(2*'Cálculos Diversos'!$B$5))*(SQRT(SUMXMY2('Tabela Entrada-Saída'!$B$166:$O$166,'Coordenadas dos Polos'!$EZ$2:$FM$2)))^2)</f>
        <v>6.3537851149468711E-7</v>
      </c>
      <c r="M166">
        <f>EXP(((-1)/(2*'Cálculos Diversos'!$B$5))*(SQRT(SUMXMY2('Tabela Entrada-Saída'!$B$166:$O$166,'Coordenadas dos Polos'!$FN$2:$GA$2)))^2)</f>
        <v>1.2736390181993928E-5</v>
      </c>
      <c r="N166">
        <f>EXP(((-1)/(2*'Cálculos Diversos'!$B$5))*(SQRT(SUMXMY2('Tabela Entrada-Saída'!$B$166:$O$166,'Coordenadas dos Polos'!$GB$2:$GO$2)))^2)</f>
        <v>3.1479386741125874E-5</v>
      </c>
      <c r="O166">
        <f>EXP(((-1)/(2*'Cálculos Diversos'!$B$5))*(SQRT(SUMXMY2('Tabela Entrada-Saída'!$B$166:$O$166,'Coordenadas dos Polos'!$GP$2:$HC$2)))^2)</f>
        <v>2.5971502101463981E-6</v>
      </c>
      <c r="P166">
        <v>1</v>
      </c>
    </row>
    <row r="167" spans="1:16" x14ac:dyDescent="0.25">
      <c r="A167">
        <v>166</v>
      </c>
      <c r="B167">
        <f>EXP(((-1)/(2*'Cálculos Diversos'!$B$5))*(SQRT(SUMXMY2('Tabela Entrada-Saída'!$B$167:$O$167,'Coordenadas dos Polos'!$P$2:$AC$2)))^2)</f>
        <v>9.4779303478895738E-2</v>
      </c>
      <c r="C167">
        <f>EXP(((-1)/(2*'Cálculos Diversos'!$B$5))*(SQRT(SUMXMY2('Tabela Entrada-Saída'!$B$167:$O$167,'Coordenadas dos Polos'!$AD$2:$AQ$2)))^2)</f>
        <v>7.6369408535677361E-5</v>
      </c>
      <c r="D167">
        <f>EXP(((-1)/(2*'Cálculos Diversos'!$B$5))*(SQRT(SUMXMY2('Tabela Entrada-Saída'!$B$167:$O$167,'Coordenadas dos Polos'!$AR$2:$BE$2)))^2)</f>
        <v>2.7277214317045349E-5</v>
      </c>
      <c r="E167">
        <f>EXP(((-1)/(2*'Cálculos Diversos'!$B$5))*(SQRT(SUMXMY2('Tabela Entrada-Saída'!$B$167:$O$167,'Coordenadas dos Polos'!$BF$2:$BS$2)))^2)</f>
        <v>1.0177457316136228E-4</v>
      </c>
      <c r="F167">
        <f>EXP(((-1)/(2*'Cálculos Diversos'!$B$5))*(SQRT(SUMXMY2('Tabela Entrada-Saída'!$B$167:$O$167,'Coordenadas dos Polos'!$BT$2:$CG$2)))^2)</f>
        <v>2.5999542480973852E-6</v>
      </c>
      <c r="G167">
        <f>EXP(((-1)/(2*'Cálculos Diversos'!$B$5))*(SQRT(SUMXMY2('Tabela Entrada-Saída'!$B$167:$O$167,'Coordenadas dos Polos'!$CH$2:$CU$2)))^2)</f>
        <v>1.2725787702885165E-4</v>
      </c>
      <c r="H167">
        <f>EXP(((-1)/(2*'Cálculos Diversos'!$B$5))*(SQRT(SUMXMY2('Tabela Entrada-Saída'!$B$167:$O$167,'Coordenadas dos Polos'!$CV$2:$DI$2)))^2)</f>
        <v>5.9891916606887742E-6</v>
      </c>
      <c r="I167">
        <f>EXP(((-1)/(2*'Cálculos Diversos'!$B$5))*(SQRT(SUMXMY2('Tabela Entrada-Saída'!$B$167:$O$167,'Coordenadas dos Polos'!$DJ$2:$DW$2)))^2)</f>
        <v>2.6728023804828329E-4</v>
      </c>
      <c r="J167">
        <f>EXP(((-1)/(2*'Cálculos Diversos'!$B$5))*(SQRT(SUMXMY2('Tabela Entrada-Saída'!$B$167:$O$167,'Coordenadas dos Polos'!$DX$2:$EK$2)))^2)</f>
        <v>1.021574368215129E-4</v>
      </c>
      <c r="K167">
        <f>EXP(((-1)/(2*'Cálculos Diversos'!$B$5))*(SQRT(SUMXMY2('Tabela Entrada-Saída'!$B$167:$O$167,'Coordenadas dos Polos'!$EL$2:$EY$2)))^2)</f>
        <v>4.3019995674968893E-6</v>
      </c>
      <c r="L167">
        <f>EXP(((-1)/(2*'Cálculos Diversos'!$B$5))*(SQRT(SUMXMY2('Tabela Entrada-Saída'!$B$167:$O$167,'Coordenadas dos Polos'!$EZ$2:$FM$2)))^2)</f>
        <v>6.3612909806127799E-7</v>
      </c>
      <c r="M167">
        <f>EXP(((-1)/(2*'Cálculos Diversos'!$B$5))*(SQRT(SUMXMY2('Tabela Entrada-Saída'!$B$167:$O$167,'Coordenadas dos Polos'!$FN$2:$GA$2)))^2)</f>
        <v>1.2750227396489052E-5</v>
      </c>
      <c r="N167">
        <f>EXP(((-1)/(2*'Cálculos Diversos'!$B$5))*(SQRT(SUMXMY2('Tabela Entrada-Saída'!$B$167:$O$167,'Coordenadas dos Polos'!$GB$2:$GO$2)))^2)</f>
        <v>3.1510849286289029E-5</v>
      </c>
      <c r="O167">
        <f>EXP(((-1)/(2*'Cálculos Diversos'!$B$5))*(SQRT(SUMXMY2('Tabela Entrada-Saída'!$B$167:$O$167,'Coordenadas dos Polos'!$GP$2:$HC$2)))^2)</f>
        <v>2.599399978608011E-6</v>
      </c>
      <c r="P167">
        <v>1</v>
      </c>
    </row>
    <row r="168" spans="1:16" x14ac:dyDescent="0.25">
      <c r="A168">
        <v>167</v>
      </c>
      <c r="B168">
        <f>EXP(((-1)/(2*'Cálculos Diversos'!$B$5))*(SQRT(SUMXMY2('Tabela Entrada-Saída'!$B$168:$O$168,'Coordenadas dos Polos'!$P$2:$AC$2)))^2)</f>
        <v>9.5080909437240055E-2</v>
      </c>
      <c r="C168">
        <f>EXP(((-1)/(2*'Cálculos Diversos'!$B$5))*(SQRT(SUMXMY2('Tabela Entrada-Saída'!$B$168:$O$168,'Coordenadas dos Polos'!$AD$2:$AQ$2)))^2)</f>
        <v>7.6449825615605693E-5</v>
      </c>
      <c r="D168">
        <f>EXP(((-1)/(2*'Cálculos Diversos'!$B$5))*(SQRT(SUMXMY2('Tabela Entrada-Saída'!$B$168:$O$168,'Coordenadas dos Polos'!$AR$2:$BE$2)))^2)</f>
        <v>2.7275986973473166E-5</v>
      </c>
      <c r="E168">
        <f>EXP(((-1)/(2*'Cálculos Diversos'!$B$5))*(SQRT(SUMXMY2('Tabela Entrada-Saída'!$B$168:$O$168,'Coordenadas dos Polos'!$BF$2:$BS$2)))^2)</f>
        <v>1.0200816891024758E-4</v>
      </c>
      <c r="F168">
        <f>EXP(((-1)/(2*'Cálculos Diversos'!$B$5))*(SQRT(SUMXMY2('Tabela Entrada-Saída'!$B$168:$O$168,'Coordenadas dos Polos'!$BT$2:$CG$2)))^2)</f>
        <v>2.6075291414922525E-6</v>
      </c>
      <c r="G168">
        <f>EXP(((-1)/(2*'Cálculos Diversos'!$B$5))*(SQRT(SUMXMY2('Tabela Entrada-Saída'!$B$168:$O$168,'Coordenadas dos Polos'!$CH$2:$CU$2)))^2)</f>
        <v>1.2728457106706489E-4</v>
      </c>
      <c r="H168">
        <f>EXP(((-1)/(2*'Cálculos Diversos'!$B$5))*(SQRT(SUMXMY2('Tabela Entrada-Saída'!$B$168:$O$168,'Coordenadas dos Polos'!$CV$2:$DI$2)))^2)</f>
        <v>5.9918254737641316E-6</v>
      </c>
      <c r="I168">
        <f>EXP(((-1)/(2*'Cálculos Diversos'!$B$5))*(SQRT(SUMXMY2('Tabela Entrada-Saída'!$B$168:$O$168,'Coordenadas dos Polos'!$DJ$2:$DW$2)))^2)</f>
        <v>2.671119799997478E-4</v>
      </c>
      <c r="J168">
        <f>EXP(((-1)/(2*'Cálculos Diversos'!$B$5))*(SQRT(SUMXMY2('Tabela Entrada-Saída'!$B$168:$O$168,'Coordenadas dos Polos'!$DX$2:$EK$2)))^2)</f>
        <v>1.0221532524248141E-4</v>
      </c>
      <c r="K168">
        <f>EXP(((-1)/(2*'Cálculos Diversos'!$B$5))*(SQRT(SUMXMY2('Tabela Entrada-Saída'!$B$168:$O$168,'Coordenadas dos Polos'!$EL$2:$EY$2)))^2)</f>
        <v>4.3020628202337448E-6</v>
      </c>
      <c r="L168">
        <f>EXP(((-1)/(2*'Cálculos Diversos'!$B$5))*(SQRT(SUMXMY2('Tabela Entrada-Saída'!$B$168:$O$168,'Coordenadas dos Polos'!$EZ$2:$FM$2)))^2)</f>
        <v>6.3773003663015668E-7</v>
      </c>
      <c r="M168">
        <f>EXP(((-1)/(2*'Cálculos Diversos'!$B$5))*(SQRT(SUMXMY2('Tabela Entrada-Saída'!$B$168:$O$168,'Coordenadas dos Polos'!$FN$2:$GA$2)))^2)</f>
        <v>1.2779815691667156E-5</v>
      </c>
      <c r="N168">
        <f>EXP(((-1)/(2*'Cálculos Diversos'!$B$5))*(SQRT(SUMXMY2('Tabela Entrada-Saída'!$B$168:$O$168,'Coordenadas dos Polos'!$GB$2:$GO$2)))^2)</f>
        <v>3.1579229857069736E-5</v>
      </c>
      <c r="O168">
        <f>EXP(((-1)/(2*'Cálculos Diversos'!$B$5))*(SQRT(SUMXMY2('Tabela Entrada-Saída'!$B$168:$O$168,'Coordenadas dos Polos'!$GP$2:$HC$2)))^2)</f>
        <v>2.6041487053783075E-6</v>
      </c>
      <c r="P168">
        <v>1</v>
      </c>
    </row>
    <row r="169" spans="1:16" x14ac:dyDescent="0.25">
      <c r="A169">
        <v>168</v>
      </c>
      <c r="B169">
        <f>EXP(((-1)/(2*'Cálculos Diversos'!$B$5))*(SQRT(SUMXMY2('Tabela Entrada-Saída'!$B$169:$O$169,'Coordenadas dos Polos'!$P$2:$AC$2)))^2)</f>
        <v>9.4605828465568712E-2</v>
      </c>
      <c r="C169">
        <f>EXP(((-1)/(2*'Cálculos Diversos'!$B$5))*(SQRT(SUMXMY2('Tabela Entrada-Saída'!$B$169:$O$169,'Coordenadas dos Polos'!$AD$2:$AQ$2)))^2)</f>
        <v>7.6324638395323824E-5</v>
      </c>
      <c r="D169">
        <f>EXP(((-1)/(2*'Cálculos Diversos'!$B$5))*(SQRT(SUMXMY2('Tabela Entrada-Saída'!$B$169:$O$169,'Coordenadas dos Polos'!$AR$2:$BE$2)))^2)</f>
        <v>2.7278471235279407E-5</v>
      </c>
      <c r="E169">
        <f>EXP(((-1)/(2*'Cálculos Diversos'!$B$5))*(SQRT(SUMXMY2('Tabela Entrada-Saída'!$B$169:$O$169,'Coordenadas dos Polos'!$BF$2:$BS$2)))^2)</f>
        <v>1.0164049651144269E-4</v>
      </c>
      <c r="F169">
        <f>EXP(((-1)/(2*'Cálculos Diversos'!$B$5))*(SQRT(SUMXMY2('Tabela Entrada-Saída'!$B$169:$O$169,'Coordenadas dos Polos'!$BT$2:$CG$2)))^2)</f>
        <v>2.5955764174930135E-6</v>
      </c>
      <c r="G169">
        <f>EXP(((-1)/(2*'Cálculos Diversos'!$B$5))*(SQRT(SUMXMY2('Tabela Entrada-Saída'!$B$169:$O$169,'Coordenadas dos Polos'!$CH$2:$CU$2)))^2)</f>
        <v>1.2724206883126733E-4</v>
      </c>
      <c r="H169">
        <f>EXP(((-1)/(2*'Cálculos Diversos'!$B$5))*(SQRT(SUMXMY2('Tabela Entrada-Saída'!$B$169:$O$169,'Coordenadas dos Polos'!$CV$2:$DI$2)))^2)</f>
        <v>5.9879220739093185E-6</v>
      </c>
      <c r="I169">
        <f>EXP(((-1)/(2*'Cálculos Diversos'!$B$5))*(SQRT(SUMXMY2('Tabela Entrada-Saída'!$B$169:$O$169,'Coordenadas dos Polos'!$DJ$2:$DW$2)))^2)</f>
        <v>2.6737858910544382E-4</v>
      </c>
      <c r="J169">
        <f>EXP(((-1)/(2*'Cálculos Diversos'!$B$5))*(SQRT(SUMXMY2('Tabela Entrada-Saída'!$B$169:$O$169,'Coordenadas dos Polos'!$DX$2:$EK$2)))^2)</f>
        <v>1.0212423973171019E-4</v>
      </c>
      <c r="K169">
        <f>EXP(((-1)/(2*'Cálculos Diversos'!$B$5))*(SQRT(SUMXMY2('Tabela Entrada-Saída'!$B$169:$O$169,'Coordenadas dos Polos'!$EL$2:$EY$2)))^2)</f>
        <v>4.3020755241071764E-6</v>
      </c>
      <c r="L169">
        <f>EXP(((-1)/(2*'Cálculos Diversos'!$B$5))*(SQRT(SUMXMY2('Tabela Entrada-Saída'!$B$169:$O$169,'Coordenadas dos Polos'!$EZ$2:$FM$2)))^2)</f>
        <v>6.3521105096934517E-7</v>
      </c>
      <c r="M169">
        <f>EXP(((-1)/(2*'Cálculos Diversos'!$B$5))*(SQRT(SUMXMY2('Tabela Entrada-Saída'!$B$169:$O$169,'Coordenadas dos Polos'!$FN$2:$GA$2)))^2)</f>
        <v>1.2733334620286383E-5</v>
      </c>
      <c r="N169">
        <f>EXP(((-1)/(2*'Cálculos Diversos'!$B$5))*(SQRT(SUMXMY2('Tabela Entrada-Saída'!$B$169:$O$169,'Coordenadas dos Polos'!$GB$2:$GO$2)))^2)</f>
        <v>3.1472516452686375E-5</v>
      </c>
      <c r="O169">
        <f>EXP(((-1)/(2*'Cálculos Diversos'!$B$5))*(SQRT(SUMXMY2('Tabela Entrada-Saída'!$B$169:$O$169,'Coordenadas dos Polos'!$GP$2:$HC$2)))^2)</f>
        <v>2.5966514235106259E-6</v>
      </c>
      <c r="P169">
        <v>1</v>
      </c>
    </row>
    <row r="170" spans="1:16" x14ac:dyDescent="0.25">
      <c r="A170">
        <v>169</v>
      </c>
      <c r="B170">
        <f>EXP(((-1)/(2*'Cálculos Diversos'!$B$5))*(SQRT(SUMXMY2('Tabela Entrada-Saída'!$B$170:$O$170,'Coordenadas dos Polos'!$P$2:$AC$2)))^2)</f>
        <v>9.5340068860507207E-2</v>
      </c>
      <c r="C170">
        <f>EXP(((-1)/(2*'Cálculos Diversos'!$B$5))*(SQRT(SUMXMY2('Tabela Entrada-Saída'!$B$170:$O$170,'Coordenadas dos Polos'!$AD$2:$AQ$2)))^2)</f>
        <v>7.651675866390413E-5</v>
      </c>
      <c r="D170">
        <f>EXP(((-1)/(2*'Cálculos Diversos'!$B$5))*(SQRT(SUMXMY2('Tabela Entrada-Saída'!$B$170:$O$170,'Coordenadas dos Polos'!$AR$2:$BE$2)))^2)</f>
        <v>2.7274207307839047E-5</v>
      </c>
      <c r="E170">
        <f>EXP(((-1)/(2*'Cálculos Diversos'!$B$5))*(SQRT(SUMXMY2('Tabela Entrada-Saída'!$B$170:$O$170,'Coordenadas dos Polos'!$BF$2:$BS$2)))^2)</f>
        <v>1.0220822127689616E-4</v>
      </c>
      <c r="F170">
        <f>EXP(((-1)/(2*'Cálculos Diversos'!$B$5))*(SQRT(SUMXMY2('Tabela Entrada-Saída'!$B$170:$O$170,'Coordenadas dos Polos'!$BT$2:$CG$2)))^2)</f>
        <v>2.6140585852437097E-6</v>
      </c>
      <c r="G170">
        <f>EXP(((-1)/(2*'Cálculos Diversos'!$B$5))*(SQRT(SUMXMY2('Tabela Entrada-Saída'!$B$170:$O$170,'Coordenadas dos Polos'!$CH$2:$CU$2)))^2)</f>
        <v>1.2730740885569516E-4</v>
      </c>
      <c r="H170">
        <f>EXP(((-1)/(2*'Cálculos Diversos'!$B$5))*(SQRT(SUMXMY2('Tabela Entrada-Saída'!$B$170:$O$170,'Coordenadas dos Polos'!$CV$2:$DI$2)))^2)</f>
        <v>5.9937658851840365E-6</v>
      </c>
      <c r="I170">
        <f>EXP(((-1)/(2*'Cálculos Diversos'!$B$5))*(SQRT(SUMXMY2('Tabela Entrada-Saída'!$B$170:$O$170,'Coordenadas dos Polos'!$DJ$2:$DW$2)))^2)</f>
        <v>2.6696578277707556E-4</v>
      </c>
      <c r="J170">
        <f>EXP(((-1)/(2*'Cálculos Diversos'!$B$5))*(SQRT(SUMXMY2('Tabela Entrada-Saída'!$B$170:$O$170,'Coordenadas dos Polos'!$DX$2:$EK$2)))^2)</f>
        <v>1.0226414560350233E-4</v>
      </c>
      <c r="K170">
        <f>EXP(((-1)/(2*'Cálculos Diversos'!$B$5))*(SQRT(SUMXMY2('Tabela Entrada-Saída'!$B$170:$O$170,'Coordenadas dos Polos'!$EL$2:$EY$2)))^2)</f>
        <v>4.3019686971265534E-6</v>
      </c>
      <c r="L170">
        <f>EXP(((-1)/(2*'Cálculos Diversos'!$B$5))*(SQRT(SUMXMY2('Tabela Entrada-Saída'!$B$170:$O$170,'Coordenadas dos Polos'!$EZ$2:$FM$2)))^2)</f>
        <v>6.3909994110081105E-7</v>
      </c>
      <c r="M170">
        <f>EXP(((-1)/(2*'Cálculos Diversos'!$B$5))*(SQRT(SUMXMY2('Tabela Entrada-Saída'!$B$170:$O$170,'Coordenadas dos Polos'!$FN$2:$GA$2)))^2)</f>
        <v>1.280505441997546E-5</v>
      </c>
      <c r="N170">
        <f>EXP(((-1)/(2*'Cálculos Diversos'!$B$5))*(SQRT(SUMXMY2('Tabela Entrada-Saída'!$B$170:$O$170,'Coordenadas dos Polos'!$GB$2:$GO$2)))^2)</f>
        <v>3.1636616997442558E-5</v>
      </c>
      <c r="O170">
        <f>EXP(((-1)/(2*'Cálculos Diversos'!$B$5))*(SQRT(SUMXMY2('Tabela Entrada-Saída'!$B$170:$O$170,'Coordenadas dos Polos'!$GP$2:$HC$2)))^2)</f>
        <v>2.6082350271618074E-6</v>
      </c>
      <c r="P170">
        <v>1</v>
      </c>
    </row>
    <row r="171" spans="1:16" x14ac:dyDescent="0.25">
      <c r="A171">
        <v>170</v>
      </c>
      <c r="B171">
        <f>EXP(((-1)/(2*'Cálculos Diversos'!$B$5))*(SQRT(SUMXMY2('Tabela Entrada-Saída'!$B$171:$O$171,'Coordenadas dos Polos'!$P$2:$AC$2)))^2)</f>
        <v>9.5500959685120887E-2</v>
      </c>
      <c r="C171">
        <f>EXP(((-1)/(2*'Cálculos Diversos'!$B$5))*(SQRT(SUMXMY2('Tabela Entrada-Saída'!$B$171:$O$171,'Coordenadas dos Polos'!$AD$2:$AQ$2)))^2)</f>
        <v>7.6559548278389415E-5</v>
      </c>
      <c r="D171">
        <f>EXP(((-1)/(2*'Cálculos Diversos'!$B$5))*(SQRT(SUMXMY2('Tabela Entrada-Saída'!$B$171:$O$171,'Coordenadas dos Polos'!$AR$2:$BE$2)))^2)</f>
        <v>2.7273481104752216E-5</v>
      </c>
      <c r="E171">
        <f>EXP(((-1)/(2*'Cálculos Diversos'!$B$5))*(SQRT(SUMXMY2('Tabela Entrada-Saída'!$B$171:$O$171,'Coordenadas dos Polos'!$BF$2:$BS$2)))^2)</f>
        <v>1.0233295573618065E-4</v>
      </c>
      <c r="F171">
        <f>EXP(((-1)/(2*'Cálculos Diversos'!$B$5))*(SQRT(SUMXMY2('Tabela Entrada-Saída'!$B$171:$O$171,'Coordenadas dos Polos'!$BT$2:$CG$2)))^2)</f>
        <v>2.6181290090967291E-6</v>
      </c>
      <c r="G171">
        <f>EXP(((-1)/(2*'Cálculos Diversos'!$B$5))*(SQRT(SUMXMY2('Tabela Entrada-Saída'!$B$171:$O$171,'Coordenadas dos Polos'!$CH$2:$CU$2)))^2)</f>
        <v>1.2732233636396972E-4</v>
      </c>
      <c r="H171">
        <f>EXP(((-1)/(2*'Cálculos Diversos'!$B$5))*(SQRT(SUMXMY2('Tabela Entrada-Saída'!$B$171:$O$171,'Coordenadas dos Polos'!$CV$2:$DI$2)))^2)</f>
        <v>5.9951447172751467E-6</v>
      </c>
      <c r="I171">
        <f>EXP(((-1)/(2*'Cálculos Diversos'!$B$5))*(SQRT(SUMXMY2('Tabela Entrada-Saída'!$B$171:$O$171,'Coordenadas dos Polos'!$DJ$2:$DW$2)))^2)</f>
        <v>2.6687618969170205E-4</v>
      </c>
      <c r="J171">
        <f>EXP(((-1)/(2*'Cálculos Diversos'!$B$5))*(SQRT(SUMXMY2('Tabela Entrada-Saída'!$B$171:$O$171,'Coordenadas dos Polos'!$DX$2:$EK$2)))^2)</f>
        <v>1.0229600483189424E-4</v>
      </c>
      <c r="K171">
        <f>EXP(((-1)/(2*'Cálculos Diversos'!$B$5))*(SQRT(SUMXMY2('Tabela Entrada-Saída'!$B$171:$O$171,'Coordenadas dos Polos'!$EL$2:$EY$2)))^2)</f>
        <v>4.3019809507170678E-6</v>
      </c>
      <c r="L171">
        <f>EXP(((-1)/(2*'Cálculos Diversos'!$B$5))*(SQRT(SUMXMY2('Tabela Entrada-Saída'!$B$171:$O$171,'Coordenadas dos Polos'!$EZ$2:$FM$2)))^2)</f>
        <v>6.3995860586005512E-7</v>
      </c>
      <c r="M171">
        <f>EXP(((-1)/(2*'Cálculos Diversos'!$B$5))*(SQRT(SUMXMY2('Tabela Entrada-Saída'!$B$171:$O$171,'Coordenadas dos Polos'!$FN$2:$GA$2)))^2)</f>
        <v>1.2820855566661072E-5</v>
      </c>
      <c r="N171">
        <f>EXP(((-1)/(2*'Cálculos Diversos'!$B$5))*(SQRT(SUMXMY2('Tabela Entrada-Saída'!$B$171:$O$171,'Coordenadas dos Polos'!$GB$2:$GO$2)))^2)</f>
        <v>3.1673044367675142E-5</v>
      </c>
      <c r="O171">
        <f>EXP(((-1)/(2*'Cálculos Diversos'!$B$5))*(SQRT(SUMXMY2('Tabela Entrada-Saída'!$B$171:$O$171,'Coordenadas dos Polos'!$GP$2:$HC$2)))^2)</f>
        <v>2.6107782185470935E-6</v>
      </c>
      <c r="P171">
        <v>1</v>
      </c>
    </row>
    <row r="172" spans="1:16" x14ac:dyDescent="0.25">
      <c r="A172">
        <v>171</v>
      </c>
      <c r="B172">
        <f>EXP(((-1)/(2*'Cálculos Diversos'!$B$5))*(SQRT(SUMXMY2('Tabela Entrada-Saída'!$B$172:$O$172,'Coordenadas dos Polos'!$P$2:$AC$2)))^2)</f>
        <v>9.5105204101089108E-2</v>
      </c>
      <c r="C172">
        <f>EXP(((-1)/(2*'Cálculos Diversos'!$B$5))*(SQRT(SUMXMY2('Tabela Entrada-Saída'!$B$172:$O$172,'Coordenadas dos Polos'!$AD$2:$AQ$2)))^2)</f>
        <v>7.6457122344942449E-5</v>
      </c>
      <c r="D172">
        <f>EXP(((-1)/(2*'Cálculos Diversos'!$B$5))*(SQRT(SUMXMY2('Tabela Entrada-Saída'!$B$172:$O$172,'Coordenadas dos Polos'!$AR$2:$BE$2)))^2)</f>
        <v>2.7276076630930894E-5</v>
      </c>
      <c r="E172">
        <f>EXP(((-1)/(2*'Cálculos Diversos'!$B$5))*(SQRT(SUMXMY2('Tabela Entrada-Saída'!$B$172:$O$172,'Coordenadas dos Polos'!$BF$2:$BS$2)))^2)</f>
        <v>1.0202740205739094E-4</v>
      </c>
      <c r="F172">
        <f>EXP(((-1)/(2*'Cálculos Diversos'!$B$5))*(SQRT(SUMXMY2('Tabela Entrada-Saída'!$B$172:$O$172,'Coordenadas dos Polos'!$BT$2:$CG$2)))^2)</f>
        <v>2.6081619217749357E-6</v>
      </c>
      <c r="G172">
        <f>EXP(((-1)/(2*'Cálculos Diversos'!$B$5))*(SQRT(SUMXMY2('Tabela Entrada-Saída'!$B$172:$O$172,'Coordenadas dos Polos'!$CH$2:$CU$2)))^2)</f>
        <v>1.2728769469783495E-4</v>
      </c>
      <c r="H172">
        <f>EXP(((-1)/(2*'Cálculos Diversos'!$B$5))*(SQRT(SUMXMY2('Tabela Entrada-Saída'!$B$172:$O$172,'Coordenadas dos Polos'!$CV$2:$DI$2)))^2)</f>
        <v>5.9921409739340436E-6</v>
      </c>
      <c r="I172">
        <f>EXP(((-1)/(2*'Cálculos Diversos'!$B$5))*(SQRT(SUMXMY2('Tabela Entrada-Saída'!$B$172:$O$172,'Coordenadas dos Polos'!$DJ$2:$DW$2)))^2)</f>
        <v>2.6709873386660774E-4</v>
      </c>
      <c r="J172">
        <f>EXP(((-1)/(2*'Cálculos Diversos'!$B$5))*(SQRT(SUMXMY2('Tabela Entrada-Saída'!$B$172:$O$172,'Coordenadas dos Polos'!$DX$2:$EK$2)))^2)</f>
        <v>1.0222164137369823E-4</v>
      </c>
      <c r="K172">
        <f>EXP(((-1)/(2*'Cálculos Diversos'!$B$5))*(SQRT(SUMXMY2('Tabela Entrada-Saída'!$B$172:$O$172,'Coordenadas dos Polos'!$EL$2:$EY$2)))^2)</f>
        <v>4.3021033926904253E-6</v>
      </c>
      <c r="L172">
        <f>EXP(((-1)/(2*'Cálculos Diversos'!$B$5))*(SQRT(SUMXMY2('Tabela Entrada-Saída'!$B$172:$O$172,'Coordenadas dos Polos'!$EZ$2:$FM$2)))^2)</f>
        <v>6.3786608619599143E-7</v>
      </c>
      <c r="M172">
        <f>EXP(((-1)/(2*'Cálculos Diversos'!$B$5))*(SQRT(SUMXMY2('Tabela Entrada-Saída'!$B$172:$O$172,'Coordenadas dos Polos'!$FN$2:$GA$2)))^2)</f>
        <v>1.2782289854509513E-5</v>
      </c>
      <c r="N172">
        <f>EXP(((-1)/(2*'Cálculos Diversos'!$B$5))*(SQRT(SUMXMY2('Tabela Entrada-Saída'!$B$172:$O$172,'Coordenadas dos Polos'!$GB$2:$GO$2)))^2)</f>
        <v>3.1585259348364118E-5</v>
      </c>
      <c r="O172">
        <f>EXP(((-1)/(2*'Cálculos Diversos'!$B$5))*(SQRT(SUMXMY2('Tabela Entrada-Saída'!$B$172:$O$172,'Coordenadas dos Polos'!$GP$2:$HC$2)))^2)</f>
        <v>2.6045430806951259E-6</v>
      </c>
      <c r="P172">
        <v>1</v>
      </c>
    </row>
    <row r="173" spans="1:16" x14ac:dyDescent="0.25">
      <c r="A173">
        <v>172</v>
      </c>
      <c r="B173">
        <f>EXP(((-1)/(2*'Cálculos Diversos'!$B$5))*(SQRT(SUMXMY2('Tabela Entrada-Saída'!$B$173:$O$173,'Coordenadas dos Polos'!$P$2:$AC$2)))^2)</f>
        <v>9.5107538723791671E-2</v>
      </c>
      <c r="C173">
        <f>EXP(((-1)/(2*'Cálculos Diversos'!$B$5))*(SQRT(SUMXMY2('Tabela Entrada-Saída'!$B$173:$O$173,'Coordenadas dos Polos'!$AD$2:$AQ$2)))^2)</f>
        <v>7.6455035586492939E-5</v>
      </c>
      <c r="D173">
        <f>EXP(((-1)/(2*'Cálculos Diversos'!$B$5))*(SQRT(SUMXMY2('Tabela Entrada-Saída'!$B$173:$O$173,'Coordenadas dos Polos'!$AR$2:$BE$2)))^2)</f>
        <v>2.7275344632469493E-5</v>
      </c>
      <c r="E173">
        <f>EXP(((-1)/(2*'Cálculos Diversos'!$B$5))*(SQRT(SUMXMY2('Tabela Entrada-Saída'!$B$173:$O$173,'Coordenadas dos Polos'!$BF$2:$BS$2)))^2)</f>
        <v>1.0202807009578584E-4</v>
      </c>
      <c r="F173">
        <f>EXP(((-1)/(2*'Cálculos Diversos'!$B$5))*(SQRT(SUMXMY2('Tabela Entrada-Saída'!$B$173:$O$173,'Coordenadas dos Polos'!$BT$2:$CG$2)))^2)</f>
        <v>2.6081784206475227E-6</v>
      </c>
      <c r="G173">
        <f>EXP(((-1)/(2*'Cálculos Diversos'!$B$5))*(SQRT(SUMXMY2('Tabela Entrada-Saída'!$B$173:$O$173,'Coordenadas dos Polos'!$CH$2:$CU$2)))^2)</f>
        <v>1.2728583478267475E-4</v>
      </c>
      <c r="H173">
        <f>EXP(((-1)/(2*'Cálculos Diversos'!$B$5))*(SQRT(SUMXMY2('Tabela Entrada-Saída'!$B$173:$O$173,'Coordenadas dos Polos'!$CV$2:$DI$2)))^2)</f>
        <v>5.9917974936602148E-6</v>
      </c>
      <c r="I173">
        <f>EXP(((-1)/(2*'Cálculos Diversos'!$B$5))*(SQRT(SUMXMY2('Tabela Entrada-Saída'!$B$173:$O$173,'Coordenadas dos Polos'!$DJ$2:$DW$2)))^2)</f>
        <v>2.6709584468149881E-4</v>
      </c>
      <c r="J173">
        <f>EXP(((-1)/(2*'Cálculos Diversos'!$B$5))*(SQRT(SUMXMY2('Tabela Entrada-Saída'!$B$173:$O$173,'Coordenadas dos Polos'!$DX$2:$EK$2)))^2)</f>
        <v>1.0221811650017886E-4</v>
      </c>
      <c r="K173">
        <f>EXP(((-1)/(2*'Cálculos Diversos'!$B$5))*(SQRT(SUMXMY2('Tabela Entrada-Saída'!$B$173:$O$173,'Coordenadas dos Polos'!$EL$2:$EY$2)))^2)</f>
        <v>4.3019660843101842E-6</v>
      </c>
      <c r="L173">
        <f>EXP(((-1)/(2*'Cálculos Diversos'!$B$5))*(SQRT(SUMXMY2('Tabela Entrada-Saída'!$B$173:$O$173,'Coordenadas dos Polos'!$EZ$2:$FM$2)))^2)</f>
        <v>6.3786081689072938E-7</v>
      </c>
      <c r="M173">
        <f>EXP(((-1)/(2*'Cálculos Diversos'!$B$5))*(SQRT(SUMXMY2('Tabela Entrada-Saída'!$B$173:$O$173,'Coordenadas dos Polos'!$FN$2:$GA$2)))^2)</f>
        <v>1.2782236976385791E-5</v>
      </c>
      <c r="N173">
        <f>EXP(((-1)/(2*'Cálculos Diversos'!$B$5))*(SQRT(SUMXMY2('Tabela Entrada-Saída'!$B$173:$O$173,'Coordenadas dos Polos'!$GB$2:$GO$2)))^2)</f>
        <v>3.1584096704931051E-5</v>
      </c>
      <c r="O173">
        <f>EXP(((-1)/(2*'Cálculos Diversos'!$B$5))*(SQRT(SUMXMY2('Tabela Entrada-Saída'!$B$173:$O$173,'Coordenadas dos Polos'!$GP$2:$HC$2)))^2)</f>
        <v>2.6045608153496292E-6</v>
      </c>
      <c r="P173">
        <v>1</v>
      </c>
    </row>
    <row r="174" spans="1:16" x14ac:dyDescent="0.25">
      <c r="A174">
        <v>173</v>
      </c>
      <c r="B174">
        <f>EXP(((-1)/(2*'Cálculos Diversos'!$B$5))*(SQRT(SUMXMY2('Tabela Entrada-Saída'!$B$174:$O$174,'Coordenadas dos Polos'!$P$2:$AC$2)))^2)</f>
        <v>9.5169989950088865E-2</v>
      </c>
      <c r="C174">
        <f>EXP(((-1)/(2*'Cálculos Diversos'!$B$5))*(SQRT(SUMXMY2('Tabela Entrada-Saída'!$B$174:$O$174,'Coordenadas dos Polos'!$AD$2:$AQ$2)))^2)</f>
        <v>7.647175013853532E-5</v>
      </c>
      <c r="D174">
        <f>EXP(((-1)/(2*'Cálculos Diversos'!$B$5))*(SQRT(SUMXMY2('Tabela Entrada-Saída'!$B$174:$O$174,'Coordenadas dos Polos'!$AR$2:$BE$2)))^2)</f>
        <v>2.7275106093442685E-5</v>
      </c>
      <c r="E174">
        <f>EXP(((-1)/(2*'Cálculos Diversos'!$B$5))*(SQRT(SUMXMY2('Tabela Entrada-Saída'!$B$174:$O$174,'Coordenadas dos Polos'!$BF$2:$BS$2)))^2)</f>
        <v>1.0207652203114313E-4</v>
      </c>
      <c r="F174">
        <f>EXP(((-1)/(2*'Cálculos Diversos'!$B$5))*(SQRT(SUMXMY2('Tabela Entrada-Saída'!$B$174:$O$174,'Coordenadas dos Polos'!$BT$2:$CG$2)))^2)</f>
        <v>2.6097531338798717E-6</v>
      </c>
      <c r="G174">
        <f>EXP(((-1)/(2*'Cálculos Diversos'!$B$5))*(SQRT(SUMXMY2('Tabela Entrada-Saída'!$B$174:$O$174,'Coordenadas dos Polos'!$CH$2:$CU$2)))^2)</f>
        <v>1.2729149988563047E-4</v>
      </c>
      <c r="H174">
        <f>EXP(((-1)/(2*'Cálculos Diversos'!$B$5))*(SQRT(SUMXMY2('Tabela Entrada-Saída'!$B$174:$O$174,'Coordenadas dos Polos'!$CV$2:$DI$2)))^2)</f>
        <v>5.9923441571403027E-6</v>
      </c>
      <c r="I174">
        <f>EXP(((-1)/(2*'Cálculos Diversos'!$B$5))*(SQRT(SUMXMY2('Tabela Entrada-Saída'!$B$174:$O$174,'Coordenadas dos Polos'!$DJ$2:$DW$2)))^2)</f>
        <v>2.6706132795080044E-4</v>
      </c>
      <c r="J174">
        <f>EXP(((-1)/(2*'Cálculos Diversos'!$B$5))*(SQRT(SUMXMY2('Tabela Entrada-Saída'!$B$174:$O$174,'Coordenadas dos Polos'!$DX$2:$EK$2)))^2)</f>
        <v>1.0223034312427139E-4</v>
      </c>
      <c r="K174">
        <f>EXP(((-1)/(2*'Cálculos Diversos'!$B$5))*(SQRT(SUMXMY2('Tabela Entrada-Saída'!$B$174:$O$174,'Coordenadas dos Polos'!$EL$2:$EY$2)))^2)</f>
        <v>4.3019786828177756E-6</v>
      </c>
      <c r="L174">
        <f>EXP(((-1)/(2*'Cálculos Diversos'!$B$5))*(SQRT(SUMXMY2('Tabela Entrada-Saída'!$B$174:$O$174,'Coordenadas dos Polos'!$EZ$2:$FM$2)))^2)</f>
        <v>6.3819340458207171E-7</v>
      </c>
      <c r="M174">
        <f>EXP(((-1)/(2*'Cálculos Diversos'!$B$5))*(SQRT(SUMXMY2('Tabela Entrada-Saída'!$B$174:$O$174,'Coordenadas dos Polos'!$FN$2:$GA$2)))^2)</f>
        <v>1.2788380267655333E-5</v>
      </c>
      <c r="N174">
        <f>EXP(((-1)/(2*'Cálculos Diversos'!$B$5))*(SQRT(SUMXMY2('Tabela Entrada-Saída'!$B$174:$O$174,'Coordenadas dos Polos'!$GB$2:$GO$2)))^2)</f>
        <v>3.1598250034701038E-5</v>
      </c>
      <c r="O174">
        <f>EXP(((-1)/(2*'Cálculos Diversos'!$B$5))*(SQRT(SUMXMY2('Tabela Entrada-Saída'!$B$174:$O$174,'Coordenadas dos Polos'!$GP$2:$HC$2)))^2)</f>
        <v>2.6055457114285091E-6</v>
      </c>
      <c r="P174">
        <v>1</v>
      </c>
    </row>
    <row r="175" spans="1:16" x14ac:dyDescent="0.25">
      <c r="A175">
        <v>174</v>
      </c>
      <c r="B175">
        <f>EXP(((-1)/(2*'Cálculos Diversos'!$B$5))*(SQRT(SUMXMY2('Tabela Entrada-Saída'!$B$175:$O$175,'Coordenadas dos Polos'!$P$2:$AC$2)))^2)</f>
        <v>9.5385371462686622E-2</v>
      </c>
      <c r="C175">
        <f>EXP(((-1)/(2*'Cálculos Diversos'!$B$5))*(SQRT(SUMXMY2('Tabela Entrada-Saída'!$B$175:$O$175,'Coordenadas dos Polos'!$AD$2:$AQ$2)))^2)</f>
        <v>7.6530492196102805E-5</v>
      </c>
      <c r="D175">
        <f>EXP(((-1)/(2*'Cálculos Diversos'!$B$5))*(SQRT(SUMXMY2('Tabela Entrada-Saída'!$B$175:$O$175,'Coordenadas dos Polos'!$AR$2:$BE$2)))^2)</f>
        <v>2.7274426445982639E-5</v>
      </c>
      <c r="E175">
        <f>EXP(((-1)/(2*'Cálculos Diversos'!$B$5))*(SQRT(SUMXMY2('Tabela Entrada-Saída'!$B$175:$O$175,'Coordenadas dos Polos'!$BF$2:$BS$2)))^2)</f>
        <v>1.0224398485861188E-4</v>
      </c>
      <c r="F175">
        <f>EXP(((-1)/(2*'Cálculos Diversos'!$B$5))*(SQRT(SUMXMY2('Tabela Entrada-Saída'!$B$175:$O$175,'Coordenadas dos Polos'!$BT$2:$CG$2)))^2)</f>
        <v>2.6152309429513622E-6</v>
      </c>
      <c r="G175">
        <f>EXP(((-1)/(2*'Cálculos Diversos'!$B$5))*(SQRT(SUMXMY2('Tabela Entrada-Saída'!$B$175:$O$175,'Coordenadas dos Polos'!$CH$2:$CU$2)))^2)</f>
        <v>1.2731296223980281E-4</v>
      </c>
      <c r="H175">
        <f>EXP(((-1)/(2*'Cálculos Diversos'!$B$5))*(SQRT(SUMXMY2('Tabela Entrada-Saída'!$B$175:$O$175,'Coordenadas dos Polos'!$CV$2:$DI$2)))^2)</f>
        <v>5.994388021279754E-6</v>
      </c>
      <c r="I175">
        <f>EXP(((-1)/(2*'Cálculos Diversos'!$B$5))*(SQRT(SUMXMY2('Tabela Entrada-Saída'!$B$175:$O$175,'Coordenadas dos Polos'!$DJ$2:$DW$2)))^2)</f>
        <v>2.6694086882073212E-4</v>
      </c>
      <c r="J175">
        <f>EXP(((-1)/(2*'Cálculos Diversos'!$B$5))*(SQRT(SUMXMY2('Tabela Entrada-Saída'!$B$175:$O$175,'Coordenadas dos Polos'!$DX$2:$EK$2)))^2)</f>
        <v>1.0227581054611367E-4</v>
      </c>
      <c r="K175">
        <f>EXP(((-1)/(2*'Cálculos Diversos'!$B$5))*(SQRT(SUMXMY2('Tabela Entrada-Saída'!$B$175:$O$175,'Coordenadas dos Polos'!$EL$2:$EY$2)))^2)</f>
        <v>4.3020579176906118E-6</v>
      </c>
      <c r="L175">
        <f>EXP(((-1)/(2*'Cálculos Diversos'!$B$5))*(SQRT(SUMXMY2('Tabela Entrada-Saída'!$B$175:$O$175,'Coordenadas dos Polos'!$EZ$2:$FM$2)))^2)</f>
        <v>6.3935308402339021E-7</v>
      </c>
      <c r="M175">
        <f>EXP(((-1)/(2*'Cálculos Diversos'!$B$5))*(SQRT(SUMXMY2('Tabela Entrada-Saída'!$B$175:$O$175,'Coordenadas dos Polos'!$FN$2:$GA$2)))^2)</f>
        <v>1.2809667587788822E-5</v>
      </c>
      <c r="N175">
        <f>EXP(((-1)/(2*'Cálculos Diversos'!$B$5))*(SQRT(SUMXMY2('Tabela Entrada-Saída'!$B$175:$O$175,'Coordenadas dos Polos'!$GB$2:$GO$2)))^2)</f>
        <v>3.1648005574603597E-5</v>
      </c>
      <c r="O175">
        <f>EXP(((-1)/(2*'Cálculos Diversos'!$B$5))*(SQRT(SUMXMY2('Tabela Entrada-Saída'!$B$175:$O$175,'Coordenadas dos Polos'!$GP$2:$HC$2)))^2)</f>
        <v>2.6089639924490873E-6</v>
      </c>
      <c r="P175">
        <v>1</v>
      </c>
    </row>
    <row r="176" spans="1:16" x14ac:dyDescent="0.25">
      <c r="A176">
        <v>175</v>
      </c>
      <c r="B176">
        <f>EXP(((-1)/(2*'Cálculos Diversos'!$B$5))*(SQRT(SUMXMY2('Tabela Entrada-Saída'!$B$176:$O$176,'Coordenadas dos Polos'!$P$2:$AC$2)))^2)</f>
        <v>9.5429173413863866E-2</v>
      </c>
      <c r="C176">
        <f>EXP(((-1)/(2*'Cálculos Diversos'!$B$5))*(SQRT(SUMXMY2('Tabela Entrada-Saída'!$B$176:$O$176,'Coordenadas dos Polos'!$AD$2:$AQ$2)))^2)</f>
        <v>7.6541264865131209E-5</v>
      </c>
      <c r="D176">
        <f>EXP(((-1)/(2*'Cálculos Diversos'!$B$5))*(SQRT(SUMXMY2('Tabela Entrada-Saída'!$B$176:$O$176,'Coordenadas dos Polos'!$AR$2:$BE$2)))^2)</f>
        <v>2.7274013175405069E-5</v>
      </c>
      <c r="E176">
        <f>EXP(((-1)/(2*'Cálculos Diversos'!$B$5))*(SQRT(SUMXMY2('Tabela Entrada-Saída'!$B$176:$O$176,'Coordenadas dos Polos'!$BF$2:$BS$2)))^2)</f>
        <v>1.0227756751077502E-4</v>
      </c>
      <c r="F176">
        <f>EXP(((-1)/(2*'Cálculos Diversos'!$B$5))*(SQRT(SUMXMY2('Tabela Entrada-Saída'!$B$176:$O$176,'Coordenadas dos Polos'!$BT$2:$CG$2)))^2)</f>
        <v>2.6163249589585909E-6</v>
      </c>
      <c r="G176">
        <f>EXP(((-1)/(2*'Cálculos Diversos'!$B$5))*(SQRT(SUMXMY2('Tabela Entrada-Saída'!$B$176:$O$176,'Coordenadas dos Polos'!$CH$2:$CU$2)))^2)</f>
        <v>1.2731624679168104E-4</v>
      </c>
      <c r="H176">
        <f>EXP(((-1)/(2*'Cálculos Diversos'!$B$5))*(SQRT(SUMXMY2('Tabela Entrada-Saída'!$B$176:$O$176,'Coordenadas dos Polos'!$CV$2:$DI$2)))^2)</f>
        <v>5.9946441585610039E-6</v>
      </c>
      <c r="I176">
        <f>EXP(((-1)/(2*'Cálculos Diversos'!$B$5))*(SQRT(SUMXMY2('Tabela Entrada-Saída'!$B$176:$O$176,'Coordenadas dos Polos'!$DJ$2:$DW$2)))^2)</f>
        <v>2.6691632953361997E-4</v>
      </c>
      <c r="J176">
        <f>EXP(((-1)/(2*'Cálculos Diversos'!$B$5))*(SQRT(SUMXMY2('Tabela Entrada-Saída'!$B$176:$O$176,'Coordenadas dos Polos'!$DX$2:$EK$2)))^2)</f>
        <v>1.0228305576419724E-4</v>
      </c>
      <c r="K176">
        <f>EXP(((-1)/(2*'Cálculos Diversos'!$B$5))*(SQRT(SUMXMY2('Tabela Entrada-Saída'!$B$176:$O$176,'Coordenadas dos Polos'!$EL$2:$EY$2)))^2)</f>
        <v>4.3020156600549438E-6</v>
      </c>
      <c r="L176">
        <f>EXP(((-1)/(2*'Cálculos Diversos'!$B$5))*(SQRT(SUMXMY2('Tabela Entrada-Saída'!$B$176:$O$176,'Coordenadas dos Polos'!$EZ$2:$FM$2)))^2)</f>
        <v>6.3958070164743161E-7</v>
      </c>
      <c r="M176">
        <f>EXP(((-1)/(2*'Cálculos Diversos'!$B$5))*(SQRT(SUMXMY2('Tabela Entrada-Saída'!$B$176:$O$176,'Coordenadas dos Polos'!$FN$2:$GA$2)))^2)</f>
        <v>1.2813883384039268E-5</v>
      </c>
      <c r="N176">
        <f>EXP(((-1)/(2*'Cálculos Diversos'!$B$5))*(SQRT(SUMXMY2('Tabela Entrada-Saída'!$B$176:$O$176,'Coordenadas dos Polos'!$GB$2:$GO$2)))^2)</f>
        <v>3.165733346910234E-5</v>
      </c>
      <c r="O176">
        <f>EXP(((-1)/(2*'Cálculos Diversos'!$B$5))*(SQRT(SUMXMY2('Tabela Entrada-Saída'!$B$176:$O$176,'Coordenadas dos Polos'!$GP$2:$HC$2)))^2)</f>
        <v>2.6096474734669897E-6</v>
      </c>
      <c r="P176">
        <v>1</v>
      </c>
    </row>
    <row r="177" spans="1:16" x14ac:dyDescent="0.25">
      <c r="A177">
        <v>176</v>
      </c>
      <c r="B177">
        <f>EXP(((-1)/(2*'Cálculos Diversos'!$B$5))*(SQRT(SUMXMY2('Tabela Entrada-Saída'!$B$177:$O$177,'Coordenadas dos Polos'!$P$2:$AC$2)))^2)</f>
        <v>9.5444376750338122E-2</v>
      </c>
      <c r="C177">
        <f>EXP(((-1)/(2*'Cálculos Diversos'!$B$5))*(SQRT(SUMXMY2('Tabela Entrada-Saída'!$B$177:$O$177,'Coordenadas dos Polos'!$AD$2:$AQ$2)))^2)</f>
        <v>7.6544164541972418E-5</v>
      </c>
      <c r="D177">
        <f>EXP(((-1)/(2*'Cálculos Diversos'!$B$5))*(SQRT(SUMXMY2('Tabela Entrada-Saída'!$B$177:$O$177,'Coordenadas dos Polos'!$AR$2:$BE$2)))^2)</f>
        <v>2.7273601750596676E-5</v>
      </c>
      <c r="E177">
        <f>EXP(((-1)/(2*'Cálculos Diversos'!$B$5))*(SQRT(SUMXMY2('Tabela Entrada-Saída'!$B$177:$O$177,'Coordenadas dos Polos'!$BF$2:$BS$2)))^2)</f>
        <v>1.0228892568008091E-4</v>
      </c>
      <c r="F177">
        <f>EXP(((-1)/(2*'Cálculos Diversos'!$B$5))*(SQRT(SUMXMY2('Tabela Entrada-Saída'!$B$177:$O$177,'Coordenadas dos Polos'!$BT$2:$CG$2)))^2)</f>
        <v>2.6166886579281191E-6</v>
      </c>
      <c r="G177">
        <f>EXP(((-1)/(2*'Cálculos Diversos'!$B$5))*(SQRT(SUMXMY2('Tabela Entrada-Saída'!$B$177:$O$177,'Coordenadas dos Polos'!$CH$2:$CU$2)))^2)</f>
        <v>1.2731692120540505E-4</v>
      </c>
      <c r="H177">
        <f>EXP(((-1)/(2*'Cálculos Diversos'!$B$5))*(SQRT(SUMXMY2('Tabela Entrada-Saída'!$B$177:$O$177,'Coordenadas dos Polos'!$CV$2:$DI$2)))^2)</f>
        <v>5.9946129979770904E-6</v>
      </c>
      <c r="I177">
        <f>EXP(((-1)/(2*'Cálculos Diversos'!$B$5))*(SQRT(SUMXMY2('Tabela Entrada-Saída'!$B$177:$O$177,'Coordenadas dos Polos'!$DJ$2:$DW$2)))^2)</f>
        <v>2.6690691695038831E-4</v>
      </c>
      <c r="J177">
        <f>EXP(((-1)/(2*'Cálculos Diversos'!$B$5))*(SQRT(SUMXMY2('Tabela Entrada-Saída'!$B$177:$O$177,'Coordenadas dos Polos'!$DX$2:$EK$2)))^2)</f>
        <v>1.0228437019161106E-4</v>
      </c>
      <c r="K177">
        <f>EXP(((-1)/(2*'Cálculos Diversos'!$B$5))*(SQRT(SUMXMY2('Tabela Entrada-Saída'!$B$177:$O$177,'Coordenadas dos Polos'!$EL$2:$EY$2)))^2)</f>
        <v>4.3019607644589335E-6</v>
      </c>
      <c r="L177">
        <f>EXP(((-1)/(2*'Cálculos Diversos'!$B$5))*(SQRT(SUMXMY2('Tabela Entrada-Saída'!$B$177:$O$177,'Coordenadas dos Polos'!$EZ$2:$FM$2)))^2)</f>
        <v>6.3965382578045117E-7</v>
      </c>
      <c r="M177">
        <f>EXP(((-1)/(2*'Cálculos Diversos'!$B$5))*(SQRT(SUMXMY2('Tabela Entrada-Saída'!$B$177:$O$177,'Coordenadas dos Polos'!$FN$2:$GA$2)))^2)</f>
        <v>1.2815253500006378E-5</v>
      </c>
      <c r="N177">
        <f>EXP(((-1)/(2*'Cálculos Diversos'!$B$5))*(SQRT(SUMXMY2('Tabela Entrada-Saída'!$B$177:$O$177,'Coordenadas dos Polos'!$GB$2:$GO$2)))^2)</f>
        <v>3.1660038946437301E-5</v>
      </c>
      <c r="O177">
        <f>EXP(((-1)/(2*'Cálculos Diversos'!$B$5))*(SQRT(SUMXMY2('Tabela Entrada-Saída'!$B$177:$O$177,'Coordenadas dos Polos'!$GP$2:$HC$2)))^2)</f>
        <v>2.6098831317703262E-6</v>
      </c>
      <c r="P177">
        <v>1</v>
      </c>
    </row>
    <row r="178" spans="1:16" x14ac:dyDescent="0.25">
      <c r="A178">
        <v>177</v>
      </c>
      <c r="B178">
        <f>EXP(((-1)/(2*'Cálculos Diversos'!$B$5))*(SQRT(SUMXMY2('Tabela Entrada-Saída'!$B$178:$O$178,'Coordenadas dos Polos'!$P$2:$AC$2)))^2)</f>
        <v>9.5461521702747396E-2</v>
      </c>
      <c r="C178">
        <f>EXP(((-1)/(2*'Cálculos Diversos'!$B$5))*(SQRT(SUMXMY2('Tabela Entrada-Saída'!$B$178:$O$178,'Coordenadas dos Polos'!$AD$2:$AQ$2)))^2)</f>
        <v>7.6549961434730645E-5</v>
      </c>
      <c r="D178">
        <f>EXP(((-1)/(2*'Cálculos Diversos'!$B$5))*(SQRT(SUMXMY2('Tabela Entrada-Saída'!$B$178:$O$178,'Coordenadas dos Polos'!$AR$2:$BE$2)))^2)</f>
        <v>2.7273869802014324E-5</v>
      </c>
      <c r="E178">
        <f>EXP(((-1)/(2*'Cálculos Diversos'!$B$5))*(SQRT(SUMXMY2('Tabela Entrada-Saída'!$B$178:$O$178,'Coordenadas dos Polos'!$BF$2:$BS$2)))^2)</f>
        <v>1.0230256823735902E-4</v>
      </c>
      <c r="F178">
        <f>EXP(((-1)/(2*'Cálculos Diversos'!$B$5))*(SQRT(SUMXMY2('Tabela Entrada-Saída'!$B$178:$O$178,'Coordenadas dos Polos'!$BT$2:$CG$2)))^2)</f>
        <v>2.6171376333855799E-6</v>
      </c>
      <c r="G178">
        <f>EXP(((-1)/(2*'Cálculos Diversos'!$B$5))*(SQRT(SUMXMY2('Tabela Entrada-Saída'!$B$178:$O$178,'Coordenadas dos Polos'!$CH$2:$CU$2)))^2)</f>
        <v>1.2731918271056332E-4</v>
      </c>
      <c r="H178">
        <f>EXP(((-1)/(2*'Cálculos Diversos'!$B$5))*(SQRT(SUMXMY2('Tabela Entrada-Saída'!$B$178:$O$178,'Coordenadas dos Polos'!$CV$2:$DI$2)))^2)</f>
        <v>5.9949424394441869E-6</v>
      </c>
      <c r="I178">
        <f>EXP(((-1)/(2*'Cálculos Diversos'!$B$5))*(SQRT(SUMXMY2('Tabela Entrada-Saída'!$B$178:$O$178,'Coordenadas dos Polos'!$DJ$2:$DW$2)))^2)</f>
        <v>2.6689782280261206E-4</v>
      </c>
      <c r="J178">
        <f>EXP(((-1)/(2*'Cálculos Diversos'!$B$5))*(SQRT(SUMXMY2('Tabela Entrada-Saída'!$B$178:$O$178,'Coordenadas dos Polos'!$DX$2:$EK$2)))^2)</f>
        <v>1.0228947437684448E-4</v>
      </c>
      <c r="K178">
        <f>EXP(((-1)/(2*'Cálculos Diversos'!$B$5))*(SQRT(SUMXMY2('Tabela Entrada-Saída'!$B$178:$O$178,'Coordenadas dos Polos'!$EL$2:$EY$2)))^2)</f>
        <v>4.3020261822220064E-6</v>
      </c>
      <c r="L178">
        <f>EXP(((-1)/(2*'Cálculos Diversos'!$B$5))*(SQRT(SUMXMY2('Tabela Entrada-Saída'!$B$178:$O$178,'Coordenadas dos Polos'!$EZ$2:$FM$2)))^2)</f>
        <v>6.3975269810702922E-7</v>
      </c>
      <c r="M178">
        <f>EXP(((-1)/(2*'Cálculos Diversos'!$B$5))*(SQRT(SUMXMY2('Tabela Entrada-Saída'!$B$178:$O$178,'Coordenadas dos Polos'!$FN$2:$GA$2)))^2)</f>
        <v>1.2817055554970042E-5</v>
      </c>
      <c r="N178">
        <f>EXP(((-1)/(2*'Cálculos Diversos'!$B$5))*(SQRT(SUMXMY2('Tabela Entrada-Saída'!$B$178:$O$178,'Coordenadas dos Polos'!$GB$2:$GO$2)))^2)</f>
        <v>3.1664760754035471E-5</v>
      </c>
      <c r="O178">
        <f>EXP(((-1)/(2*'Cálculos Diversos'!$B$5))*(SQRT(SUMXMY2('Tabela Entrada-Saída'!$B$178:$O$178,'Coordenadas dos Polos'!$GP$2:$HC$2)))^2)</f>
        <v>2.6101559642733426E-6</v>
      </c>
      <c r="P178">
        <v>1</v>
      </c>
    </row>
    <row r="179" spans="1:16" x14ac:dyDescent="0.25">
      <c r="A179">
        <v>178</v>
      </c>
      <c r="B179">
        <f>EXP(((-1)/(2*'Cálculos Diversos'!$B$5))*(SQRT(SUMXMY2('Tabela Entrada-Saída'!$B$179:$O$179,'Coordenadas dos Polos'!$P$2:$AC$2)))^2)</f>
        <v>9.4846031226997016E-2</v>
      </c>
      <c r="C179">
        <f>EXP(((-1)/(2*'Cálculos Diversos'!$B$5))*(SQRT(SUMXMY2('Tabela Entrada-Saída'!$B$179:$O$179,'Coordenadas dos Polos'!$AD$2:$AQ$2)))^2)</f>
        <v>7.63883290517751E-5</v>
      </c>
      <c r="D179">
        <f>EXP(((-1)/(2*'Cálculos Diversos'!$B$5))*(SQRT(SUMXMY2('Tabela Entrada-Saída'!$B$179:$O$179,'Coordenadas dos Polos'!$AR$2:$BE$2)))^2)</f>
        <v>2.7277313057389565E-5</v>
      </c>
      <c r="E179">
        <f>EXP(((-1)/(2*'Cálculos Diversos'!$B$5))*(SQRT(SUMXMY2('Tabela Entrada-Saída'!$B$179:$O$179,'Coordenadas dos Polos'!$BF$2:$BS$2)))^2)</f>
        <v>1.018266153002944E-4</v>
      </c>
      <c r="F179">
        <f>EXP(((-1)/(2*'Cálculos Diversos'!$B$5))*(SQRT(SUMXMY2('Tabela Entrada-Saída'!$B$179:$O$179,'Coordenadas dos Polos'!$BT$2:$CG$2)))^2)</f>
        <v>2.6016327941204853E-6</v>
      </c>
      <c r="G179">
        <f>EXP(((-1)/(2*'Cálculos Diversos'!$B$5))*(SQRT(SUMXMY2('Tabela Entrada-Saída'!$B$179:$O$179,'Coordenadas dos Polos'!$CH$2:$CU$2)))^2)</f>
        <v>1.2726409206712129E-4</v>
      </c>
      <c r="H179">
        <f>EXP(((-1)/(2*'Cálculos Diversos'!$B$5))*(SQRT(SUMXMY2('Tabela Entrada-Saída'!$B$179:$O$179,'Coordenadas dos Polos'!$CV$2:$DI$2)))^2)</f>
        <v>5.9899432156508743E-6</v>
      </c>
      <c r="I179">
        <f>EXP(((-1)/(2*'Cálculos Diversos'!$B$5))*(SQRT(SUMXMY2('Tabela Entrada-Saída'!$B$179:$O$179,'Coordenadas dos Polos'!$DJ$2:$DW$2)))^2)</f>
        <v>2.672439818451782E-4</v>
      </c>
      <c r="J179">
        <f>EXP(((-1)/(2*'Cálculos Diversos'!$B$5))*(SQRT(SUMXMY2('Tabela Entrada-Saída'!$B$179:$O$179,'Coordenadas dos Polos'!$DX$2:$EK$2)))^2)</f>
        <v>1.0217116307334307E-4</v>
      </c>
      <c r="K179">
        <f>EXP(((-1)/(2*'Cálculos Diversos'!$B$5))*(SQRT(SUMXMY2('Tabela Entrada-Saída'!$B$179:$O$179,'Coordenadas dos Polos'!$EL$2:$EY$2)))^2)</f>
        <v>4.3020831418083401E-6</v>
      </c>
      <c r="L179">
        <f>EXP(((-1)/(2*'Cálculos Diversos'!$B$5))*(SQRT(SUMXMY2('Tabela Entrada-Saída'!$B$179:$O$179,'Coordenadas dos Polos'!$EZ$2:$FM$2)))^2)</f>
        <v>6.3648841240031779E-7</v>
      </c>
      <c r="M179">
        <f>EXP(((-1)/(2*'Cálculos Diversos'!$B$5))*(SQRT(SUMXMY2('Tabela Entrada-Saída'!$B$179:$O$179,'Coordenadas dos Polos'!$FN$2:$GA$2)))^2)</f>
        <v>1.2756880673523889E-5</v>
      </c>
      <c r="N179">
        <f>EXP(((-1)/(2*'Cálculos Diversos'!$B$5))*(SQRT(SUMXMY2('Tabela Entrada-Saída'!$B$179:$O$179,'Coordenadas dos Polos'!$GB$2:$GO$2)))^2)</f>
        <v>3.1526716394329414E-5</v>
      </c>
      <c r="O179">
        <f>EXP(((-1)/(2*'Cálculos Diversos'!$B$5))*(SQRT(SUMXMY2('Tabela Entrada-Saída'!$B$179:$O$179,'Coordenadas dos Polos'!$GP$2:$HC$2)))^2)</f>
        <v>2.600449604297935E-6</v>
      </c>
      <c r="P179">
        <v>1</v>
      </c>
    </row>
    <row r="180" spans="1:16" x14ac:dyDescent="0.25">
      <c r="A180">
        <v>179</v>
      </c>
      <c r="B180">
        <f>EXP(((-1)/(2*'Cálculos Diversos'!$B$5))*(SQRT(SUMXMY2('Tabela Entrada-Saída'!$B$180:$O$180,'Coordenadas dos Polos'!$P$2:$AC$2)))^2)</f>
        <v>9.5377089695485723E-2</v>
      </c>
      <c r="C180">
        <f>EXP(((-1)/(2*'Cálculos Diversos'!$B$5))*(SQRT(SUMXMY2('Tabela Entrada-Saída'!$B$180:$O$180,'Coordenadas dos Polos'!$AD$2:$AQ$2)))^2)</f>
        <v>7.6526456174054767E-5</v>
      </c>
      <c r="D180">
        <f>EXP(((-1)/(2*'Cálculos Diversos'!$B$5))*(SQRT(SUMXMY2('Tabela Entrada-Saída'!$B$180:$O$180,'Coordenadas dos Polos'!$AR$2:$BE$2)))^2)</f>
        <v>2.7273990916260238E-5</v>
      </c>
      <c r="E180">
        <f>EXP(((-1)/(2*'Cálculos Diversos'!$B$5))*(SQRT(SUMXMY2('Tabela Entrada-Saída'!$B$180:$O$180,'Coordenadas dos Polos'!$BF$2:$BS$2)))^2)</f>
        <v>1.0223700479293268E-4</v>
      </c>
      <c r="F180">
        <f>EXP(((-1)/(2*'Cálculos Diversos'!$B$5))*(SQRT(SUMXMY2('Tabela Entrada-Saída'!$B$180:$O$180,'Coordenadas dos Polos'!$BT$2:$CG$2)))^2)</f>
        <v>2.6150005439143305E-6</v>
      </c>
      <c r="G180">
        <f>EXP(((-1)/(2*'Cálculos Diversos'!$B$5))*(SQRT(SUMXMY2('Tabela Entrada-Saída'!$B$180:$O$180,'Coordenadas dos Polos'!$CH$2:$CU$2)))^2)</f>
        <v>1.2731099046541034E-4</v>
      </c>
      <c r="H180">
        <f>EXP(((-1)/(2*'Cálculos Diversos'!$B$5))*(SQRT(SUMXMY2('Tabela Entrada-Saída'!$B$180:$O$180,'Coordenadas dos Polos'!$CV$2:$DI$2)))^2)</f>
        <v>5.994048639978221E-6</v>
      </c>
      <c r="I180">
        <f>EXP(((-1)/(2*'Cálculos Diversos'!$B$5))*(SQRT(SUMXMY2('Tabela Entrada-Saída'!$B$180:$O$180,'Coordenadas dos Polos'!$DJ$2:$DW$2)))^2)</f>
        <v>2.669453357084718E-4</v>
      </c>
      <c r="J180">
        <f>EXP(((-1)/(2*'Cálculos Diversos'!$B$5))*(SQRT(SUMXMY2('Tabela Entrada-Saída'!$B$180:$O$180,'Coordenadas dos Polos'!$DX$2:$EK$2)))^2)</f>
        <v>1.0227154598179631E-4</v>
      </c>
      <c r="K180">
        <f>EXP(((-1)/(2*'Cálculos Diversos'!$B$5))*(SQRT(SUMXMY2('Tabela Entrada-Saída'!$B$180:$O$180,'Coordenadas dos Polos'!$EL$2:$EY$2)))^2)</f>
        <v>4.3019592968155701E-6</v>
      </c>
      <c r="L180">
        <f>EXP(((-1)/(2*'Cálculos Diversos'!$B$5))*(SQRT(SUMXMY2('Tabela Entrada-Saída'!$B$180:$O$180,'Coordenadas dos Polos'!$EZ$2:$FM$2)))^2)</f>
        <v>6.3929786527773559E-7</v>
      </c>
      <c r="M180">
        <f>EXP(((-1)/(2*'Cálculos Diversos'!$B$5))*(SQRT(SUMXMY2('Tabela Entrada-Saída'!$B$180:$O$180,'Coordenadas dos Polos'!$FN$2:$GA$2)))^2)</f>
        <v>1.2808687391536371E-5</v>
      </c>
      <c r="N180">
        <f>EXP(((-1)/(2*'Cálculos Diversos'!$B$5))*(SQRT(SUMXMY2('Tabela Entrada-Saída'!$B$180:$O$180,'Coordenadas dos Polos'!$GB$2:$GO$2)))^2)</f>
        <v>3.164484724670429E-5</v>
      </c>
      <c r="O180">
        <f>EXP(((-1)/(2*'Cálculos Diversos'!$B$5))*(SQRT(SUMXMY2('Tabela Entrada-Saída'!$B$180:$O$180,'Coordenadas dos Polos'!$GP$2:$HC$2)))^2)</f>
        <v>2.6088252829215489E-6</v>
      </c>
      <c r="P180">
        <v>1</v>
      </c>
    </row>
    <row r="181" spans="1:16" x14ac:dyDescent="0.25">
      <c r="A181">
        <v>180</v>
      </c>
      <c r="B181">
        <f>EXP(((-1)/(2*'Cálculos Diversos'!$B$5))*(SQRT(SUMXMY2('Tabela Entrada-Saída'!$B$181:$O$181,'Coordenadas dos Polos'!$P$2:$AC$2)))^2)</f>
        <v>9.5101532223805352E-2</v>
      </c>
      <c r="C181">
        <f>EXP(((-1)/(2*'Cálculos Diversos'!$B$5))*(SQRT(SUMXMY2('Tabela Entrada-Saída'!$B$181:$O$181,'Coordenadas dos Polos'!$AD$2:$AQ$2)))^2)</f>
        <v>7.6455296460800637E-5</v>
      </c>
      <c r="D181">
        <f>EXP(((-1)/(2*'Cálculos Diversos'!$B$5))*(SQRT(SUMXMY2('Tabela Entrada-Saída'!$B$181:$O$181,'Coordenadas dos Polos'!$AR$2:$BE$2)))^2)</f>
        <v>2.7275808153722005E-5</v>
      </c>
      <c r="E181">
        <f>EXP(((-1)/(2*'Cálculos Diversos'!$B$5))*(SQRT(SUMXMY2('Tabela Entrada-Saída'!$B$181:$O$181,'Coordenadas dos Polos'!$BF$2:$BS$2)))^2)</f>
        <v>1.0202431958883497E-4</v>
      </c>
      <c r="F181">
        <f>EXP(((-1)/(2*'Cálculos Diversos'!$B$5))*(SQRT(SUMXMY2('Tabela Entrada-Saída'!$B$181:$O$181,'Coordenadas dos Polos'!$BT$2:$CG$2)))^2)</f>
        <v>2.6080699205252805E-6</v>
      </c>
      <c r="G181">
        <f>EXP(((-1)/(2*'Cálculos Diversos'!$B$5))*(SQRT(SUMXMY2('Tabela Entrada-Saída'!$B$181:$O$181,'Coordenadas dos Polos'!$CH$2:$CU$2)))^2)</f>
        <v>1.2728723408794444E-4</v>
      </c>
      <c r="H181">
        <f>EXP(((-1)/(2*'Cálculos Diversos'!$B$5))*(SQRT(SUMXMY2('Tabela Entrada-Saída'!$B$181:$O$181,'Coordenadas dos Polos'!$CV$2:$DI$2)))^2)</f>
        <v>5.9919776727512969E-6</v>
      </c>
      <c r="I181">
        <f>EXP(((-1)/(2*'Cálculos Diversos'!$B$5))*(SQRT(SUMXMY2('Tabela Entrada-Saída'!$B$181:$O$181,'Coordenadas dos Polos'!$DJ$2:$DW$2)))^2)</f>
        <v>2.6710017229512602E-4</v>
      </c>
      <c r="J181">
        <f>EXP(((-1)/(2*'Cálculos Diversos'!$B$5))*(SQRT(SUMXMY2('Tabela Entrada-Saída'!$B$181:$O$181,'Coordenadas dos Polos'!$DX$2:$EK$2)))^2)</f>
        <v>1.022202739058954E-4</v>
      </c>
      <c r="K181">
        <f>EXP(((-1)/(2*'Cálculos Diversos'!$B$5))*(SQRT(SUMXMY2('Tabela Entrada-Saída'!$B$181:$O$181,'Coordenadas dos Polos'!$EL$2:$EY$2)))^2)</f>
        <v>4.302048092316798E-6</v>
      </c>
      <c r="L181">
        <f>EXP(((-1)/(2*'Cálculos Diversos'!$B$5))*(SQRT(SUMXMY2('Tabela Entrada-Saída'!$B$181:$O$181,'Coordenadas dos Polos'!$EZ$2:$FM$2)))^2)</f>
        <v>6.3784290978328034E-7</v>
      </c>
      <c r="M181">
        <f>EXP(((-1)/(2*'Cálculos Diversos'!$B$5))*(SQRT(SUMXMY2('Tabela Entrada-Saída'!$B$181:$O$181,'Coordenadas dos Polos'!$FN$2:$GA$2)))^2)</f>
        <v>1.2781852764155799E-5</v>
      </c>
      <c r="N181">
        <f>EXP(((-1)/(2*'Cálculos Diversos'!$B$5))*(SQRT(SUMXMY2('Tabela Entrada-Saída'!$B$181:$O$181,'Coordenadas dos Polos'!$GB$2:$GO$2)))^2)</f>
        <v>3.1583849444797941E-5</v>
      </c>
      <c r="O181">
        <f>EXP(((-1)/(2*'Cálculos Diversos'!$B$5))*(SQRT(SUMXMY2('Tabela Entrada-Saída'!$B$181:$O$181,'Coordenadas dos Polos'!$GP$2:$HC$2)))^2)</f>
        <v>2.6044874679459183E-6</v>
      </c>
      <c r="P181">
        <v>1</v>
      </c>
    </row>
    <row r="182" spans="1:16" x14ac:dyDescent="0.25">
      <c r="A182">
        <v>181</v>
      </c>
      <c r="B182">
        <f>EXP(((-1)/(2*'Cálculos Diversos'!$B$5))*(SQRT(SUMXMY2('Tabela Entrada-Saída'!$B$182:$O$182,'Coordenadas dos Polos'!$P$2:$AC$2)))^2)</f>
        <v>9.4861609450614601E-2</v>
      </c>
      <c r="C182">
        <f>EXP(((-1)/(2*'Cálculos Diversos'!$B$5))*(SQRT(SUMXMY2('Tabela Entrada-Saída'!$B$182:$O$182,'Coordenadas dos Polos'!$AD$2:$AQ$2)))^2)</f>
        <v>7.6392569730043995E-5</v>
      </c>
      <c r="D182">
        <f>EXP(((-1)/(2*'Cálculos Diversos'!$B$5))*(SQRT(SUMXMY2('Tabela Entrada-Saída'!$B$182:$O$182,'Coordenadas dos Polos'!$AR$2:$BE$2)))^2)</f>
        <v>2.7277238086977125E-5</v>
      </c>
      <c r="E182">
        <f>EXP(((-1)/(2*'Cálculos Diversos'!$B$5))*(SQRT(SUMXMY2('Tabela Entrada-Saída'!$B$182:$O$182,'Coordenadas dos Polos'!$BF$2:$BS$2)))^2)</f>
        <v>1.0183886956244322E-4</v>
      </c>
      <c r="F182">
        <f>EXP(((-1)/(2*'Cálculos Diversos'!$B$5))*(SQRT(SUMXMY2('Tabela Entrada-Saída'!$B$182:$O$182,'Coordenadas dos Polos'!$BT$2:$CG$2)))^2)</f>
        <v>2.6020392762631422E-6</v>
      </c>
      <c r="G182">
        <f>EXP(((-1)/(2*'Cálculos Diversos'!$B$5))*(SQRT(SUMXMY2('Tabela Entrada-Saída'!$B$182:$O$182,'Coordenadas dos Polos'!$CH$2:$CU$2)))^2)</f>
        <v>1.2726600095227809E-4</v>
      </c>
      <c r="H182">
        <f>EXP(((-1)/(2*'Cálculos Diversos'!$B$5))*(SQRT(SUMXMY2('Tabela Entrada-Saída'!$B$182:$O$182,'Coordenadas dos Polos'!$CV$2:$DI$2)))^2)</f>
        <v>5.9900733093728462E-6</v>
      </c>
      <c r="I182">
        <f>EXP(((-1)/(2*'Cálculos Diversos'!$B$5))*(SQRT(SUMXMY2('Tabela Entrada-Saída'!$B$182:$O$182,'Coordenadas dos Polos'!$DJ$2:$DW$2)))^2)</f>
        <v>2.6723544394444273E-4</v>
      </c>
      <c r="J182">
        <f>EXP(((-1)/(2*'Cálculos Diversos'!$B$5))*(SQRT(SUMXMY2('Tabela Entrada-Saída'!$B$182:$O$182,'Coordenadas dos Polos'!$DX$2:$EK$2)))^2)</f>
        <v>1.0217484426845784E-4</v>
      </c>
      <c r="K182">
        <f>EXP(((-1)/(2*'Cálculos Diversos'!$B$5))*(SQRT(SUMXMY2('Tabela Entrada-Saída'!$B$182:$O$182,'Coordenadas dos Polos'!$EL$2:$EY$2)))^2)</f>
        <v>4.3020806305836346E-6</v>
      </c>
      <c r="L182">
        <f>EXP(((-1)/(2*'Cálculos Diversos'!$B$5))*(SQRT(SUMXMY2('Tabela Entrada-Saída'!$B$182:$O$182,'Coordenadas dos Polos'!$EZ$2:$FM$2)))^2)</f>
        <v>6.3657383578091549E-7</v>
      </c>
      <c r="M182">
        <f>EXP(((-1)/(2*'Cálculos Diversos'!$B$5))*(SQRT(SUMXMY2('Tabela Entrada-Saída'!$B$182:$O$182,'Coordenadas dos Polos'!$FN$2:$GA$2)))^2)</f>
        <v>1.2758432908439137E-5</v>
      </c>
      <c r="N182">
        <f>EXP(((-1)/(2*'Cálculos Diversos'!$B$5))*(SQRT(SUMXMY2('Tabela Entrada-Saída'!$B$182:$O$182,'Coordenadas dos Polos'!$GB$2:$GO$2)))^2)</f>
        <v>3.1530248901252796E-5</v>
      </c>
      <c r="O182">
        <f>EXP(((-1)/(2*'Cálculos Diversos'!$B$5))*(SQRT(SUMXMY2('Tabela Entrada-Saída'!$B$182:$O$182,'Coordenadas dos Polos'!$GP$2:$HC$2)))^2)</f>
        <v>2.6007039974009277E-6</v>
      </c>
      <c r="P182">
        <v>1</v>
      </c>
    </row>
    <row r="183" spans="1:16" x14ac:dyDescent="0.25">
      <c r="A183">
        <v>182</v>
      </c>
      <c r="B183">
        <f>EXP(((-1)/(2*'Cálculos Diversos'!$B$5))*(SQRT(SUMXMY2('Tabela Entrada-Saída'!$B$183:$O$183,'Coordenadas dos Polos'!$P$2:$AC$2)))^2)</f>
        <v>9.5164080107093013E-2</v>
      </c>
      <c r="C183">
        <f>EXP(((-1)/(2*'Cálculos Diversos'!$B$5))*(SQRT(SUMXMY2('Tabela Entrada-Saída'!$B$183:$O$183,'Coordenadas dos Polos'!$AD$2:$AQ$2)))^2)</f>
        <v>7.6470100396937784E-5</v>
      </c>
      <c r="D183">
        <f>EXP(((-1)/(2*'Cálculos Diversos'!$B$5))*(SQRT(SUMXMY2('Tabela Entrada-Saída'!$B$183:$O$183,'Coordenadas dos Polos'!$AR$2:$BE$2)))^2)</f>
        <v>2.7275035655577902E-5</v>
      </c>
      <c r="E183">
        <f>EXP(((-1)/(2*'Cálculos Diversos'!$B$5))*(SQRT(SUMXMY2('Tabela Entrada-Saída'!$B$183:$O$183,'Coordenadas dos Polos'!$BF$2:$BS$2)))^2)</f>
        <v>1.0207190336527956E-4</v>
      </c>
      <c r="F183">
        <f>EXP(((-1)/(2*'Cálculos Diversos'!$B$5))*(SQRT(SUMXMY2('Tabela Entrada-Saída'!$B$183:$O$183,'Coordenadas dos Polos'!$BT$2:$CG$2)))^2)</f>
        <v>2.6096110593747239E-6</v>
      </c>
      <c r="G183">
        <f>EXP(((-1)/(2*'Cálculos Diversos'!$B$5))*(SQRT(SUMXMY2('Tabela Entrada-Saída'!$B$183:$O$183,'Coordenadas dos Polos'!$CH$2:$CU$2)))^2)</f>
        <v>1.272913253661747E-4</v>
      </c>
      <c r="H183">
        <f>EXP(((-1)/(2*'Cálculos Diversos'!$B$5))*(SQRT(SUMXMY2('Tabela Entrada-Saída'!$B$183:$O$183,'Coordenadas dos Polos'!$CV$2:$DI$2)))^2)</f>
        <v>5.9922767668377478E-6</v>
      </c>
      <c r="I183">
        <f>EXP(((-1)/(2*'Cálculos Diversos'!$B$5))*(SQRT(SUMXMY2('Tabela Entrada-Saída'!$B$183:$O$183,'Coordenadas dos Polos'!$DJ$2:$DW$2)))^2)</f>
        <v>2.6706393125321815E-4</v>
      </c>
      <c r="J183">
        <f>EXP(((-1)/(2*'Cálculos Diversos'!$B$5))*(SQRT(SUMXMY2('Tabela Entrada-Saída'!$B$183:$O$183,'Coordenadas dos Polos'!$DX$2:$EK$2)))^2)</f>
        <v>1.0222955354980978E-4</v>
      </c>
      <c r="K183">
        <f>EXP(((-1)/(2*'Cálculos Diversos'!$B$5))*(SQRT(SUMXMY2('Tabela Entrada-Saída'!$B$183:$O$183,'Coordenadas dos Polos'!$EL$2:$EY$2)))^2)</f>
        <v>4.3019652985036286E-6</v>
      </c>
      <c r="L183">
        <f>EXP(((-1)/(2*'Cálculos Diversos'!$B$5))*(SQRT(SUMXMY2('Tabela Entrada-Saída'!$B$183:$O$183,'Coordenadas dos Polos'!$EZ$2:$FM$2)))^2)</f>
        <v>6.3816239180595792E-7</v>
      </c>
      <c r="M183">
        <f>EXP(((-1)/(2*'Cálculos Diversos'!$B$5))*(SQRT(SUMXMY2('Tabela Entrada-Saída'!$B$183:$O$183,'Coordenadas dos Polos'!$FN$2:$GA$2)))^2)</f>
        <v>1.2787789128640018E-5</v>
      </c>
      <c r="N183">
        <f>EXP(((-1)/(2*'Cálculos Diversos'!$B$5))*(SQRT(SUMXMY2('Tabela Entrada-Saída'!$B$183:$O$183,'Coordenadas dos Polos'!$GB$2:$GO$2)))^2)</f>
        <v>3.1596883786665074E-5</v>
      </c>
      <c r="O183">
        <f>EXP(((-1)/(2*'Cálculos Diversos'!$B$5))*(SQRT(SUMXMY2('Tabela Entrada-Saída'!$B$183:$O$183,'Coordenadas dos Polos'!$GP$2:$HC$2)))^2)</f>
        <v>2.6054569891283323E-6</v>
      </c>
      <c r="P183">
        <v>1</v>
      </c>
    </row>
    <row r="184" spans="1:16" x14ac:dyDescent="0.25">
      <c r="A184">
        <v>183</v>
      </c>
      <c r="B184">
        <f>EXP(((-1)/(2*'Cálculos Diversos'!$B$5))*(SQRT(SUMXMY2('Tabela Entrada-Saída'!$B$184:$O$184,'Coordenadas dos Polos'!$P$2:$AC$2)))^2)</f>
        <v>9.4871702914829256E-2</v>
      </c>
      <c r="C184">
        <f>EXP(((-1)/(2*'Cálculos Diversos'!$B$5))*(SQRT(SUMXMY2('Tabela Entrada-Saída'!$B$184:$O$184,'Coordenadas dos Polos'!$AD$2:$AQ$2)))^2)</f>
        <v>7.6394581743252353E-5</v>
      </c>
      <c r="D184">
        <f>EXP(((-1)/(2*'Cálculos Diversos'!$B$5))*(SQRT(SUMXMY2('Tabela Entrada-Saída'!$B$184:$O$184,'Coordenadas dos Polos'!$AR$2:$BE$2)))^2)</f>
        <v>2.7277011150593584E-5</v>
      </c>
      <c r="E184">
        <f>EXP(((-1)/(2*'Cálculos Diversos'!$B$5))*(SQRT(SUMXMY2('Tabela Entrada-Saída'!$B$184:$O$184,'Coordenadas dos Polos'!$BF$2:$BS$2)))^2)</f>
        <v>1.0184639690736955E-4</v>
      </c>
      <c r="F184">
        <f>EXP(((-1)/(2*'Cálculos Diversos'!$B$5))*(SQRT(SUMXMY2('Tabela Entrada-Saída'!$B$184:$O$184,'Coordenadas dos Polos'!$BT$2:$CG$2)))^2)</f>
        <v>2.602278615315328E-6</v>
      </c>
      <c r="G184">
        <f>EXP(((-1)/(2*'Cálculos Diversos'!$B$5))*(SQRT(SUMXMY2('Tabela Entrada-Saída'!$B$184:$O$184,'Coordenadas dos Polos'!$CH$2:$CU$2)))^2)</f>
        <v>1.2726633599099979E-4</v>
      </c>
      <c r="H184">
        <f>EXP(((-1)/(2*'Cálculos Diversos'!$B$5))*(SQRT(SUMXMY2('Tabela Entrada-Saída'!$B$184:$O$184,'Coordenadas dos Polos'!$CV$2:$DI$2)))^2)</f>
        <v>5.9900704176721132E-6</v>
      </c>
      <c r="I184">
        <f>EXP(((-1)/(2*'Cálculos Diversos'!$B$5))*(SQRT(SUMXMY2('Tabela Entrada-Saída'!$B$184:$O$184,'Coordenadas dos Polos'!$DJ$2:$DW$2)))^2)</f>
        <v>2.672293355067127E-4</v>
      </c>
      <c r="J184">
        <f>EXP(((-1)/(2*'Cálculos Diversos'!$B$5))*(SQRT(SUMXMY2('Tabela Entrada-Saída'!$B$184:$O$184,'Coordenadas dos Polos'!$DX$2:$EK$2)))^2)</f>
        <v>1.0217566129408356E-4</v>
      </c>
      <c r="K184">
        <f>EXP(((-1)/(2*'Cálculos Diversos'!$B$5))*(SQRT(SUMXMY2('Tabela Entrada-Saída'!$B$184:$O$184,'Coordenadas dos Polos'!$EL$2:$EY$2)))^2)</f>
        <v>4.3020508346258972E-6</v>
      </c>
      <c r="L184">
        <f>EXP(((-1)/(2*'Cálculos Diversos'!$B$5))*(SQRT(SUMXMY2('Tabela Entrada-Saída'!$B$184:$O$184,'Coordenadas dos Polos'!$EZ$2:$FM$2)))^2)</f>
        <v>6.3662240613823169E-7</v>
      </c>
      <c r="M184">
        <f>EXP(((-1)/(2*'Cálculos Diversos'!$B$5))*(SQRT(SUMXMY2('Tabela Entrada-Saída'!$B$184:$O$184,'Coordenadas dos Polos'!$FN$2:$GA$2)))^2)</f>
        <v>1.2759348951390669E-5</v>
      </c>
      <c r="N184">
        <f>EXP(((-1)/(2*'Cálculos Diversos'!$B$5))*(SQRT(SUMXMY2('Tabela Entrada-Saída'!$B$184:$O$184,'Coordenadas dos Polos'!$GB$2:$GO$2)))^2)</f>
        <v>3.1532113686911971E-5</v>
      </c>
      <c r="O184">
        <f>EXP(((-1)/(2*'Cálculos Diversos'!$B$5))*(SQRT(SUMXMY2('Tabela Entrada-Saída'!$B$184:$O$184,'Coordenadas dos Polos'!$GP$2:$HC$2)))^2)</f>
        <v>2.6008578186933113E-6</v>
      </c>
      <c r="P184">
        <v>1</v>
      </c>
    </row>
    <row r="185" spans="1:16" x14ac:dyDescent="0.25">
      <c r="A185">
        <v>184</v>
      </c>
      <c r="B185">
        <f>EXP(((-1)/(2*'Cálculos Diversos'!$B$5))*(SQRT(SUMXMY2('Tabela Entrada-Saída'!$B$185:$O$185,'Coordenadas dos Polos'!$P$2:$AC$2)))^2)</f>
        <v>9.5138159302703459E-2</v>
      </c>
      <c r="C185">
        <f>EXP(((-1)/(2*'Cálculos Diversos'!$B$5))*(SQRT(SUMXMY2('Tabela Entrada-Saída'!$B$185:$O$185,'Coordenadas dos Polos'!$AD$2:$AQ$2)))^2)</f>
        <v>7.64651401858045E-5</v>
      </c>
      <c r="D185">
        <f>EXP(((-1)/(2*'Cálculos Diversos'!$B$5))*(SQRT(SUMXMY2('Tabela Entrada-Saída'!$B$185:$O$185,'Coordenadas dos Polos'!$AR$2:$BE$2)))^2)</f>
        <v>2.7275686542185412E-5</v>
      </c>
      <c r="E185">
        <f>EXP(((-1)/(2*'Cálculos Diversos'!$B$5))*(SQRT(SUMXMY2('Tabela Entrada-Saída'!$B$185:$O$185,'Coordenadas dos Polos'!$BF$2:$BS$2)))^2)</f>
        <v>1.0205281848479015E-4</v>
      </c>
      <c r="F185">
        <f>EXP(((-1)/(2*'Cálculos Diversos'!$B$5))*(SQRT(SUMXMY2('Tabela Entrada-Saída'!$B$185:$O$185,'Coordenadas dos Polos'!$BT$2:$CG$2)))^2)</f>
        <v>2.6090017756101544E-6</v>
      </c>
      <c r="G185">
        <f>EXP(((-1)/(2*'Cálculos Diversos'!$B$5))*(SQRT(SUMXMY2('Tabela Entrada-Saída'!$B$185:$O$185,'Coordenadas dos Polos'!$CH$2:$CU$2)))^2)</f>
        <v>1.2729076035807493E-4</v>
      </c>
      <c r="H185">
        <f>EXP(((-1)/(2*'Cálculos Diversos'!$B$5))*(SQRT(SUMXMY2('Tabela Entrada-Saída'!$B$185:$O$185,'Coordenadas dos Polos'!$CV$2:$DI$2)))^2)</f>
        <v>5.9923005657975557E-6</v>
      </c>
      <c r="I185">
        <f>EXP(((-1)/(2*'Cálculos Diversos'!$B$5))*(SQRT(SUMXMY2('Tabela Entrada-Saída'!$B$185:$O$185,'Coordenadas dos Polos'!$DJ$2:$DW$2)))^2)</f>
        <v>2.6708012440336494E-4</v>
      </c>
      <c r="J185">
        <f>EXP(((-1)/(2*'Cálculos Diversos'!$B$5))*(SQRT(SUMXMY2('Tabela Entrada-Saída'!$B$185:$O$185,'Coordenadas dos Polos'!$DX$2:$EK$2)))^2)</f>
        <v>1.022277570045101E-4</v>
      </c>
      <c r="K185">
        <f>EXP(((-1)/(2*'Cálculos Diversos'!$B$5))*(SQRT(SUMXMY2('Tabela Entrada-Saída'!$B$185:$O$185,'Coordenadas dos Polos'!$EL$2:$EY$2)))^2)</f>
        <v>4.3020536798234042E-6</v>
      </c>
      <c r="L185">
        <f>EXP(((-1)/(2*'Cálculos Diversos'!$B$5))*(SQRT(SUMXMY2('Tabela Entrada-Saída'!$B$185:$O$185,'Coordenadas dos Polos'!$EZ$2:$FM$2)))^2)</f>
        <v>6.3803969589954917E-7</v>
      </c>
      <c r="M185">
        <f>EXP(((-1)/(2*'Cálculos Diversos'!$B$5))*(SQRT(SUMXMY2('Tabela Entrada-Saída'!$B$185:$O$185,'Coordenadas dos Polos'!$FN$2:$GA$2)))^2)</f>
        <v>1.2785467976237599E-5</v>
      </c>
      <c r="N185">
        <f>EXP(((-1)/(2*'Cálculos Diversos'!$B$5))*(SQRT(SUMXMY2('Tabela Entrada-Saída'!$B$185:$O$185,'Coordenadas dos Polos'!$GB$2:$GO$2)))^2)</f>
        <v>3.159217853048003E-5</v>
      </c>
      <c r="O185">
        <f>EXP(((-1)/(2*'Cálculos Diversos'!$B$5))*(SQRT(SUMXMY2('Tabela Entrada-Saída'!$B$185:$O$185,'Coordenadas dos Polos'!$GP$2:$HC$2)))^2)</f>
        <v>2.6050689407732579E-6</v>
      </c>
      <c r="P185">
        <v>1</v>
      </c>
    </row>
    <row r="186" spans="1:16" x14ac:dyDescent="0.25">
      <c r="A186">
        <v>185</v>
      </c>
      <c r="B186">
        <f>EXP(((-1)/(2*'Cálculos Diversos'!$B$5))*(SQRT(SUMXMY2('Tabela Entrada-Saída'!$B$186:$O$186,'Coordenadas dos Polos'!$P$2:$AC$2)))^2)</f>
        <v>9.5264337016096476E-2</v>
      </c>
      <c r="C186">
        <f>EXP(((-1)/(2*'Cálculos Diversos'!$B$5))*(SQRT(SUMXMY2('Tabela Entrada-Saída'!$B$186:$O$186,'Coordenadas dos Polos'!$AD$2:$AQ$2)))^2)</f>
        <v>7.6497228826345767E-5</v>
      </c>
      <c r="D186">
        <f>EXP(((-1)/(2*'Cálculos Diversos'!$B$5))*(SQRT(SUMXMY2('Tabela Entrada-Saída'!$B$186:$O$186,'Coordenadas dos Polos'!$AR$2:$BE$2)))^2)</f>
        <v>2.7274727086661234E-5</v>
      </c>
      <c r="E186">
        <f>EXP(((-1)/(2*'Cálculos Diversos'!$B$5))*(SQRT(SUMXMY2('Tabela Entrada-Saída'!$B$186:$O$186,'Coordenadas dos Polos'!$BF$2:$BS$2)))^2)</f>
        <v>1.0214991141854918E-4</v>
      </c>
      <c r="F186">
        <f>EXP(((-1)/(2*'Cálculos Diversos'!$B$5))*(SQRT(SUMXMY2('Tabela Entrada-Saída'!$B$186:$O$186,'Coordenadas dos Polos'!$BT$2:$CG$2)))^2)</f>
        <v>2.6121570403002513E-6</v>
      </c>
      <c r="G186">
        <f>EXP(((-1)/(2*'Cálculos Diversos'!$B$5))*(SQRT(SUMXMY2('Tabela Entrada-Saída'!$B$186:$O$186,'Coordenadas dos Polos'!$CH$2:$CU$2)))^2)</f>
        <v>1.2730101443782032E-4</v>
      </c>
      <c r="H186">
        <f>EXP(((-1)/(2*'Cálculos Diversos'!$B$5))*(SQRT(SUMXMY2('Tabela Entrada-Saída'!$B$186:$O$186,'Coordenadas dos Polos'!$CV$2:$DI$2)))^2)</f>
        <v>5.9931910003716823E-6</v>
      </c>
      <c r="I186">
        <f>EXP(((-1)/(2*'Cálculos Diversos'!$B$5))*(SQRT(SUMXMY2('Tabela Entrada-Saída'!$B$186:$O$186,'Coordenadas dos Polos'!$DJ$2:$DW$2)))^2)</f>
        <v>2.6700867921241537E-4</v>
      </c>
      <c r="J186">
        <f>EXP(((-1)/(2*'Cálculos Diversos'!$B$5))*(SQRT(SUMXMY2('Tabela Entrada-Saída'!$B$186:$O$186,'Coordenadas dos Polos'!$DX$2:$EK$2)))^2)</f>
        <v>1.0225015357037456E-4</v>
      </c>
      <c r="K186">
        <f>EXP(((-1)/(2*'Cálculos Diversos'!$B$5))*(SQRT(SUMXMY2('Tabela Entrada-Saída'!$B$186:$O$186,'Coordenadas dos Polos'!$EL$2:$EY$2)))^2)</f>
        <v>4.3019949195909736E-6</v>
      </c>
      <c r="L186">
        <f>EXP(((-1)/(2*'Cálculos Diversos'!$B$5))*(SQRT(SUMXMY2('Tabela Entrada-Saída'!$B$186:$O$186,'Coordenadas dos Polos'!$EZ$2:$FM$2)))^2)</f>
        <v>6.3870102509140749E-7</v>
      </c>
      <c r="M186">
        <f>EXP(((-1)/(2*'Cálculos Diversos'!$B$5))*(SQRT(SUMXMY2('Tabela Entrada-Saída'!$B$186:$O$186,'Coordenadas dos Polos'!$FN$2:$GA$2)))^2)</f>
        <v>1.2797691250787951E-5</v>
      </c>
      <c r="N186">
        <f>EXP(((-1)/(2*'Cálculos Diversos'!$B$5))*(SQRT(SUMXMY2('Tabela Entrada-Saída'!$B$186:$O$186,'Coordenadas dos Polos'!$GB$2:$GO$2)))^2)</f>
        <v>3.1619830973739136E-5</v>
      </c>
      <c r="O186">
        <f>EXP(((-1)/(2*'Cálculos Diversos'!$B$5))*(SQRT(SUMXMY2('Tabela Entrada-Saída'!$B$186:$O$186,'Coordenadas dos Polos'!$GP$2:$HC$2)))^2)</f>
        <v>2.6070476201225425E-6</v>
      </c>
      <c r="P186">
        <v>1</v>
      </c>
    </row>
    <row r="187" spans="1:16" x14ac:dyDescent="0.25">
      <c r="A187">
        <v>186</v>
      </c>
      <c r="B187">
        <f>EXP(((-1)/(2*'Cálculos Diversos'!$B$5))*(SQRT(SUMXMY2('Tabela Entrada-Saída'!$B$187:$O$187,'Coordenadas dos Polos'!$P$2:$AC$2)))^2)</f>
        <v>9.4857680300024214E-2</v>
      </c>
      <c r="C187">
        <f>EXP(((-1)/(2*'Cálculos Diversos'!$B$5))*(SQRT(SUMXMY2('Tabela Entrada-Saída'!$B$187:$O$187,'Coordenadas dos Polos'!$AD$2:$AQ$2)))^2)</f>
        <v>7.6390005441692187E-5</v>
      </c>
      <c r="D187">
        <f>EXP(((-1)/(2*'Cálculos Diversos'!$B$5))*(SQRT(SUMXMY2('Tabela Entrada-Saída'!$B$187:$O$187,'Coordenadas dos Polos'!$AR$2:$BE$2)))^2)</f>
        <v>2.7276824683510521E-5</v>
      </c>
      <c r="E187">
        <f>EXP(((-1)/(2*'Cálculos Diversos'!$B$5))*(SQRT(SUMXMY2('Tabela Entrada-Saída'!$B$187:$O$187,'Coordenadas dos Polos'!$BF$2:$BS$2)))^2)</f>
        <v>1.018352087483035E-4</v>
      </c>
      <c r="F187">
        <f>EXP(((-1)/(2*'Cálculos Diversos'!$B$5))*(SQRT(SUMXMY2('Tabela Entrada-Saída'!$B$187:$O$187,'Coordenadas dos Polos'!$BT$2:$CG$2)))^2)</f>
        <v>2.6019168872085382E-6</v>
      </c>
      <c r="G187">
        <f>EXP(((-1)/(2*'Cálculos Diversos'!$B$5))*(SQRT(SUMXMY2('Tabela Entrada-Saída'!$B$187:$O$187,'Coordenadas dos Polos'!$CH$2:$CU$2)))^2)</f>
        <v>1.2726457625976759E-4</v>
      </c>
      <c r="H187">
        <f>EXP(((-1)/(2*'Cálculos Diversos'!$B$5))*(SQRT(SUMXMY2('Tabela Entrada-Saída'!$B$187:$O$187,'Coordenadas dos Polos'!$CV$2:$DI$2)))^2)</f>
        <v>5.9898285343553915E-6</v>
      </c>
      <c r="I187">
        <f>EXP(((-1)/(2*'Cálculos Diversos'!$B$5))*(SQRT(SUMXMY2('Tabela Entrada-Saída'!$B$187:$O$187,'Coordenadas dos Polos'!$DJ$2:$DW$2)))^2)</f>
        <v>2.6723670372671212E-4</v>
      </c>
      <c r="J187">
        <f>EXP(((-1)/(2*'Cálculos Diversos'!$B$5))*(SQRT(SUMXMY2('Tabela Entrada-Saída'!$B$187:$O$187,'Coordenadas dos Polos'!$DX$2:$EK$2)))^2)</f>
        <v>1.0217186955514627E-4</v>
      </c>
      <c r="K187">
        <f>EXP(((-1)/(2*'Cálculos Diversos'!$B$5))*(SQRT(SUMXMY2('Tabela Entrada-Saída'!$B$187:$O$187,'Coordenadas dos Polos'!$EL$2:$EY$2)))^2)</f>
        <v>4.3020009342558021E-6</v>
      </c>
      <c r="L187">
        <f>EXP(((-1)/(2*'Cálculos Diversos'!$B$5))*(SQRT(SUMXMY2('Tabela Entrada-Saída'!$B$187:$O$187,'Coordenadas dos Polos'!$EZ$2:$FM$2)))^2)</f>
        <v>6.3654272710540335E-7</v>
      </c>
      <c r="M187">
        <f>EXP(((-1)/(2*'Cálculos Diversos'!$B$5))*(SQRT(SUMXMY2('Tabela Entrada-Saída'!$B$187:$O$187,'Coordenadas dos Polos'!$FN$2:$GA$2)))^2)</f>
        <v>1.2757890835196727E-5</v>
      </c>
      <c r="N187">
        <f>EXP(((-1)/(2*'Cálculos Diversos'!$B$5))*(SQRT(SUMXMY2('Tabela Entrada-Saída'!$B$187:$O$187,'Coordenadas dos Polos'!$GB$2:$GO$2)))^2)</f>
        <v>3.1528375026303795E-5</v>
      </c>
      <c r="O187">
        <f>EXP(((-1)/(2*'Cálculos Diversos'!$B$5))*(SQRT(SUMXMY2('Tabela Entrada-Saída'!$B$187:$O$187,'Coordenadas dos Polos'!$GP$2:$HC$2)))^2)</f>
        <v>2.6006323610776929E-6</v>
      </c>
      <c r="P187">
        <v>1</v>
      </c>
    </row>
    <row r="188" spans="1:16" x14ac:dyDescent="0.25">
      <c r="A188">
        <v>187</v>
      </c>
      <c r="B188">
        <f>EXP(((-1)/(2*'Cálculos Diversos'!$B$5))*(SQRT(SUMXMY2('Tabela Entrada-Saída'!$B$188:$O$188,'Coordenadas dos Polos'!$P$2:$AC$2)))^2)</f>
        <v>9.5024288811762739E-2</v>
      </c>
      <c r="C188">
        <f>EXP(((-1)/(2*'Cálculos Diversos'!$B$5))*(SQRT(SUMXMY2('Tabela Entrada-Saída'!$B$188:$O$188,'Coordenadas dos Polos'!$AD$2:$AQ$2)))^2)</f>
        <v>7.6434855306214749E-5</v>
      </c>
      <c r="D188">
        <f>EXP(((-1)/(2*'Cálculos Diversos'!$B$5))*(SQRT(SUMXMY2('Tabela Entrada-Saída'!$B$188:$O$188,'Coordenadas dos Polos'!$AR$2:$BE$2)))^2)</f>
        <v>2.7276215206705444E-5</v>
      </c>
      <c r="E188">
        <f>EXP(((-1)/(2*'Cálculos Diversos'!$B$5))*(SQRT(SUMXMY2('Tabela Entrada-Saída'!$B$188:$O$188,'Coordenadas dos Polos'!$BF$2:$BS$2)))^2)</f>
        <v>1.0196466903066671E-4</v>
      </c>
      <c r="F188">
        <f>EXP(((-1)/(2*'Cálculos Diversos'!$B$5))*(SQRT(SUMXMY2('Tabela Entrada-Saída'!$B$188:$O$188,'Coordenadas dos Polos'!$BT$2:$CG$2)))^2)</f>
        <v>2.6061353729443303E-6</v>
      </c>
      <c r="G188">
        <f>EXP(((-1)/(2*'Cálculos Diversos'!$B$5))*(SQRT(SUMXMY2('Tabela Entrada-Saída'!$B$188:$O$188,'Coordenadas dos Polos'!$CH$2:$CU$2)))^2)</f>
        <v>1.2728047753392127E-4</v>
      </c>
      <c r="H188">
        <f>EXP(((-1)/(2*'Cálculos Diversos'!$B$5))*(SQRT(SUMXMY2('Tabela Entrada-Saída'!$B$188:$O$188,'Coordenadas dos Polos'!$CV$2:$DI$2)))^2)</f>
        <v>5.9913166772928489E-6</v>
      </c>
      <c r="I188">
        <f>EXP(((-1)/(2*'Cálculos Diversos'!$B$5))*(SQRT(SUMXMY2('Tabela Entrada-Saída'!$B$188:$O$188,'Coordenadas dos Polos'!$DJ$2:$DW$2)))^2)</f>
        <v>2.6714424515516546E-4</v>
      </c>
      <c r="J188">
        <f>EXP(((-1)/(2*'Cálculos Diversos'!$B$5))*(SQRT(SUMXMY2('Tabela Entrada-Saída'!$B$188:$O$188,'Coordenadas dos Polos'!$DX$2:$EK$2)))^2)</f>
        <v>1.0220550597123771E-4</v>
      </c>
      <c r="K188">
        <f>EXP(((-1)/(2*'Cálculos Diversos'!$B$5))*(SQRT(SUMXMY2('Tabela Entrada-Saída'!$B$188:$O$188,'Coordenadas dos Polos'!$EL$2:$EY$2)))^2)</f>
        <v>4.3020390226162486E-6</v>
      </c>
      <c r="L188">
        <f>EXP(((-1)/(2*'Cálculos Diversos'!$B$5))*(SQRT(SUMXMY2('Tabela Entrada-Saída'!$B$188:$O$188,'Coordenadas dos Polos'!$EZ$2:$FM$2)))^2)</f>
        <v>6.3743434143110725E-7</v>
      </c>
      <c r="M188">
        <f>EXP(((-1)/(2*'Cálculos Diversos'!$B$5))*(SQRT(SUMXMY2('Tabela Entrada-Saída'!$B$188:$O$188,'Coordenadas dos Polos'!$FN$2:$GA$2)))^2)</f>
        <v>1.2774306749251979E-5</v>
      </c>
      <c r="N188">
        <f>EXP(((-1)/(2*'Cálculos Diversos'!$B$5))*(SQRT(SUMXMY2('Tabela Entrada-Saída'!$B$188:$O$188,'Coordenadas dos Polos'!$GB$2:$GO$2)))^2)</f>
        <v>3.1566364683265562E-5</v>
      </c>
      <c r="O188">
        <f>EXP(((-1)/(2*'Cálculos Diversos'!$B$5))*(SQRT(SUMXMY2('Tabela Entrada-Saída'!$B$188:$O$188,'Coordenadas dos Polos'!$GP$2:$HC$2)))^2)</f>
        <v>2.6032731018105939E-6</v>
      </c>
      <c r="P188">
        <v>1</v>
      </c>
    </row>
    <row r="189" spans="1:16" x14ac:dyDescent="0.25">
      <c r="A189">
        <v>188</v>
      </c>
      <c r="B189">
        <f>EXP(((-1)/(2*'Cálculos Diversos'!$B$5))*(SQRT(SUMXMY2('Tabela Entrada-Saída'!$B$189:$O$189,'Coordenadas dos Polos'!$P$2:$AC$2)))^2)</f>
        <v>9.5092685696271592E-2</v>
      </c>
      <c r="C189">
        <f>EXP(((-1)/(2*'Cálculos Diversos'!$B$5))*(SQRT(SUMXMY2('Tabela Entrada-Saída'!$B$189:$O$189,'Coordenadas dos Polos'!$AD$2:$AQ$2)))^2)</f>
        <v>7.6452516498625789E-5</v>
      </c>
      <c r="D189">
        <f>EXP(((-1)/(2*'Cálculos Diversos'!$B$5))*(SQRT(SUMXMY2('Tabela Entrada-Saída'!$B$189:$O$189,'Coordenadas dos Polos'!$AR$2:$BE$2)))^2)</f>
        <v>2.727576834355305E-5</v>
      </c>
      <c r="E189">
        <f>EXP(((-1)/(2*'Cálculos Diversos'!$B$5))*(SQRT(SUMXMY2('Tabela Entrada-Saída'!$B$189:$O$189,'Coordenadas dos Polos'!$BF$2:$BS$2)))^2)</f>
        <v>1.0201719002601189E-4</v>
      </c>
      <c r="F189">
        <f>EXP(((-1)/(2*'Cálculos Diversos'!$B$5))*(SQRT(SUMXMY2('Tabela Entrada-Saída'!$B$189:$O$189,'Coordenadas dos Polos'!$BT$2:$CG$2)))^2)</f>
        <v>2.607831638524186E-6</v>
      </c>
      <c r="G189">
        <f>EXP(((-1)/(2*'Cálculos Diversos'!$B$5))*(SQRT(SUMXMY2('Tabela Entrada-Saída'!$B$189:$O$189,'Coordenadas dos Polos'!$CH$2:$CU$2)))^2)</f>
        <v>1.2728574525050401E-4</v>
      </c>
      <c r="H189">
        <f>EXP(((-1)/(2*'Cálculos Diversos'!$B$5))*(SQRT(SUMXMY2('Tabela Entrada-Saída'!$B$189:$O$189,'Coordenadas dos Polos'!$CV$2:$DI$2)))^2)</f>
        <v>5.9918548668189103E-6</v>
      </c>
      <c r="I189">
        <f>EXP(((-1)/(2*'Cálculos Diversos'!$B$5))*(SQRT(SUMXMY2('Tabela Entrada-Saída'!$B$189:$O$189,'Coordenadas dos Polos'!$DJ$2:$DW$2)))^2)</f>
        <v>2.6710497008193378E-4</v>
      </c>
      <c r="J189">
        <f>EXP(((-1)/(2*'Cálculos Diversos'!$B$5))*(SQRT(SUMXMY2('Tabela Entrada-Saída'!$B$189:$O$189,'Coordenadas dos Polos'!$DX$2:$EK$2)))^2)</f>
        <v>1.0221753832772421E-4</v>
      </c>
      <c r="K189">
        <f>EXP(((-1)/(2*'Cálculos Diversos'!$B$5))*(SQRT(SUMXMY2('Tabela Entrada-Saída'!$B$189:$O$189,'Coordenadas dos Polos'!$EL$2:$EY$2)))^2)</f>
        <v>4.3020312933392718E-6</v>
      </c>
      <c r="L189">
        <f>EXP(((-1)/(2*'Cálculos Diversos'!$B$5))*(SQRT(SUMXMY2('Tabela Entrada-Saída'!$B$189:$O$189,'Coordenadas dos Polos'!$EZ$2:$FM$2)))^2)</f>
        <v>6.3779163726206427E-7</v>
      </c>
      <c r="M189">
        <f>EXP(((-1)/(2*'Cálculos Diversos'!$B$5))*(SQRT(SUMXMY2('Tabela Entrada-Saída'!$B$189:$O$189,'Coordenadas dos Polos'!$FN$2:$GA$2)))^2)</f>
        <v>1.2780933845767158E-5</v>
      </c>
      <c r="N189">
        <f>EXP(((-1)/(2*'Cálculos Diversos'!$B$5))*(SQRT(SUMXMY2('Tabela Entrada-Saída'!$B$189:$O$189,'Coordenadas dos Polos'!$GB$2:$GO$2)))^2)</f>
        <v>3.1581596014394605E-5</v>
      </c>
      <c r="O189">
        <f>EXP(((-1)/(2*'Cálculos Diversos'!$B$5))*(SQRT(SUMXMY2('Tabela Entrada-Saída'!$B$189:$O$189,'Coordenadas dos Polos'!$GP$2:$HC$2)))^2)</f>
        <v>2.6043382915165633E-6</v>
      </c>
      <c r="P189">
        <v>1</v>
      </c>
    </row>
    <row r="190" spans="1:16" x14ac:dyDescent="0.25">
      <c r="A190">
        <v>189</v>
      </c>
      <c r="B190">
        <f>EXP(((-1)/(2*'Cálculos Diversos'!$B$5))*(SQRT(SUMXMY2('Tabela Entrada-Saída'!$B$190:$O$190,'Coordenadas dos Polos'!$P$2:$AC$2)))^2)</f>
        <v>9.5299105790116814E-2</v>
      </c>
      <c r="C190">
        <f>EXP(((-1)/(2*'Cálculos Diversos'!$B$5))*(SQRT(SUMXMY2('Tabela Entrada-Saída'!$B$190:$O$190,'Coordenadas dos Polos'!$AD$2:$AQ$2)))^2)</f>
        <v>7.6507287700774897E-5</v>
      </c>
      <c r="D190">
        <f>EXP(((-1)/(2*'Cálculos Diversos'!$B$5))*(SQRT(SUMXMY2('Tabela Entrada-Saída'!$B$190:$O$190,'Coordenadas dos Polos'!$AR$2:$BE$2)))^2)</f>
        <v>2.727475531798869E-5</v>
      </c>
      <c r="E190">
        <f>EXP(((-1)/(2*'Cálculos Diversos'!$B$5))*(SQRT(SUMXMY2('Tabela Entrada-Saída'!$B$190:$O$190,'Coordenadas dos Polos'!$BF$2:$BS$2)))^2)</f>
        <v>1.0217706211872833E-4</v>
      </c>
      <c r="F190">
        <f>EXP(((-1)/(2*'Cálculos Diversos'!$B$5))*(SQRT(SUMXMY2('Tabela Entrada-Saída'!$B$190:$O$190,'Coordenadas dos Polos'!$BT$2:$CG$2)))^2)</f>
        <v>2.6130480630723567E-6</v>
      </c>
      <c r="G190">
        <f>EXP(((-1)/(2*'Cálculos Diversos'!$B$5))*(SQRT(SUMXMY2('Tabela Entrada-Saída'!$B$190:$O$190,'Coordenadas dos Polos'!$CH$2:$CU$2)))^2)</f>
        <v>1.2730484253374442E-4</v>
      </c>
      <c r="H190">
        <f>EXP(((-1)/(2*'Cálculos Diversos'!$B$5))*(SQRT(SUMXMY2('Tabela Entrada-Saída'!$B$190:$O$190,'Coordenadas dos Polos'!$CV$2:$DI$2)))^2)</f>
        <v>5.9936074521928559E-6</v>
      </c>
      <c r="I190">
        <f>EXP(((-1)/(2*'Cálculos Diversos'!$B$5))*(SQRT(SUMXMY2('Tabela Entrada-Saída'!$B$190:$O$190,'Coordenadas dos Polos'!$DJ$2:$DW$2)))^2)</f>
        <v>2.66989197815279E-4</v>
      </c>
      <c r="J190">
        <f>EXP(((-1)/(2*'Cálculos Diversos'!$B$5))*(SQRT(SUMXMY2('Tabela Entrada-Saída'!$B$190:$O$190,'Coordenadas dos Polos'!$DX$2:$EK$2)))^2)</f>
        <v>1.0225830858572408E-4</v>
      </c>
      <c r="K190">
        <f>EXP(((-1)/(2*'Cálculos Diversos'!$B$5))*(SQRT(SUMXMY2('Tabela Entrada-Saída'!$B$190:$O$190,'Coordenadas dos Polos'!$EL$2:$EY$2)))^2)</f>
        <v>4.3020361981328426E-6</v>
      </c>
      <c r="L190">
        <f>EXP(((-1)/(2*'Cálculos Diversos'!$B$5))*(SQRT(SUMXMY2('Tabela Entrada-Saída'!$B$190:$O$190,'Coordenadas dos Polos'!$EZ$2:$FM$2)))^2)</f>
        <v>6.3889135135232272E-7</v>
      </c>
      <c r="M190">
        <f>EXP(((-1)/(2*'Cálculos Diversos'!$B$5))*(SQRT(SUMXMY2('Tabela Entrada-Saída'!$B$190:$O$190,'Coordenadas dos Polos'!$FN$2:$GA$2)))^2)</f>
        <v>1.2801178044625552E-5</v>
      </c>
      <c r="N190">
        <f>EXP(((-1)/(2*'Cálculos Diversos'!$B$5))*(SQRT(SUMXMY2('Tabela Entrada-Saída'!$B$190:$O$190,'Coordenadas dos Polos'!$GB$2:$GO$2)))^2)</f>
        <v>3.1628268338122348E-5</v>
      </c>
      <c r="O190">
        <f>EXP(((-1)/(2*'Cálculos Diversos'!$B$5))*(SQRT(SUMXMY2('Tabela Entrada-Saída'!$B$190:$O$190,'Coordenadas dos Polos'!$GP$2:$HC$2)))^2)</f>
        <v>2.6075997599090784E-6</v>
      </c>
      <c r="P190">
        <v>1</v>
      </c>
    </row>
    <row r="191" spans="1:16" x14ac:dyDescent="0.25">
      <c r="A191">
        <v>190</v>
      </c>
      <c r="B191">
        <f>EXP(((-1)/(2*'Cálculos Diversos'!$B$5))*(SQRT(SUMXMY2('Tabela Entrada-Saída'!$B$191:$O$191,'Coordenadas dos Polos'!$P$2:$AC$2)))^2)</f>
        <v>9.4866239238006425E-2</v>
      </c>
      <c r="C191">
        <f>EXP(((-1)/(2*'Cálculos Diversos'!$B$5))*(SQRT(SUMXMY2('Tabela Entrada-Saída'!$B$191:$O$191,'Coordenadas dos Polos'!$AD$2:$AQ$2)))^2)</f>
        <v>7.6393046344423049E-5</v>
      </c>
      <c r="D191">
        <f>EXP(((-1)/(2*'Cálculos Diversos'!$B$5))*(SQRT(SUMXMY2('Tabela Entrada-Saída'!$B$191:$O$191,'Coordenadas dos Polos'!$AR$2:$BE$2)))^2)</f>
        <v>2.727699158957535E-5</v>
      </c>
      <c r="E191">
        <f>EXP(((-1)/(2*'Cálculos Diversos'!$B$5))*(SQRT(SUMXMY2('Tabela Entrada-Saída'!$B$191:$O$191,'Coordenadas dos Polos'!$BF$2:$BS$2)))^2)</f>
        <v>1.018422531938672E-4</v>
      </c>
      <c r="F191">
        <f>EXP(((-1)/(2*'Cálculos Diversos'!$B$5))*(SQRT(SUMXMY2('Tabela Entrada-Saída'!$B$191:$O$191,'Coordenadas dos Polos'!$BT$2:$CG$2)))^2)</f>
        <v>2.6021508322403852E-6</v>
      </c>
      <c r="G191">
        <f>EXP(((-1)/(2*'Cálculos Diversos'!$B$5))*(SQRT(SUMXMY2('Tabela Entrada-Saída'!$B$191:$O$191,'Coordenadas dos Polos'!$CH$2:$CU$2)))^2)</f>
        <v>1.2726613631975866E-4</v>
      </c>
      <c r="H191">
        <f>EXP(((-1)/(2*'Cálculos Diversos'!$B$5))*(SQRT(SUMXMY2('Tabela Entrada-Saída'!$B$191:$O$191,'Coordenadas dos Polos'!$CV$2:$DI$2)))^2)</f>
        <v>5.9899984957137756E-6</v>
      </c>
      <c r="I191">
        <f>EXP(((-1)/(2*'Cálculos Diversos'!$B$5))*(SQRT(SUMXMY2('Tabela Entrada-Saída'!$B$191:$O$191,'Coordenadas dos Polos'!$DJ$2:$DW$2)))^2)</f>
        <v>2.6723254614389303E-4</v>
      </c>
      <c r="J191">
        <f>EXP(((-1)/(2*'Cálculos Diversos'!$B$5))*(SQRT(SUMXMY2('Tabela Entrada-Saída'!$B$191:$O$191,'Coordenadas dos Polos'!$DX$2:$EK$2)))^2)</f>
        <v>1.0217486512382063E-4</v>
      </c>
      <c r="K191">
        <f>EXP(((-1)/(2*'Cálculos Diversos'!$B$5))*(SQRT(SUMXMY2('Tabela Entrada-Saída'!$B$191:$O$191,'Coordenadas dos Polos'!$EL$2:$EY$2)))^2)</f>
        <v>4.3020379815982171E-6</v>
      </c>
      <c r="L191">
        <f>EXP(((-1)/(2*'Cálculos Diversos'!$B$5))*(SQRT(SUMXMY2('Tabela Entrada-Saída'!$B$191:$O$191,'Coordenadas dos Polos'!$EZ$2:$FM$2)))^2)</f>
        <v>6.3659447331573856E-7</v>
      </c>
      <c r="M191">
        <f>EXP(((-1)/(2*'Cálculos Diversos'!$B$5))*(SQRT(SUMXMY2('Tabela Entrada-Saída'!$B$191:$O$191,'Coordenadas dos Polos'!$FN$2:$GA$2)))^2)</f>
        <v>1.2758817957184317E-5</v>
      </c>
      <c r="N191">
        <f>EXP(((-1)/(2*'Cálculos Diversos'!$B$5))*(SQRT(SUMXMY2('Tabela Entrada-Saída'!$B$191:$O$191,'Coordenadas dos Polos'!$GB$2:$GO$2)))^2)</f>
        <v>3.1530777618086383E-5</v>
      </c>
      <c r="O191">
        <f>EXP(((-1)/(2*'Cálculos Diversos'!$B$5))*(SQRT(SUMXMY2('Tabela Entrada-Saída'!$B$191:$O$191,'Coordenadas dos Polos'!$GP$2:$HC$2)))^2)</f>
        <v>2.6007773252352739E-6</v>
      </c>
      <c r="P191">
        <v>1</v>
      </c>
    </row>
    <row r="192" spans="1:16" x14ac:dyDescent="0.25">
      <c r="A192">
        <v>191</v>
      </c>
      <c r="B192">
        <f>EXP(((-1)/(2*'Cálculos Diversos'!$B$5))*(SQRT(SUMXMY2('Tabela Entrada-Saída'!$B$192:$O$192,'Coordenadas dos Polos'!$P$2:$AC$2)))^2)</f>
        <v>9.5121945635444113E-2</v>
      </c>
      <c r="C192">
        <f>EXP(((-1)/(2*'Cálculos Diversos'!$B$5))*(SQRT(SUMXMY2('Tabela Entrada-Saída'!$B$192:$O$192,'Coordenadas dos Polos'!$AD$2:$AQ$2)))^2)</f>
        <v>7.6460280268221605E-5</v>
      </c>
      <c r="D192">
        <f>EXP(((-1)/(2*'Cálculos Diversos'!$B$5))*(SQRT(SUMXMY2('Tabela Entrada-Saída'!$B$192:$O$192,'Coordenadas dos Polos'!$AR$2:$BE$2)))^2)</f>
        <v>2.7275594995569096E-5</v>
      </c>
      <c r="E192">
        <f>EXP(((-1)/(2*'Cálculos Diversos'!$B$5))*(SQRT(SUMXMY2('Tabela Entrada-Saída'!$B$192:$O$192,'Coordenadas dos Polos'!$BF$2:$BS$2)))^2)</f>
        <v>1.0203993628494831E-4</v>
      </c>
      <c r="F192">
        <f>EXP(((-1)/(2*'Cálculos Diversos'!$B$5))*(SQRT(SUMXMY2('Tabela Entrada-Saída'!$B$192:$O$192,'Coordenadas dos Polos'!$BT$2:$CG$2)))^2)</f>
        <v>2.6085782820724057E-6</v>
      </c>
      <c r="G192">
        <f>EXP(((-1)/(2*'Cálculos Diversos'!$B$5))*(SQRT(SUMXMY2('Tabela Entrada-Saída'!$B$192:$O$192,'Coordenadas dos Polos'!$CH$2:$CU$2)))^2)</f>
        <v>1.2728875732384925E-4</v>
      </c>
      <c r="H192">
        <f>EXP(((-1)/(2*'Cálculos Diversos'!$B$5))*(SQRT(SUMXMY2('Tabela Entrada-Saída'!$B$192:$O$192,'Coordenadas dos Polos'!$CV$2:$DI$2)))^2)</f>
        <v>5.9920930166220117E-6</v>
      </c>
      <c r="I192">
        <f>EXP(((-1)/(2*'Cálculos Diversos'!$B$5))*(SQRT(SUMXMY2('Tabela Entrada-Saída'!$B$192:$O$192,'Coordenadas dos Polos'!$DJ$2:$DW$2)))^2)</f>
        <v>2.6708852166249181E-4</v>
      </c>
      <c r="J192">
        <f>EXP(((-1)/(2*'Cálculos Diversos'!$B$5))*(SQRT(SUMXMY2('Tabela Entrada-Saída'!$B$192:$O$192,'Coordenadas dos Polos'!$DX$2:$EK$2)))^2)</f>
        <v>1.0222361596353215E-4</v>
      </c>
      <c r="K192">
        <f>EXP(((-1)/(2*'Cálculos Diversos'!$B$5))*(SQRT(SUMXMY2('Tabela Entrada-Saída'!$B$192:$O$192,'Coordenadas dos Polos'!$EL$2:$EY$2)))^2)</f>
        <v>4.3020264669943783E-6</v>
      </c>
      <c r="L192">
        <f>EXP(((-1)/(2*'Cálculos Diversos'!$B$5))*(SQRT(SUMXMY2('Tabela Entrada-Saída'!$B$192:$O$192,'Coordenadas dos Polos'!$EZ$2:$FM$2)))^2)</f>
        <v>6.3794859369312785E-7</v>
      </c>
      <c r="M192">
        <f>EXP(((-1)/(2*'Cálculos Diversos'!$B$5))*(SQRT(SUMXMY2('Tabela Entrada-Saída'!$B$192:$O$192,'Coordenadas dos Polos'!$FN$2:$GA$2)))^2)</f>
        <v>1.2783809848819335E-5</v>
      </c>
      <c r="N192">
        <f>EXP(((-1)/(2*'Cálculos Diversos'!$B$5))*(SQRT(SUMXMY2('Tabela Entrada-Saída'!$B$192:$O$192,'Coordenadas dos Polos'!$GB$2:$GO$2)))^2)</f>
        <v>3.1588186807958984E-5</v>
      </c>
      <c r="O192">
        <f>EXP(((-1)/(2*'Cálculos Diversos'!$B$5))*(SQRT(SUMXMY2('Tabela Entrada-Saída'!$B$192:$O$192,'Coordenadas dos Polos'!$GP$2:$HC$2)))^2)</f>
        <v>2.6048060168188732E-6</v>
      </c>
      <c r="P192">
        <v>1</v>
      </c>
    </row>
    <row r="193" spans="1:16" x14ac:dyDescent="0.25">
      <c r="A193">
        <v>192</v>
      </c>
      <c r="B193">
        <f>EXP(((-1)/(2*'Cálculos Diversos'!$B$5))*(SQRT(SUMXMY2('Tabela Entrada-Saída'!$B$193:$O$193,'Coordenadas dos Polos'!$P$2:$AC$2)))^2)</f>
        <v>9.4933376098442782E-2</v>
      </c>
      <c r="C193">
        <f>EXP(((-1)/(2*'Cálculos Diversos'!$B$5))*(SQRT(SUMXMY2('Tabela Entrada-Saída'!$B$193:$O$193,'Coordenadas dos Polos'!$AD$2:$AQ$2)))^2)</f>
        <v>7.6411208886120014E-5</v>
      </c>
      <c r="D193">
        <f>EXP(((-1)/(2*'Cálculos Diversos'!$B$5))*(SQRT(SUMXMY2('Tabela Entrada-Saída'!$B$193:$O$193,'Coordenadas dos Polos'!$AR$2:$BE$2)))^2)</f>
        <v>2.727678225028672E-5</v>
      </c>
      <c r="E193">
        <f>EXP(((-1)/(2*'Cálculos Diversos'!$B$5))*(SQRT(SUMXMY2('Tabela Entrada-Saída'!$B$193:$O$193,'Coordenadas dos Polos'!$BF$2:$BS$2)))^2)</f>
        <v>1.0189435371924409E-4</v>
      </c>
      <c r="F193">
        <f>EXP(((-1)/(2*'Cálculos Diversos'!$B$5))*(SQRT(SUMXMY2('Tabela Entrada-Saída'!$B$193:$O$193,'Coordenadas dos Polos'!$BT$2:$CG$2)))^2)</f>
        <v>2.6038454635517732E-6</v>
      </c>
      <c r="G193">
        <f>EXP(((-1)/(2*'Cálculos Diversos'!$B$5))*(SQRT(SUMXMY2('Tabela Entrada-Saída'!$B$193:$O$193,'Coordenadas dos Polos'!$CH$2:$CU$2)))^2)</f>
        <v>1.2727237516436951E-4</v>
      </c>
      <c r="H193">
        <f>EXP(((-1)/(2*'Cálculos Diversos'!$B$5))*(SQRT(SUMXMY2('Tabela Entrada-Saída'!$B$193:$O$193,'Coordenadas dos Polos'!$CV$2:$DI$2)))^2)</f>
        <v>5.9906208340660786E-6</v>
      </c>
      <c r="I193">
        <f>EXP(((-1)/(2*'Cálculos Diversos'!$B$5))*(SQRT(SUMXMY2('Tabela Entrada-Saída'!$B$193:$O$193,'Coordenadas dos Polos'!$DJ$2:$DW$2)))^2)</f>
        <v>2.6719514478144564E-4</v>
      </c>
      <c r="J193">
        <f>EXP(((-1)/(2*'Cálculos Diversos'!$B$5))*(SQRT(SUMXMY2('Tabela Entrada-Saída'!$B$193:$O$193,'Coordenadas dos Polos'!$DX$2:$EK$2)))^2)</f>
        <v>1.0218833687637153E-4</v>
      </c>
      <c r="K193">
        <f>EXP(((-1)/(2*'Cálculos Diversos'!$B$5))*(SQRT(SUMXMY2('Tabela Entrada-Saída'!$B$193:$O$193,'Coordenadas dos Polos'!$EL$2:$EY$2)))^2)</f>
        <v>4.3020619403893009E-6</v>
      </c>
      <c r="L193">
        <f>EXP(((-1)/(2*'Cálculos Diversos'!$B$5))*(SQRT(SUMXMY2('Tabela Entrada-Saída'!$B$193:$O$193,'Coordenadas dos Polos'!$EZ$2:$FM$2)))^2)</f>
        <v>6.369533039831052E-7</v>
      </c>
      <c r="M193">
        <f>EXP(((-1)/(2*'Cálculos Diversos'!$B$5))*(SQRT(SUMXMY2('Tabela Entrada-Saída'!$B$193:$O$193,'Coordenadas dos Polos'!$FN$2:$GA$2)))^2)</f>
        <v>1.2765432416232408E-5</v>
      </c>
      <c r="N193">
        <f>EXP(((-1)/(2*'Cálculos Diversos'!$B$5))*(SQRT(SUMXMY2('Tabela Entrada-Saída'!$B$193:$O$193,'Coordenadas dos Polos'!$GB$2:$GO$2)))^2)</f>
        <v>3.154618137396771E-5</v>
      </c>
      <c r="O193">
        <f>EXP(((-1)/(2*'Cálculos Diversos'!$B$5))*(SQRT(SUMXMY2('Tabela Entrada-Saída'!$B$193:$O$193,'Coordenadas dos Polos'!$GP$2:$HC$2)))^2)</f>
        <v>2.6018373726315768E-6</v>
      </c>
      <c r="P193">
        <v>1</v>
      </c>
    </row>
    <row r="194" spans="1:16" x14ac:dyDescent="0.25">
      <c r="A194">
        <v>193</v>
      </c>
      <c r="B194">
        <f>EXP(((-1)/(2*'Cálculos Diversos'!$B$5))*(SQRT(SUMXMY2('Tabela Entrada-Saída'!$B$194:$O$194,'Coordenadas dos Polos'!$P$2:$AC$2)))^2)</f>
        <v>9.5060799825368664E-2</v>
      </c>
      <c r="C194">
        <f>EXP(((-1)/(2*'Cálculos Diversos'!$B$5))*(SQRT(SUMXMY2('Tabela Entrada-Saída'!$B$194:$O$194,'Coordenadas dos Polos'!$AD$2:$AQ$2)))^2)</f>
        <v>7.644446926840792E-5</v>
      </c>
      <c r="D194">
        <f>EXP(((-1)/(2*'Cálculos Diversos'!$B$5))*(SQRT(SUMXMY2('Tabela Entrada-Saída'!$B$194:$O$194,'Coordenadas dos Polos'!$AR$2:$BE$2)))^2)</f>
        <v>2.7275993472244787E-5</v>
      </c>
      <c r="E194">
        <f>EXP(((-1)/(2*'Cálculos Diversos'!$B$5))*(SQRT(SUMXMY2('Tabela Entrada-Saída'!$B$194:$O$194,'Coordenadas dos Polos'!$BF$2:$BS$2)))^2)</f>
        <v>1.0199285949127161E-4</v>
      </c>
      <c r="F194">
        <f>EXP(((-1)/(2*'Cálculos Diversos'!$B$5))*(SQRT(SUMXMY2('Tabela Entrada-Saída'!$B$194:$O$194,'Coordenadas dos Polos'!$BT$2:$CG$2)))^2)</f>
        <v>2.6070506710259822E-6</v>
      </c>
      <c r="G194">
        <f>EXP(((-1)/(2*'Cálculos Diversos'!$B$5))*(SQRT(SUMXMY2('Tabela Entrada-Saída'!$B$194:$O$194,'Coordenadas dos Polos'!$CH$2:$CU$2)))^2)</f>
        <v>1.2728373828294602E-4</v>
      </c>
      <c r="H194">
        <f>EXP(((-1)/(2*'Cálculos Diversos'!$B$5))*(SQRT(SUMXMY2('Tabela Entrada-Saída'!$B$194:$O$194,'Coordenadas dos Polos'!$CV$2:$DI$2)))^2)</f>
        <v>5.9916201645781968E-6</v>
      </c>
      <c r="I194">
        <f>EXP(((-1)/(2*'Cálculos Diversos'!$B$5))*(SQRT(SUMXMY2('Tabela Entrada-Saída'!$B$194:$O$194,'Coordenadas dos Polos'!$DJ$2:$DW$2)))^2)</f>
        <v>2.6712324297358388E-4</v>
      </c>
      <c r="J194">
        <f>EXP(((-1)/(2*'Cálculos Diversos'!$B$5))*(SQRT(SUMXMY2('Tabela Entrada-Saída'!$B$194:$O$194,'Coordenadas dos Polos'!$DX$2:$EK$2)))^2)</f>
        <v>1.0221252932385389E-4</v>
      </c>
      <c r="K194">
        <f>EXP(((-1)/(2*'Cálculos Diversos'!$B$5))*(SQRT(SUMXMY2('Tabela Entrada-Saída'!$B$194:$O$194,'Coordenadas dos Polos'!$EL$2:$EY$2)))^2)</f>
        <v>4.3020394451138365E-6</v>
      </c>
      <c r="L194">
        <f>EXP(((-1)/(2*'Cálculos Diversos'!$B$5))*(SQRT(SUMXMY2('Tabela Entrada-Saída'!$B$194:$O$194,'Coordenadas dos Polos'!$EZ$2:$FM$2)))^2)</f>
        <v>6.3762741191247212E-7</v>
      </c>
      <c r="M194">
        <f>EXP(((-1)/(2*'Cálculos Diversos'!$B$5))*(SQRT(SUMXMY2('Tabela Entrada-Saída'!$B$194:$O$194,'Coordenadas dos Polos'!$FN$2:$GA$2)))^2)</f>
        <v>1.2777868178533076E-5</v>
      </c>
      <c r="N194">
        <f>EXP(((-1)/(2*'Cálculos Diversos'!$B$5))*(SQRT(SUMXMY2('Tabela Entrada-Saída'!$B$194:$O$194,'Coordenadas dos Polos'!$GB$2:$GO$2)))^2)</f>
        <v>3.1574600648084316E-5</v>
      </c>
      <c r="O194">
        <f>EXP(((-1)/(2*'Cálculos Diversos'!$B$5))*(SQRT(SUMXMY2('Tabela Entrada-Saída'!$B$194:$O$194,'Coordenadas dos Polos'!$GP$2:$HC$2)))^2)</f>
        <v>2.6038485838374523E-6</v>
      </c>
      <c r="P194">
        <v>1</v>
      </c>
    </row>
    <row r="195" spans="1:16" x14ac:dyDescent="0.25">
      <c r="A195">
        <v>194</v>
      </c>
      <c r="B195">
        <f>EXP(((-1)/(2*'Cálculos Diversos'!$B$5))*(SQRT(SUMXMY2('Tabela Entrada-Saída'!$B$195:$O$195,'Coordenadas dos Polos'!$P$2:$AC$2)))^2)</f>
        <v>9.5198050752408031E-2</v>
      </c>
      <c r="C195">
        <f>EXP(((-1)/(2*'Cálculos Diversos'!$B$5))*(SQRT(SUMXMY2('Tabela Entrada-Saída'!$B$195:$O$195,'Coordenadas dos Polos'!$AD$2:$AQ$2)))^2)</f>
        <v>7.6479841679416509E-5</v>
      </c>
      <c r="D195">
        <f>EXP(((-1)/(2*'Cálculos Diversos'!$B$5))*(SQRT(SUMXMY2('Tabela Entrada-Saída'!$B$195:$O$195,'Coordenadas dos Polos'!$AR$2:$BE$2)))^2)</f>
        <v>2.7275086880262251E-5</v>
      </c>
      <c r="E195">
        <f>EXP(((-1)/(2*'Cálculos Diversos'!$B$5))*(SQRT(SUMXMY2('Tabela Entrada-Saída'!$B$195:$O$195,'Coordenadas dos Polos'!$BF$2:$BS$2)))^2)</f>
        <v>1.0209853927812655E-4</v>
      </c>
      <c r="F195">
        <f>EXP(((-1)/(2*'Cálculos Diversos'!$B$5))*(SQRT(SUMXMY2('Tabela Entrada-Saída'!$B$195:$O$195,'Coordenadas dos Polos'!$BT$2:$CG$2)))^2)</f>
        <v>2.6104827589480164E-6</v>
      </c>
      <c r="G195">
        <f>EXP(((-1)/(2*'Cálculos Diversos'!$B$5))*(SQRT(SUMXMY2('Tabela Entrada-Saída'!$B$195:$O$195,'Coordenadas dos Polos'!$CH$2:$CU$2)))^2)</f>
        <v>1.2729497891746845E-4</v>
      </c>
      <c r="H195">
        <f>EXP(((-1)/(2*'Cálculos Diversos'!$B$5))*(SQRT(SUMXMY2('Tabela Entrada-Saída'!$B$195:$O$195,'Coordenadas dos Polos'!$CV$2:$DI$2)))^2)</f>
        <v>5.9926634434452427E-6</v>
      </c>
      <c r="I195">
        <f>EXP(((-1)/(2*'Cálculos Diversos'!$B$5))*(SQRT(SUMXMY2('Tabela Entrada-Saída'!$B$195:$O$195,'Coordenadas dos Polos'!$DJ$2:$DW$2)))^2)</f>
        <v>2.6704556353004748E-4</v>
      </c>
      <c r="J195">
        <f>EXP(((-1)/(2*'Cálculos Diversos'!$B$5))*(SQRT(SUMXMY2('Tabela Entrada-Saída'!$B$195:$O$195,'Coordenadas dos Polos'!$DX$2:$EK$2)))^2)</f>
        <v>1.022373408474387E-4</v>
      </c>
      <c r="K195">
        <f>EXP(((-1)/(2*'Cálculos Diversos'!$B$5))*(SQRT(SUMXMY2('Tabela Entrada-Saída'!$B$195:$O$195,'Coordenadas dos Polos'!$EL$2:$EY$2)))^2)</f>
        <v>4.3020026982375621E-6</v>
      </c>
      <c r="L195">
        <f>EXP(((-1)/(2*'Cálculos Diversos'!$B$5))*(SQRT(SUMXMY2('Tabela Entrada-Saída'!$B$195:$O$195,'Coordenadas dos Polos'!$EZ$2:$FM$2)))^2)</f>
        <v>6.3834855791181419E-7</v>
      </c>
      <c r="M195">
        <f>EXP(((-1)/(2*'Cálculos Diversos'!$B$5))*(SQRT(SUMXMY2('Tabela Entrada-Saída'!$B$195:$O$195,'Coordenadas dos Polos'!$FN$2:$GA$2)))^2)</f>
        <v>1.2791201338739229E-5</v>
      </c>
      <c r="N195">
        <f>EXP(((-1)/(2*'Cálculos Diversos'!$B$5))*(SQRT(SUMXMY2('Tabela Entrada-Saída'!$B$195:$O$195,'Coordenadas dos Polos'!$GB$2:$GO$2)))^2)</f>
        <v>3.1605013101610874E-5</v>
      </c>
      <c r="O195">
        <f>EXP(((-1)/(2*'Cálculos Diversos'!$B$5))*(SQRT(SUMXMY2('Tabela Entrada-Saída'!$B$195:$O$195,'Coordenadas dos Polos'!$GP$2:$HC$2)))^2)</f>
        <v>2.6059985331973826E-6</v>
      </c>
      <c r="P195">
        <v>1</v>
      </c>
    </row>
    <row r="196" spans="1:16" x14ac:dyDescent="0.25">
      <c r="A196">
        <v>195</v>
      </c>
      <c r="B196">
        <f>EXP(((-1)/(2*'Cálculos Diversos'!$B$5))*(SQRT(SUMXMY2('Tabela Entrada-Saída'!$B$196:$O$196,'Coordenadas dos Polos'!$P$2:$AC$2)))^2)</f>
        <v>9.5010705368788848E-2</v>
      </c>
      <c r="C196">
        <f>EXP(((-1)/(2*'Cálculos Diversos'!$B$5))*(SQRT(SUMXMY2('Tabela Entrada-Saída'!$B$196:$O$196,'Coordenadas dos Polos'!$AD$2:$AQ$2)))^2)</f>
        <v>7.6431094664593249E-5</v>
      </c>
      <c r="D196">
        <f>EXP(((-1)/(2*'Cálculos Diversos'!$B$5))*(SQRT(SUMXMY2('Tabela Entrada-Saída'!$B$196:$O$196,'Coordenadas dos Polos'!$AR$2:$BE$2)))^2)</f>
        <v>2.7276222549255294E-5</v>
      </c>
      <c r="E196">
        <f>EXP(((-1)/(2*'Cálculos Diversos'!$B$5))*(SQRT(SUMXMY2('Tabela Entrada-Saída'!$B$196:$O$196,'Coordenadas dos Polos'!$BF$2:$BS$2)))^2)</f>
        <v>1.0195393597727457E-4</v>
      </c>
      <c r="F196">
        <f>EXP(((-1)/(2*'Cálculos Diversos'!$B$5))*(SQRT(SUMXMY2('Tabela Entrada-Saída'!$B$196:$O$196,'Coordenadas dos Polos'!$BT$2:$CG$2)))^2)</f>
        <v>2.6057803152178462E-6</v>
      </c>
      <c r="G196">
        <f>EXP(((-1)/(2*'Cálculos Diversos'!$B$5))*(SQRT(SUMXMY2('Tabela Entrada-Saída'!$B$196:$O$196,'Coordenadas dos Polos'!$CH$2:$CU$2)))^2)</f>
        <v>1.2727889806104394E-4</v>
      </c>
      <c r="H196">
        <f>EXP(((-1)/(2*'Cálculos Diversos'!$B$5))*(SQRT(SUMXMY2('Tabela Entrada-Saída'!$B$196:$O$196,'Coordenadas dos Polos'!$CV$2:$DI$2)))^2)</f>
        <v>5.9911943229507494E-6</v>
      </c>
      <c r="I196">
        <f>EXP(((-1)/(2*'Cálculos Diversos'!$B$5))*(SQRT(SUMXMY2('Tabela Entrada-Saída'!$B$196:$O$196,'Coordenadas dos Polos'!$DJ$2:$DW$2)))^2)</f>
        <v>2.671510236603169E-4</v>
      </c>
      <c r="J196">
        <f>EXP(((-1)/(2*'Cálculos Diversos'!$B$5))*(SQRT(SUMXMY2('Tabela Entrada-Saída'!$B$196:$O$196,'Coordenadas dos Polos'!$DX$2:$EK$2)))^2)</f>
        <v>1.0220246656440938E-4</v>
      </c>
      <c r="K196">
        <f>EXP(((-1)/(2*'Cálculos Diversos'!$B$5))*(SQRT(SUMXMY2('Tabela Entrada-Saída'!$B$196:$O$196,'Coordenadas dos Polos'!$EL$2:$EY$2)))^2)</f>
        <v>4.3020367982529684E-6</v>
      </c>
      <c r="L196">
        <f>EXP(((-1)/(2*'Cálculos Diversos'!$B$5))*(SQRT(SUMXMY2('Tabela Entrada-Saída'!$B$196:$O$196,'Coordenadas dos Polos'!$EZ$2:$FM$2)))^2)</f>
        <v>6.3735967118274742E-7</v>
      </c>
      <c r="M196">
        <f>EXP(((-1)/(2*'Cálculos Diversos'!$B$5))*(SQRT(SUMXMY2('Tabela Entrada-Saída'!$B$196:$O$196,'Coordenadas dos Polos'!$FN$2:$GA$2)))^2)</f>
        <v>1.2772938541407154E-5</v>
      </c>
      <c r="N196">
        <f>EXP(((-1)/(2*'Cálculos Diversos'!$B$5))*(SQRT(SUMXMY2('Tabela Entrada-Saída'!$B$196:$O$196,'Coordenadas dos Polos'!$GB$2:$GO$2)))^2)</f>
        <v>3.1563277370204342E-5</v>
      </c>
      <c r="O196">
        <f>EXP(((-1)/(2*'Cálculos Diversos'!$B$5))*(SQRT(SUMXMY2('Tabela Entrada-Saída'!$B$196:$O$196,'Coordenadas dos Polos'!$GP$2:$HC$2)))^2)</f>
        <v>2.6030533311830471E-6</v>
      </c>
      <c r="P196">
        <v>1</v>
      </c>
    </row>
    <row r="197" spans="1:16" x14ac:dyDescent="0.25">
      <c r="A197">
        <v>196</v>
      </c>
      <c r="B197">
        <f>EXP(((-1)/(2*'Cálculos Diversos'!$B$5))*(SQRT(SUMXMY2('Tabela Entrada-Saída'!$B$197:$O$197,'Coordenadas dos Polos'!$P$2:$AC$2)))^2)</f>
        <v>9.5118624357064932E-2</v>
      </c>
      <c r="C197">
        <f>EXP(((-1)/(2*'Cálculos Diversos'!$B$5))*(SQRT(SUMXMY2('Tabela Entrada-Saída'!$B$197:$O$197,'Coordenadas dos Polos'!$AD$2:$AQ$2)))^2)</f>
        <v>7.6459225934744459E-5</v>
      </c>
      <c r="D197">
        <f>EXP(((-1)/(2*'Cálculos Diversos'!$B$5))*(SQRT(SUMXMY2('Tabela Entrada-Saída'!$B$197:$O$197,'Coordenadas dos Polos'!$AR$2:$BE$2)))^2)</f>
        <v>2.7275590438985917E-5</v>
      </c>
      <c r="E197">
        <f>EXP(((-1)/(2*'Cálculos Diversos'!$B$5))*(SQRT(SUMXMY2('Tabela Entrada-Saída'!$B$197:$O$197,'Coordenadas dos Polos'!$BF$2:$BS$2)))^2)</f>
        <v>1.0203743931395987E-4</v>
      </c>
      <c r="F197">
        <f>EXP(((-1)/(2*'Cálculos Diversos'!$B$5))*(SQRT(SUMXMY2('Tabela Entrada-Saída'!$B$197:$O$197,'Coordenadas dos Polos'!$BT$2:$CG$2)))^2)</f>
        <v>2.608500331000679E-6</v>
      </c>
      <c r="G197">
        <f>EXP(((-1)/(2*'Cálculos Diversos'!$B$5))*(SQRT(SUMXMY2('Tabela Entrada-Saída'!$B$197:$O$197,'Coordenadas dos Polos'!$CH$2:$CU$2)))^2)</f>
        <v>1.272884961263118E-4</v>
      </c>
      <c r="H197">
        <f>EXP(((-1)/(2*'Cálculos Diversos'!$B$5))*(SQRT(SUMXMY2('Tabela Entrada-Saída'!$B$197:$O$197,'Coordenadas dos Polos'!$CV$2:$DI$2)))^2)</f>
        <v>5.9920320197785365E-6</v>
      </c>
      <c r="I197">
        <f>EXP(((-1)/(2*'Cálculos Diversos'!$B$5))*(SQRT(SUMXMY2('Tabela Entrada-Saída'!$B$197:$O$197,'Coordenadas dos Polos'!$DJ$2:$DW$2)))^2)</f>
        <v>2.6709083376263038E-4</v>
      </c>
      <c r="J197">
        <f>EXP(((-1)/(2*'Cálculos Diversos'!$B$5))*(SQRT(SUMXMY2('Tabela Entrada-Saída'!$B$197:$O$197,'Coordenadas dos Polos'!$DX$2:$EK$2)))^2)</f>
        <v>1.0222291678297809E-4</v>
      </c>
      <c r="K197">
        <f>EXP(((-1)/(2*'Cálculos Diversos'!$B$5))*(SQRT(SUMXMY2('Tabela Entrada-Saída'!$B$197:$O$197,'Coordenadas dos Polos'!$EL$2:$EY$2)))^2)</f>
        <v>4.3020144093896501E-6</v>
      </c>
      <c r="L197">
        <f>EXP(((-1)/(2*'Cálculos Diversos'!$B$5))*(SQRT(SUMXMY2('Tabela Entrada-Saída'!$B$197:$O$197,'Coordenadas dos Polos'!$EZ$2:$FM$2)))^2)</f>
        <v>6.3793149920979564E-7</v>
      </c>
      <c r="M197">
        <f>EXP(((-1)/(2*'Cálculos Diversos'!$B$5))*(SQRT(SUMXMY2('Tabela Entrada-Saída'!$B$197:$O$197,'Coordenadas dos Polos'!$FN$2:$GA$2)))^2)</f>
        <v>1.278348200658616E-5</v>
      </c>
      <c r="N197">
        <f>EXP(((-1)/(2*'Cálculos Diversos'!$B$5))*(SQRT(SUMXMY2('Tabela Entrada-Saída'!$B$197:$O$197,'Coordenadas dos Polos'!$GB$2:$GO$2)))^2)</f>
        <v>3.1587287968677618E-5</v>
      </c>
      <c r="O197">
        <f>EXP(((-1)/(2*'Cálculos Diversos'!$B$5))*(SQRT(SUMXMY2('Tabela Entrada-Saída'!$B$197:$O$197,'Coordenadas dos Polos'!$GP$2:$HC$2)))^2)</f>
        <v>2.6047574210511719E-6</v>
      </c>
      <c r="P197">
        <v>1</v>
      </c>
    </row>
    <row r="198" spans="1:16" x14ac:dyDescent="0.25">
      <c r="A198">
        <v>197</v>
      </c>
      <c r="B198">
        <f>EXP(((-1)/(2*'Cálculos Diversos'!$B$5))*(SQRT(SUMXMY2('Tabela Entrada-Saída'!$B$198:$O$198,'Coordenadas dos Polos'!$P$2:$AC$2)))^2)</f>
        <v>9.4876803593772568E-2</v>
      </c>
      <c r="C198">
        <f>EXP(((-1)/(2*'Cálculos Diversos'!$B$5))*(SQRT(SUMXMY2('Tabela Entrada-Saída'!$B$198:$O$198,'Coordenadas dos Polos'!$AD$2:$AQ$2)))^2)</f>
        <v>7.6395513547785558E-5</v>
      </c>
      <c r="D198">
        <f>EXP(((-1)/(2*'Cálculos Diversos'!$B$5))*(SQRT(SUMXMY2('Tabela Entrada-Saída'!$B$198:$O$198,'Coordenadas dos Polos'!$AR$2:$BE$2)))^2)</f>
        <v>2.7276834942453285E-5</v>
      </c>
      <c r="E198">
        <f>EXP(((-1)/(2*'Cálculos Diversos'!$B$5))*(SQRT(SUMXMY2('Tabela Entrada-Saída'!$B$198:$O$198,'Coordenadas dos Polos'!$BF$2:$BS$2)))^2)</f>
        <v>1.0185018530129924E-4</v>
      </c>
      <c r="F198">
        <f>EXP(((-1)/(2*'Cálculos Diversos'!$B$5))*(SQRT(SUMXMY2('Tabela Entrada-Saída'!$B$198:$O$198,'Coordenadas dos Polos'!$BT$2:$CG$2)))^2)</f>
        <v>2.6024039086034949E-6</v>
      </c>
      <c r="G198">
        <f>EXP(((-1)/(2*'Cálculos Diversos'!$B$5))*(SQRT(SUMXMY2('Tabela Entrada-Saída'!$B$198:$O$198,'Coordenadas dos Polos'!$CH$2:$CU$2)))^2)</f>
        <v>1.2726667278629731E-4</v>
      </c>
      <c r="H198">
        <f>EXP(((-1)/(2*'Cálculos Diversos'!$B$5))*(SQRT(SUMXMY2('Tabela Entrada-Saída'!$B$198:$O$198,'Coordenadas dos Polos'!$CV$2:$DI$2)))^2)</f>
        <v>5.9900495634303069E-6</v>
      </c>
      <c r="I198">
        <f>EXP(((-1)/(2*'Cálculos Diversos'!$B$5))*(SQRT(SUMXMY2('Tabela Entrada-Saída'!$B$198:$O$198,'Coordenadas dos Polos'!$DJ$2:$DW$2)))^2)</f>
        <v>2.6722606600929538E-4</v>
      </c>
      <c r="J198">
        <f>EXP(((-1)/(2*'Cálculos Diversos'!$B$5))*(SQRT(SUMXMY2('Tabela Entrada-Saída'!$B$198:$O$198,'Coordenadas dos Polos'!$DX$2:$EK$2)))^2)</f>
        <v>1.0217619985547667E-4</v>
      </c>
      <c r="K198">
        <f>EXP(((-1)/(2*'Cálculos Diversos'!$B$5))*(SQRT(SUMXMY2('Tabela Entrada-Saída'!$B$198:$O$198,'Coordenadas dos Polos'!$EL$2:$EY$2)))^2)</f>
        <v>4.3020248094508834E-6</v>
      </c>
      <c r="L198">
        <f>EXP(((-1)/(2*'Cálculos Diversos'!$B$5))*(SQRT(SUMXMY2('Tabela Entrada-Saída'!$B$198:$O$198,'Coordenadas dos Polos'!$EZ$2:$FM$2)))^2)</f>
        <v>6.3664687224085113E-7</v>
      </c>
      <c r="M198">
        <f>EXP(((-1)/(2*'Cálculos Diversos'!$B$5))*(SQRT(SUMXMY2('Tabela Entrada-Saída'!$B$198:$O$198,'Coordenadas dos Polos'!$FN$2:$GA$2)))^2)</f>
        <v>1.2759806657101146E-5</v>
      </c>
      <c r="N198">
        <f>EXP(((-1)/(2*'Cálculos Diversos'!$B$5))*(SQRT(SUMXMY2('Tabela Entrada-Saída'!$B$198:$O$198,'Coordenadas dos Polos'!$GB$2:$GO$2)))^2)</f>
        <v>3.1532974765850165E-5</v>
      </c>
      <c r="O198">
        <f>EXP(((-1)/(2*'Cálculos Diversos'!$B$5))*(SQRT(SUMXMY2('Tabela Entrada-Saída'!$B$198:$O$198,'Coordenadas dos Polos'!$GP$2:$HC$2)))^2)</f>
        <v>2.6009374639638189E-6</v>
      </c>
      <c r="P198">
        <v>1</v>
      </c>
    </row>
    <row r="199" spans="1:16" x14ac:dyDescent="0.25">
      <c r="A199">
        <v>198</v>
      </c>
      <c r="B199">
        <f>EXP(((-1)/(2*'Cálculos Diversos'!$B$5))*(SQRT(SUMXMY2('Tabela Entrada-Saída'!$B$199:$O$199,'Coordenadas dos Polos'!$P$2:$AC$2)))^2)</f>
        <v>9.4969615167435822E-2</v>
      </c>
      <c r="C199">
        <f>EXP(((-1)/(2*'Cálculos Diversos'!$B$5))*(SQRT(SUMXMY2('Tabela Entrada-Saída'!$B$199:$O$199,'Coordenadas dos Polos'!$AD$2:$AQ$2)))^2)</f>
        <v>7.6420808241517202E-5</v>
      </c>
      <c r="D199">
        <f>EXP(((-1)/(2*'Cálculos Diversos'!$B$5))*(SQRT(SUMXMY2('Tabela Entrada-Saída'!$B$199:$O$199,'Coordenadas dos Polos'!$AR$2:$BE$2)))^2)</f>
        <v>2.7276587994450118E-5</v>
      </c>
      <c r="E199">
        <f>EXP(((-1)/(2*'Cálculos Diversos'!$B$5))*(SQRT(SUMXMY2('Tabela Entrada-Saída'!$B$199:$O$199,'Coordenadas dos Polos'!$BF$2:$BS$2)))^2)</f>
        <v>1.0192238796152624E-4</v>
      </c>
      <c r="F199">
        <f>EXP(((-1)/(2*'Cálculos Diversos'!$B$5))*(SQRT(SUMXMY2('Tabela Entrada-Saída'!$B$199:$O$199,'Coordenadas dos Polos'!$BT$2:$CG$2)))^2)</f>
        <v>2.6047554396077574E-6</v>
      </c>
      <c r="G199">
        <f>EXP(((-1)/(2*'Cálculos Diversos'!$B$5))*(SQRT(SUMXMY2('Tabela Entrada-Saída'!$B$199:$O$199,'Coordenadas dos Polos'!$CH$2:$CU$2)))^2)</f>
        <v>1.272756359915266E-4</v>
      </c>
      <c r="H199">
        <f>EXP(((-1)/(2*'Cálculos Diversos'!$B$5))*(SQRT(SUMXMY2('Tabela Entrada-Saída'!$B$199:$O$199,'Coordenadas dos Polos'!$CV$2:$DI$2)))^2)</f>
        <v>5.9909265594173983E-6</v>
      </c>
      <c r="I199">
        <f>EXP(((-1)/(2*'Cálculos Diversos'!$B$5))*(SQRT(SUMXMY2('Tabela Entrada-Saída'!$B$199:$O$199,'Coordenadas dos Polos'!$DJ$2:$DW$2)))^2)</f>
        <v>2.6717454773301082E-4</v>
      </c>
      <c r="J199">
        <f>EXP(((-1)/(2*'Cálculos Diversos'!$B$5))*(SQRT(SUMXMY2('Tabela Entrada-Saída'!$B$199:$O$199,'Coordenadas dos Polos'!$DX$2:$EK$2)))^2)</f>
        <v>1.021953667057683E-4</v>
      </c>
      <c r="K199">
        <f>EXP(((-1)/(2*'Cálculos Diversos'!$B$5))*(SQRT(SUMXMY2('Tabela Entrada-Saída'!$B$199:$O$199,'Coordenadas dos Polos'!$EL$2:$EY$2)))^2)</f>
        <v>4.3020646784543E-6</v>
      </c>
      <c r="L199">
        <f>EXP(((-1)/(2*'Cálculos Diversos'!$B$5))*(SQRT(SUMXMY2('Tabela Entrada-Saída'!$B$199:$O$199,'Coordenadas dos Polos'!$EZ$2:$FM$2)))^2)</f>
        <v>6.3714534923502102E-7</v>
      </c>
      <c r="M199">
        <f>EXP(((-1)/(2*'Cálculos Diversos'!$B$5))*(SQRT(SUMXMY2('Tabela Entrada-Saída'!$B$199:$O$199,'Coordenadas dos Polos'!$FN$2:$GA$2)))^2)</f>
        <v>1.2768977666385944E-5</v>
      </c>
      <c r="N199">
        <f>EXP(((-1)/(2*'Cálculos Diversos'!$B$5))*(SQRT(SUMXMY2('Tabela Entrada-Saída'!$B$199:$O$199,'Coordenadas dos Polos'!$GB$2:$GO$2)))^2)</f>
        <v>3.1554363989649676E-5</v>
      </c>
      <c r="O199">
        <f>EXP(((-1)/(2*'Cálculos Diversos'!$B$5))*(SQRT(SUMXMY2('Tabela Entrada-Saída'!$B$199:$O$199,'Coordenadas dos Polos'!$GP$2:$HC$2)))^2)</f>
        <v>2.6024090432872062E-6</v>
      </c>
      <c r="P199">
        <v>1</v>
      </c>
    </row>
    <row r="200" spans="1:16" x14ac:dyDescent="0.25">
      <c r="A200">
        <v>199</v>
      </c>
      <c r="B200">
        <f>EXP(((-1)/(2*'Cálculos Diversos'!$B$5))*(SQRT(SUMXMY2('Tabela Entrada-Saída'!$B$200:$O$200,'Coordenadas dos Polos'!$P$2:$AC$2)))^2)</f>
        <v>9.5058784515599806E-2</v>
      </c>
      <c r="C200">
        <f>EXP(((-1)/(2*'Cálculos Diversos'!$B$5))*(SQRT(SUMXMY2('Tabela Entrada-Saída'!$B$200:$O$200,'Coordenadas dos Polos'!$AD$2:$AQ$2)))^2)</f>
        <v>7.6443580502791439E-5</v>
      </c>
      <c r="D200">
        <f>EXP(((-1)/(2*'Cálculos Diversos'!$B$5))*(SQRT(SUMXMY2('Tabela Entrada-Saída'!$B$200:$O$200,'Coordenadas dos Polos'!$AR$2:$BE$2)))^2)</f>
        <v>2.7275944912143785E-5</v>
      </c>
      <c r="E200">
        <f>EXP(((-1)/(2*'Cálculos Diversos'!$B$5))*(SQRT(SUMXMY2('Tabela Entrada-Saída'!$B$200:$O$200,'Coordenadas dos Polos'!$BF$2:$BS$2)))^2)</f>
        <v>1.019910340550821E-4</v>
      </c>
      <c r="F200">
        <f>EXP(((-1)/(2*'Cálculos Diversos'!$B$5))*(SQRT(SUMXMY2('Tabela Entrada-Saída'!$B$200:$O$200,'Coordenadas dos Polos'!$BT$2:$CG$2)))^2)</f>
        <v>2.6069851678853022E-6</v>
      </c>
      <c r="G200">
        <f>EXP(((-1)/(2*'Cálculos Diversos'!$B$5))*(SQRT(SUMXMY2('Tabela Entrada-Saída'!$B$200:$O$200,'Coordenadas dos Polos'!$CH$2:$CU$2)))^2)</f>
        <v>1.2728290621029796E-4</v>
      </c>
      <c r="H200">
        <f>EXP(((-1)/(2*'Cálculos Diversos'!$B$5))*(SQRT(SUMXMY2('Tabela Entrada-Saída'!$B$200:$O$200,'Coordenadas dos Polos'!$CV$2:$DI$2)))^2)</f>
        <v>5.99156891516362E-6</v>
      </c>
      <c r="I200">
        <f>EXP(((-1)/(2*'Cálculos Diversos'!$B$5))*(SQRT(SUMXMY2('Tabela Entrada-Saída'!$B$200:$O$200,'Coordenadas dos Polos'!$DJ$2:$DW$2)))^2)</f>
        <v>2.6712420600212252E-4</v>
      </c>
      <c r="J200">
        <f>EXP(((-1)/(2*'Cálculos Diversos'!$B$5))*(SQRT(SUMXMY2('Tabela Entrada-Saída'!$B$200:$O$200,'Coordenadas dos Polos'!$DX$2:$EK$2)))^2)</f>
        <v>1.0221121896877208E-4</v>
      </c>
      <c r="K200">
        <f>EXP(((-1)/(2*'Cálculos Diversos'!$B$5))*(SQRT(SUMXMY2('Tabela Entrada-Saída'!$B$200:$O$200,'Coordenadas dos Polos'!$EL$2:$EY$2)))^2)</f>
        <v>4.3020278738476685E-6</v>
      </c>
      <c r="L200">
        <f>EXP(((-1)/(2*'Cálculos Diversos'!$B$5))*(SQRT(SUMXMY2('Tabela Entrada-Saída'!$B$200:$O$200,'Coordenadas dos Polos'!$EZ$2:$FM$2)))^2)</f>
        <v>6.3761294266843974E-7</v>
      </c>
      <c r="M200">
        <f>EXP(((-1)/(2*'Cálculos Diversos'!$B$5))*(SQRT(SUMXMY2('Tabela Entrada-Saída'!$B$200:$O$200,'Coordenadas dos Polos'!$FN$2:$GA$2)))^2)</f>
        <v>1.2777625094501073E-5</v>
      </c>
      <c r="N200">
        <f>EXP(((-1)/(2*'Cálculos Diversos'!$B$5))*(SQRT(SUMXMY2('Tabela Entrada-Saída'!$B$200:$O$200,'Coordenadas dos Polos'!$GB$2:$GO$2)))^2)</f>
        <v>3.1573957584305081E-5</v>
      </c>
      <c r="O200">
        <f>EXP(((-1)/(2*'Cálculos Diversos'!$B$5))*(SQRT(SUMXMY2('Tabela Entrada-Saída'!$B$200:$O$200,'Coordenadas dos Polos'!$GP$2:$HC$2)))^2)</f>
        <v>2.6038072553336328E-6</v>
      </c>
      <c r="P200">
        <v>1</v>
      </c>
    </row>
    <row r="201" spans="1:16" x14ac:dyDescent="0.25">
      <c r="A201">
        <v>200</v>
      </c>
      <c r="B201">
        <f>EXP(((-1)/(2*'Cálculos Diversos'!$B$5))*(SQRT(SUMXMY2('Tabela Entrada-Saída'!$B$201:$O$201,'Coordenadas dos Polos'!$P$2:$AC$2)))^2)</f>
        <v>9.5120427453375428E-2</v>
      </c>
      <c r="C201">
        <f>EXP(((-1)/(2*'Cálculos Diversos'!$B$5))*(SQRT(SUMXMY2('Tabela Entrada-Saída'!$B$201:$O$201,'Coordenadas dos Polos'!$AD$2:$AQ$2)))^2)</f>
        <v>7.6460332515243445E-5</v>
      </c>
      <c r="D201">
        <f>EXP(((-1)/(2*'Cálculos Diversos'!$B$5))*(SQRT(SUMXMY2('Tabela Entrada-Saída'!$B$201:$O$201,'Coordenadas dos Polos'!$AR$2:$BE$2)))^2)</f>
        <v>2.7275727388926593E-5</v>
      </c>
      <c r="E201">
        <f>EXP(((-1)/(2*'Cálculos Diversos'!$B$5))*(SQRT(SUMXMY2('Tabela Entrada-Saída'!$B$201:$O$201,'Coordenadas dos Polos'!$BF$2:$BS$2)))^2)</f>
        <v>1.020389463331056E-4</v>
      </c>
      <c r="F201">
        <f>EXP(((-1)/(2*'Cálculos Diversos'!$B$5))*(SQRT(SUMXMY2('Tabela Entrada-Saída'!$B$201:$O$201,'Coordenadas dos Polos'!$BT$2:$CG$2)))^2)</f>
        <v>2.6085490825426521E-6</v>
      </c>
      <c r="G201">
        <f>EXP(((-1)/(2*'Cálculos Diversos'!$B$5))*(SQRT(SUMXMY2('Tabela Entrada-Saída'!$B$201:$O$201,'Coordenadas dos Polos'!$CH$2:$CU$2)))^2)</f>
        <v>1.2728899365690719E-4</v>
      </c>
      <c r="H201">
        <f>EXP(((-1)/(2*'Cálculos Diversos'!$B$5))*(SQRT(SUMXMY2('Tabela Entrada-Saída'!$B$201:$O$201,'Coordenadas dos Polos'!$CV$2:$DI$2)))^2)</f>
        <v>5.9921433596949414E-6</v>
      </c>
      <c r="I201">
        <f>EXP(((-1)/(2*'Cálculos Diversos'!$B$5))*(SQRT(SUMXMY2('Tabela Entrada-Saída'!$B$201:$O$201,'Coordenadas dos Polos'!$DJ$2:$DW$2)))^2)</f>
        <v>2.6708961323030142E-4</v>
      </c>
      <c r="J201">
        <f>EXP(((-1)/(2*'Cálculos Diversos'!$B$5))*(SQRT(SUMXMY2('Tabela Entrada-Saída'!$B$201:$O$201,'Coordenadas dos Polos'!$DX$2:$EK$2)))^2)</f>
        <v>1.0222406742755699E-4</v>
      </c>
      <c r="K201">
        <f>EXP(((-1)/(2*'Cálculos Diversos'!$B$5))*(SQRT(SUMXMY2('Tabela Entrada-Saída'!$B$201:$O$201,'Coordenadas dos Polos'!$EL$2:$EY$2)))^2)</f>
        <v>4.3020486395207893E-6</v>
      </c>
      <c r="L201">
        <f>EXP(((-1)/(2*'Cálculos Diversos'!$B$5))*(SQRT(SUMXMY2('Tabela Entrada-Saída'!$B$201:$O$201,'Coordenadas dos Polos'!$EZ$2:$FM$2)))^2)</f>
        <v>6.3794392923215963E-7</v>
      </c>
      <c r="M201">
        <f>EXP(((-1)/(2*'Cálculos Diversos'!$B$5))*(SQRT(SUMXMY2('Tabela Entrada-Saída'!$B$201:$O$201,'Coordenadas dos Polos'!$FN$2:$GA$2)))^2)</f>
        <v>1.2783708575857783E-5</v>
      </c>
      <c r="N201">
        <f>EXP(((-1)/(2*'Cálculos Diversos'!$B$5))*(SQRT(SUMXMY2('Tabela Entrada-Saída'!$B$201:$O$201,'Coordenadas dos Polos'!$GB$2:$GO$2)))^2)</f>
        <v>3.158814686620573E-5</v>
      </c>
      <c r="O201">
        <f>EXP(((-1)/(2*'Cálculos Diversos'!$B$5))*(SQRT(SUMXMY2('Tabela Entrada-Saída'!$B$201:$O$201,'Coordenadas dos Polos'!$GP$2:$HC$2)))^2)</f>
        <v>2.604785652286935E-6</v>
      </c>
      <c r="P201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R16"/>
  <sheetViews>
    <sheetView workbookViewId="0">
      <selection activeCell="A2" sqref="A2:GR16"/>
    </sheetView>
  </sheetViews>
  <sheetFormatPr defaultRowHeight="15" x14ac:dyDescent="0.25"/>
  <sheetData>
    <row r="1" spans="1:200" x14ac:dyDescent="0.25">
      <c r="A1" t="s">
        <v>7</v>
      </c>
    </row>
    <row r="2" spans="1:200" x14ac:dyDescent="0.25">
      <c r="A2">
        <f t="array" ref="A2:GR16">TRANSPOSE('Matrix (R)'!$B$2:$P$201)</f>
        <v>3.6564547836699324E-2</v>
      </c>
      <c r="B2">
        <v>3.6565485828953845E-2</v>
      </c>
      <c r="C2">
        <v>3.6566267372757262E-2</v>
      </c>
      <c r="D2">
        <v>3.656698510792266E-2</v>
      </c>
      <c r="E2">
        <v>3.6566966560526756E-2</v>
      </c>
      <c r="F2">
        <v>3.6565967785274392E-2</v>
      </c>
      <c r="G2">
        <v>3.6566935452608793E-2</v>
      </c>
      <c r="H2">
        <v>3.6566366258565131E-2</v>
      </c>
      <c r="I2">
        <v>3.6565991934752233E-2</v>
      </c>
      <c r="J2">
        <v>0.26620919204488119</v>
      </c>
      <c r="K2">
        <v>4.4334233458823688E-2</v>
      </c>
      <c r="L2">
        <v>0.14803189754820295</v>
      </c>
      <c r="M2">
        <v>5.2951150792962164E-2</v>
      </c>
      <c r="N2">
        <v>0.15719269121805443</v>
      </c>
      <c r="O2">
        <v>0.24373652120443864</v>
      </c>
      <c r="P2">
        <v>8.2113792851754755E-2</v>
      </c>
      <c r="Q2">
        <v>0.10748367410883711</v>
      </c>
      <c r="R2">
        <v>0.19956068123035267</v>
      </c>
      <c r="S2">
        <v>3.6886096307686501E-2</v>
      </c>
      <c r="T2">
        <v>0.10265919673251431</v>
      </c>
      <c r="U2">
        <v>0.12671264090154538</v>
      </c>
      <c r="V2">
        <v>0.17478856364518405</v>
      </c>
      <c r="W2">
        <v>0.20458485496650625</v>
      </c>
      <c r="X2">
        <v>0.13739811943017724</v>
      </c>
      <c r="Y2">
        <v>9.1693218091996265E-2</v>
      </c>
      <c r="Z2">
        <v>0.17789460461252082</v>
      </c>
      <c r="AA2">
        <v>9.051403652021979E-2</v>
      </c>
      <c r="AB2">
        <v>6.8127574352639178E-2</v>
      </c>
      <c r="AC2">
        <v>5.7816491818483175E-2</v>
      </c>
      <c r="AD2">
        <v>7.1550038220541692E-2</v>
      </c>
      <c r="AE2">
        <v>0.16402581843021843</v>
      </c>
      <c r="AF2">
        <v>0.12884196539610634</v>
      </c>
      <c r="AG2">
        <v>6.4186166282325249E-2</v>
      </c>
      <c r="AH2">
        <v>0.10946754474838043</v>
      </c>
      <c r="AI2">
        <v>0.11533528226942488</v>
      </c>
      <c r="AJ2">
        <v>9.559495320516366E-2</v>
      </c>
      <c r="AK2">
        <v>0.10922501076977596</v>
      </c>
      <c r="AL2">
        <v>6.4097053941405802E-2</v>
      </c>
      <c r="AM2">
        <v>0.13336996857507996</v>
      </c>
      <c r="AN2">
        <v>6.7165921636011094E-2</v>
      </c>
      <c r="AO2">
        <v>0.14323944579020054</v>
      </c>
      <c r="AP2">
        <v>0.13499007128051019</v>
      </c>
      <c r="AQ2">
        <v>7.4982352876544603E-2</v>
      </c>
      <c r="AR2">
        <v>0.1350355603220674</v>
      </c>
      <c r="AS2">
        <v>9.5536522809215166E-2</v>
      </c>
      <c r="AT2">
        <v>0.10437950560463766</v>
      </c>
      <c r="AU2">
        <v>7.49908803527118E-2</v>
      </c>
      <c r="AV2">
        <v>0.12899026155972934</v>
      </c>
      <c r="AW2">
        <v>8.3692410912236337E-2</v>
      </c>
      <c r="AX2">
        <v>9.2736105633459145E-2</v>
      </c>
      <c r="AY2">
        <v>0.12060535086219949</v>
      </c>
      <c r="AZ2">
        <v>9.6389237500351013E-2</v>
      </c>
      <c r="BA2">
        <v>7.6283518747042686E-2</v>
      </c>
      <c r="BB2">
        <v>8.5489119607613864E-2</v>
      </c>
      <c r="BC2">
        <v>0.11457257429440319</v>
      </c>
      <c r="BD2">
        <v>7.516787990684895E-2</v>
      </c>
      <c r="BE2">
        <v>8.5721458673222811E-2</v>
      </c>
      <c r="BF2">
        <v>0.1062222940588035</v>
      </c>
      <c r="BG2">
        <v>9.7564473514838781E-2</v>
      </c>
      <c r="BH2">
        <v>0.10551768442660375</v>
      </c>
      <c r="BI2">
        <v>0.11865749336273003</v>
      </c>
      <c r="BJ2">
        <v>0.10041688301626539</v>
      </c>
      <c r="BK2">
        <v>0.1058171777997767</v>
      </c>
      <c r="BL2">
        <v>7.976838947105748E-2</v>
      </c>
      <c r="BM2">
        <v>9.9731630553618111E-2</v>
      </c>
      <c r="BN2">
        <v>7.5739956806965325E-2</v>
      </c>
      <c r="BO2">
        <v>8.9651349472981368E-2</v>
      </c>
      <c r="BP2">
        <v>8.5302399418145769E-2</v>
      </c>
      <c r="BQ2">
        <v>7.8777860824002857E-2</v>
      </c>
      <c r="BR2">
        <v>0.10408470035318911</v>
      </c>
      <c r="BS2">
        <v>0.10293309134280937</v>
      </c>
      <c r="BT2">
        <v>8.8398636879048725E-2</v>
      </c>
      <c r="BU2">
        <v>0.10485192748526784</v>
      </c>
      <c r="BV2">
        <v>8.1917235164543134E-2</v>
      </c>
      <c r="BW2">
        <v>0.10413184598775371</v>
      </c>
      <c r="BX2">
        <v>9.7671189483947346E-2</v>
      </c>
      <c r="BY2">
        <v>9.2388152706853841E-2</v>
      </c>
      <c r="BZ2">
        <v>8.2888440307222075E-2</v>
      </c>
      <c r="CA2">
        <v>0.10409593226516842</v>
      </c>
      <c r="CB2">
        <v>0.10018272389146736</v>
      </c>
      <c r="CC2">
        <v>0.10233174054212163</v>
      </c>
      <c r="CD2">
        <v>8.9233019854317752E-2</v>
      </c>
      <c r="CE2">
        <v>8.5143112799117363E-2</v>
      </c>
      <c r="CF2">
        <v>0.10278072646058942</v>
      </c>
      <c r="CG2">
        <v>8.3293147329383727E-2</v>
      </c>
      <c r="CH2">
        <v>8.5515136797971764E-2</v>
      </c>
      <c r="CI2">
        <v>9.1383021806502374E-2</v>
      </c>
      <c r="CJ2">
        <v>8.3469608252538366E-2</v>
      </c>
      <c r="CK2">
        <v>9.8469450491923141E-2</v>
      </c>
      <c r="CL2">
        <v>8.8764434414830978E-2</v>
      </c>
      <c r="CM2">
        <v>9.2453651701740844E-2</v>
      </c>
      <c r="CN2">
        <v>8.8424335938719359E-2</v>
      </c>
      <c r="CO2">
        <v>9.3092242299939315E-2</v>
      </c>
      <c r="CP2">
        <v>9.8358231796024986E-2</v>
      </c>
      <c r="CQ2">
        <v>9.3825109252067648E-2</v>
      </c>
      <c r="CR2">
        <v>9.5872073204539388E-2</v>
      </c>
      <c r="CS2">
        <v>8.8372860834564831E-2</v>
      </c>
      <c r="CT2">
        <v>9.2593463885078442E-2</v>
      </c>
      <c r="CU2">
        <v>9.7018201400112997E-2</v>
      </c>
      <c r="CV2">
        <v>9.3858788163827492E-2</v>
      </c>
      <c r="CW2">
        <v>9.2083458987889472E-2</v>
      </c>
      <c r="CX2">
        <v>9.5787251021886427E-2</v>
      </c>
      <c r="CY2">
        <v>9.6446506099945928E-2</v>
      </c>
      <c r="CZ2">
        <v>9.4208427629568881E-2</v>
      </c>
      <c r="DA2">
        <v>9.2889907391328963E-2</v>
      </c>
      <c r="DB2">
        <v>9.627638650099897E-2</v>
      </c>
      <c r="DC2">
        <v>9.5504706311278373E-2</v>
      </c>
      <c r="DD2">
        <v>9.2883254569559148E-2</v>
      </c>
      <c r="DE2">
        <v>9.6430024922222551E-2</v>
      </c>
      <c r="DF2">
        <v>9.2702948056947482E-2</v>
      </c>
      <c r="DG2">
        <v>9.2453463551686862E-2</v>
      </c>
      <c r="DH2">
        <v>9.6375928605527419E-2</v>
      </c>
      <c r="DI2">
        <v>9.3853003883511463E-2</v>
      </c>
      <c r="DJ2">
        <v>9.3387547717595512E-2</v>
      </c>
      <c r="DK2">
        <v>9.3015944542063161E-2</v>
      </c>
      <c r="DL2">
        <v>9.638033806988601E-2</v>
      </c>
      <c r="DM2">
        <v>9.3395128450562998E-2</v>
      </c>
      <c r="DN2">
        <v>9.521377469256824E-2</v>
      </c>
      <c r="DO2">
        <v>9.2555561218524249E-2</v>
      </c>
      <c r="DP2">
        <v>9.5748577251775338E-2</v>
      </c>
      <c r="DQ2">
        <v>9.4986563606899041E-2</v>
      </c>
      <c r="DR2">
        <v>9.4804853562864236E-2</v>
      </c>
      <c r="DS2">
        <v>9.2929706708170176E-2</v>
      </c>
      <c r="DT2">
        <v>9.6269388998613231E-2</v>
      </c>
      <c r="DU2">
        <v>9.4221259087118384E-2</v>
      </c>
      <c r="DV2">
        <v>9.4559523910398929E-2</v>
      </c>
      <c r="DW2">
        <v>9.3349553965587473E-2</v>
      </c>
      <c r="DX2">
        <v>9.3780392340269914E-2</v>
      </c>
      <c r="DY2">
        <v>9.5594480047768174E-2</v>
      </c>
      <c r="DZ2">
        <v>9.5738891617313651E-2</v>
      </c>
      <c r="EA2">
        <v>9.4133023059645285E-2</v>
      </c>
      <c r="EB2">
        <v>9.614971859818168E-2</v>
      </c>
      <c r="EC2">
        <v>9.3839259522755639E-2</v>
      </c>
      <c r="ED2">
        <v>9.4793851404282453E-2</v>
      </c>
      <c r="EE2">
        <v>9.6055548960814696E-2</v>
      </c>
      <c r="EF2">
        <v>9.4464436187357073E-2</v>
      </c>
      <c r="EG2">
        <v>9.3362190643819926E-2</v>
      </c>
      <c r="EH2">
        <v>9.3956255627835328E-2</v>
      </c>
      <c r="EI2">
        <v>9.3711436715722254E-2</v>
      </c>
      <c r="EJ2">
        <v>9.5660141355641257E-2</v>
      </c>
      <c r="EK2">
        <v>9.5199047050036234E-2</v>
      </c>
      <c r="EL2">
        <v>9.4725909974013978E-2</v>
      </c>
      <c r="EM2">
        <v>9.5569238044797597E-2</v>
      </c>
      <c r="EN2">
        <v>9.48651683541194E-2</v>
      </c>
      <c r="EO2">
        <v>9.5930540111023546E-2</v>
      </c>
      <c r="EP2">
        <v>9.5067288251617435E-2</v>
      </c>
      <c r="EQ2">
        <v>9.4411583389220247E-2</v>
      </c>
      <c r="ER2">
        <v>9.5187555817290173E-2</v>
      </c>
      <c r="ES2">
        <v>9.4387825174833434E-2</v>
      </c>
      <c r="ET2">
        <v>9.5744442804197791E-2</v>
      </c>
      <c r="EU2">
        <v>9.5034816040614173E-2</v>
      </c>
      <c r="EV2">
        <v>9.5671262095353996E-2</v>
      </c>
      <c r="EW2">
        <v>9.579881942777306E-2</v>
      </c>
      <c r="EX2">
        <v>9.4742041646035599E-2</v>
      </c>
      <c r="EY2">
        <v>9.5583127379471625E-2</v>
      </c>
      <c r="EZ2">
        <v>9.5272694323310356E-2</v>
      </c>
      <c r="FA2">
        <v>9.4410870163474422E-2</v>
      </c>
      <c r="FB2">
        <v>9.4815663908169437E-2</v>
      </c>
      <c r="FC2">
        <v>9.5394364554915512E-2</v>
      </c>
      <c r="FD2">
        <v>9.4905497103465838E-2</v>
      </c>
      <c r="FE2">
        <v>9.5521428195316713E-2</v>
      </c>
      <c r="FF2">
        <v>9.5079769026628708E-2</v>
      </c>
      <c r="FG2">
        <v>9.4483286452059112E-2</v>
      </c>
      <c r="FH2">
        <v>9.5189395987927972E-2</v>
      </c>
      <c r="FI2">
        <v>9.4636912599788695E-2</v>
      </c>
      <c r="FJ2">
        <v>9.4779303478895738E-2</v>
      </c>
      <c r="FK2">
        <v>9.5080909437240055E-2</v>
      </c>
      <c r="FL2">
        <v>9.4605828465568712E-2</v>
      </c>
      <c r="FM2">
        <v>9.5340068860507207E-2</v>
      </c>
      <c r="FN2">
        <v>9.5500959685120887E-2</v>
      </c>
      <c r="FO2">
        <v>9.5105204101089108E-2</v>
      </c>
      <c r="FP2">
        <v>9.5107538723791671E-2</v>
      </c>
      <c r="FQ2">
        <v>9.5169989950088865E-2</v>
      </c>
      <c r="FR2">
        <v>9.5385371462686622E-2</v>
      </c>
      <c r="FS2">
        <v>9.5429173413863866E-2</v>
      </c>
      <c r="FT2">
        <v>9.5444376750338122E-2</v>
      </c>
      <c r="FU2">
        <v>9.5461521702747396E-2</v>
      </c>
      <c r="FV2">
        <v>9.4846031226997016E-2</v>
      </c>
      <c r="FW2">
        <v>9.5377089695485723E-2</v>
      </c>
      <c r="FX2">
        <v>9.5101532223805352E-2</v>
      </c>
      <c r="FY2">
        <v>9.4861609450614601E-2</v>
      </c>
      <c r="FZ2">
        <v>9.5164080107093013E-2</v>
      </c>
      <c r="GA2">
        <v>9.4871702914829256E-2</v>
      </c>
      <c r="GB2">
        <v>9.5138159302703459E-2</v>
      </c>
      <c r="GC2">
        <v>9.5264337016096476E-2</v>
      </c>
      <c r="GD2">
        <v>9.4857680300024214E-2</v>
      </c>
      <c r="GE2">
        <v>9.5024288811762739E-2</v>
      </c>
      <c r="GF2">
        <v>9.5092685696271592E-2</v>
      </c>
      <c r="GG2">
        <v>9.5299105790116814E-2</v>
      </c>
      <c r="GH2">
        <v>9.4866239238006425E-2</v>
      </c>
      <c r="GI2">
        <v>9.5121945635444113E-2</v>
      </c>
      <c r="GJ2">
        <v>9.4933376098442782E-2</v>
      </c>
      <c r="GK2">
        <v>9.5060799825368664E-2</v>
      </c>
      <c r="GL2">
        <v>9.5198050752408031E-2</v>
      </c>
      <c r="GM2">
        <v>9.5010705368788848E-2</v>
      </c>
      <c r="GN2">
        <v>9.5118624357064932E-2</v>
      </c>
      <c r="GO2">
        <v>9.4876803593772568E-2</v>
      </c>
      <c r="GP2">
        <v>9.4969615167435822E-2</v>
      </c>
      <c r="GQ2">
        <v>9.5058784515599806E-2</v>
      </c>
      <c r="GR2">
        <v>9.5120427453375428E-2</v>
      </c>
    </row>
    <row r="3" spans="1:200" x14ac:dyDescent="0.25">
      <c r="A3">
        <v>5.25859691822275E-5</v>
      </c>
      <c r="B3">
        <v>5.2450448592408758E-5</v>
      </c>
      <c r="C3">
        <v>5.227802333272686E-5</v>
      </c>
      <c r="D3">
        <v>5.206090150324319E-5</v>
      </c>
      <c r="E3">
        <v>5.2149907064629819E-5</v>
      </c>
      <c r="F3">
        <v>5.2247948190502239E-5</v>
      </c>
      <c r="G3">
        <v>5.2018800985211543E-5</v>
      </c>
      <c r="H3">
        <v>5.2182978701047915E-5</v>
      </c>
      <c r="I3">
        <v>5.2379228035045939E-5</v>
      </c>
      <c r="J3">
        <v>9.0818615386886519E-5</v>
      </c>
      <c r="K3">
        <v>5.7090295584237415E-5</v>
      </c>
      <c r="L3">
        <v>8.6596379957871422E-5</v>
      </c>
      <c r="M3">
        <v>6.1527236287943959E-5</v>
      </c>
      <c r="N3">
        <v>8.7224648311304466E-5</v>
      </c>
      <c r="O3">
        <v>9.17124619149953E-5</v>
      </c>
      <c r="P3">
        <v>7.2431569231933804E-5</v>
      </c>
      <c r="Q3">
        <v>7.9478310361553555E-5</v>
      </c>
      <c r="R3">
        <v>9.0581845424803859E-5</v>
      </c>
      <c r="S3">
        <v>5.2065721521474048E-5</v>
      </c>
      <c r="T3">
        <v>7.8246042369243093E-5</v>
      </c>
      <c r="U3">
        <v>8.3068687131573156E-5</v>
      </c>
      <c r="V3">
        <v>8.9113367446605246E-5</v>
      </c>
      <c r="W3">
        <v>9.1132214834084829E-5</v>
      </c>
      <c r="X3">
        <v>8.4857085352848112E-5</v>
      </c>
      <c r="Y3">
        <v>7.5484289093434275E-5</v>
      </c>
      <c r="Z3">
        <v>8.9488221652480964E-5</v>
      </c>
      <c r="AA3">
        <v>7.5028755922818129E-5</v>
      </c>
      <c r="AB3">
        <v>6.7680457384617881E-5</v>
      </c>
      <c r="AC3">
        <v>6.3498652738833654E-5</v>
      </c>
      <c r="AD3">
        <v>6.9200221740103521E-5</v>
      </c>
      <c r="AE3">
        <v>8.8003259698363309E-5</v>
      </c>
      <c r="AF3">
        <v>8.377422042485529E-5</v>
      </c>
      <c r="AG3">
        <v>6.6214482520342651E-5</v>
      </c>
      <c r="AH3">
        <v>7.9755015417450544E-5</v>
      </c>
      <c r="AI3">
        <v>8.0958296278083291E-5</v>
      </c>
      <c r="AJ3">
        <v>7.6612680491636867E-5</v>
      </c>
      <c r="AK3">
        <v>7.9909931996608114E-5</v>
      </c>
      <c r="AL3">
        <v>6.6342040800305947E-5</v>
      </c>
      <c r="AM3">
        <v>8.4492256700541551E-5</v>
      </c>
      <c r="AN3">
        <v>6.7462031839351792E-5</v>
      </c>
      <c r="AO3">
        <v>8.5706815025533224E-5</v>
      </c>
      <c r="AP3">
        <v>8.4553585280188005E-5</v>
      </c>
      <c r="AQ3">
        <v>7.0268095015414779E-5</v>
      </c>
      <c r="AR3">
        <v>8.4675795250789332E-5</v>
      </c>
      <c r="AS3">
        <v>7.6617066188577556E-5</v>
      </c>
      <c r="AT3">
        <v>7.8724136004113679E-5</v>
      </c>
      <c r="AU3">
        <v>7.0424509339494113E-5</v>
      </c>
      <c r="AV3">
        <v>8.3586080189407126E-5</v>
      </c>
      <c r="AW3">
        <v>7.3267500930394944E-5</v>
      </c>
      <c r="AX3">
        <v>7.584804783603698E-5</v>
      </c>
      <c r="AY3">
        <v>8.2014271778340628E-5</v>
      </c>
      <c r="AZ3">
        <v>7.6852276901547063E-5</v>
      </c>
      <c r="BA3">
        <v>7.0882832156956871E-5</v>
      </c>
      <c r="BB3">
        <v>7.371857222708504E-5</v>
      </c>
      <c r="BC3">
        <v>8.0880425606842763E-5</v>
      </c>
      <c r="BD3">
        <v>7.0459919654783395E-5</v>
      </c>
      <c r="BE3">
        <v>7.3848383455571361E-5</v>
      </c>
      <c r="BF3">
        <v>7.9254114252473798E-5</v>
      </c>
      <c r="BG3">
        <v>7.7057826703839517E-5</v>
      </c>
      <c r="BH3">
        <v>7.8927200136786902E-5</v>
      </c>
      <c r="BI3">
        <v>8.1701331105743581E-5</v>
      </c>
      <c r="BJ3">
        <v>7.7788694427902112E-5</v>
      </c>
      <c r="BK3">
        <v>7.9116505360818655E-5</v>
      </c>
      <c r="BL3">
        <v>7.199964184523E-5</v>
      </c>
      <c r="BM3">
        <v>7.7590384822001095E-5</v>
      </c>
      <c r="BN3">
        <v>7.0603491906254284E-5</v>
      </c>
      <c r="BO3">
        <v>7.5023189559044476E-5</v>
      </c>
      <c r="BP3">
        <v>7.3738991108050452E-5</v>
      </c>
      <c r="BQ3">
        <v>7.170228334911995E-5</v>
      </c>
      <c r="BR3">
        <v>7.8687988327885813E-5</v>
      </c>
      <c r="BS3">
        <v>7.8410351025552351E-5</v>
      </c>
      <c r="BT3">
        <v>7.4596469057495239E-5</v>
      </c>
      <c r="BU3">
        <v>7.8915620208512314E-5</v>
      </c>
      <c r="BV3">
        <v>7.264743862189E-5</v>
      </c>
      <c r="BW3">
        <v>7.8691160337568535E-5</v>
      </c>
      <c r="BX3">
        <v>7.7091511184107059E-5</v>
      </c>
      <c r="BY3">
        <v>7.574464432361074E-5</v>
      </c>
      <c r="BZ3">
        <v>7.2942231843825409E-5</v>
      </c>
      <c r="CA3">
        <v>7.8729782248481876E-5</v>
      </c>
      <c r="CB3">
        <v>7.7744133299698719E-5</v>
      </c>
      <c r="CC3">
        <v>7.8314818161391524E-5</v>
      </c>
      <c r="CD3">
        <v>7.4869322340692201E-5</v>
      </c>
      <c r="CE3">
        <v>7.3688414441928845E-5</v>
      </c>
      <c r="CF3">
        <v>7.8356483442564741E-5</v>
      </c>
      <c r="CG3">
        <v>7.3130466084106205E-5</v>
      </c>
      <c r="CH3">
        <v>7.3789305771388157E-5</v>
      </c>
      <c r="CI3">
        <v>7.5479317446234216E-5</v>
      </c>
      <c r="CJ3">
        <v>7.3179929552683739E-5</v>
      </c>
      <c r="CK3">
        <v>7.7356424740742939E-5</v>
      </c>
      <c r="CL3">
        <v>7.4709805671989619E-5</v>
      </c>
      <c r="CM3">
        <v>7.5779520889400576E-5</v>
      </c>
      <c r="CN3">
        <v>7.4623786671006406E-5</v>
      </c>
      <c r="CO3">
        <v>7.5897771683232419E-5</v>
      </c>
      <c r="CP3">
        <v>7.7305172819541995E-5</v>
      </c>
      <c r="CQ3">
        <v>7.6113802704486913E-5</v>
      </c>
      <c r="CR3">
        <v>7.6663587166360991E-5</v>
      </c>
      <c r="CS3">
        <v>7.4595751154335252E-5</v>
      </c>
      <c r="CT3">
        <v>7.5795922923139702E-5</v>
      </c>
      <c r="CU3">
        <v>7.6966292807178414E-5</v>
      </c>
      <c r="CV3">
        <v>7.6147551116628449E-5</v>
      </c>
      <c r="CW3">
        <v>7.5660298412013406E-5</v>
      </c>
      <c r="CX3">
        <v>7.6621817284970261E-5</v>
      </c>
      <c r="CY3">
        <v>7.6822229619545495E-5</v>
      </c>
      <c r="CZ3">
        <v>7.6232489643347025E-5</v>
      </c>
      <c r="DA3">
        <v>7.586291939387482E-5</v>
      </c>
      <c r="DB3">
        <v>7.6748415777095266E-5</v>
      </c>
      <c r="DC3">
        <v>7.6573349813516722E-5</v>
      </c>
      <c r="DD3">
        <v>7.5881479441497991E-5</v>
      </c>
      <c r="DE3">
        <v>7.6796872367003316E-5</v>
      </c>
      <c r="DF3">
        <v>7.5828329323769745E-5</v>
      </c>
      <c r="DG3">
        <v>7.5748212980879942E-5</v>
      </c>
      <c r="DH3">
        <v>7.6780660820684191E-5</v>
      </c>
      <c r="DI3">
        <v>7.6125811329336404E-5</v>
      </c>
      <c r="DJ3">
        <v>7.5993020767361276E-5</v>
      </c>
      <c r="DK3">
        <v>7.589087997037484E-5</v>
      </c>
      <c r="DL3">
        <v>7.6796578903476196E-5</v>
      </c>
      <c r="DM3">
        <v>7.6005157982818804E-5</v>
      </c>
      <c r="DN3">
        <v>7.6492244526113427E-5</v>
      </c>
      <c r="DO3">
        <v>7.5771289500134467E-5</v>
      </c>
      <c r="DP3">
        <v>7.6618652676428166E-5</v>
      </c>
      <c r="DQ3">
        <v>7.643258534082395E-5</v>
      </c>
      <c r="DR3">
        <v>7.6375048068914883E-5</v>
      </c>
      <c r="DS3">
        <v>7.5880476860598248E-5</v>
      </c>
      <c r="DT3">
        <v>7.6765010647497303E-5</v>
      </c>
      <c r="DU3">
        <v>7.6229449851945982E-5</v>
      </c>
      <c r="DV3">
        <v>7.6315041764829039E-5</v>
      </c>
      <c r="DW3">
        <v>7.5994715582677658E-5</v>
      </c>
      <c r="DX3">
        <v>7.6102630806377793E-5</v>
      </c>
      <c r="DY3">
        <v>7.6585069569080734E-5</v>
      </c>
      <c r="DZ3">
        <v>7.6618917203905454E-5</v>
      </c>
      <c r="EA3">
        <v>7.6195381232605419E-5</v>
      </c>
      <c r="EB3">
        <v>7.6727630051452551E-5</v>
      </c>
      <c r="EC3">
        <v>7.6119615703736524E-5</v>
      </c>
      <c r="ED3">
        <v>7.6377066710418091E-5</v>
      </c>
      <c r="EE3">
        <v>7.6706654465313873E-5</v>
      </c>
      <c r="EF3">
        <v>7.6289685063217377E-5</v>
      </c>
      <c r="EG3">
        <v>7.5991170063055175E-5</v>
      </c>
      <c r="EH3">
        <v>7.6153220117467223E-5</v>
      </c>
      <c r="EI3">
        <v>7.6090076760037317E-5</v>
      </c>
      <c r="EJ3">
        <v>7.660302076442532E-5</v>
      </c>
      <c r="EK3">
        <v>7.648152467004839E-5</v>
      </c>
      <c r="EL3">
        <v>7.6355710925683811E-5</v>
      </c>
      <c r="EM3">
        <v>7.6575911240448012E-5</v>
      </c>
      <c r="EN3">
        <v>7.6392242137576086E-5</v>
      </c>
      <c r="EO3">
        <v>7.6669044004908855E-5</v>
      </c>
      <c r="EP3">
        <v>7.6443076188306789E-5</v>
      </c>
      <c r="EQ3">
        <v>7.627408377059076E-5</v>
      </c>
      <c r="ER3">
        <v>7.6481044942929209E-5</v>
      </c>
      <c r="ES3">
        <v>7.6269559924341997E-5</v>
      </c>
      <c r="ET3">
        <v>7.662107817568428E-5</v>
      </c>
      <c r="EU3">
        <v>7.6438202294292743E-5</v>
      </c>
      <c r="EV3">
        <v>7.6606055369042702E-5</v>
      </c>
      <c r="EW3">
        <v>7.6635980660690701E-5</v>
      </c>
      <c r="EX3">
        <v>7.6361616053915857E-5</v>
      </c>
      <c r="EY3">
        <v>7.6581066351669104E-5</v>
      </c>
      <c r="EZ3">
        <v>7.6500464094984518E-5</v>
      </c>
      <c r="FA3">
        <v>7.6273858087784577E-5</v>
      </c>
      <c r="FB3">
        <v>7.6378305242289675E-5</v>
      </c>
      <c r="FC3">
        <v>7.6533955652985017E-5</v>
      </c>
      <c r="FD3">
        <v>7.6403681944665336E-5</v>
      </c>
      <c r="FE3">
        <v>7.6566922385273194E-5</v>
      </c>
      <c r="FF3">
        <v>7.6448201652513193E-5</v>
      </c>
      <c r="FG3">
        <v>7.6292723827498299E-5</v>
      </c>
      <c r="FH3">
        <v>7.6478840531735896E-5</v>
      </c>
      <c r="FI3">
        <v>7.6332710112464667E-5</v>
      </c>
      <c r="FJ3">
        <v>7.6369408535677361E-5</v>
      </c>
      <c r="FK3">
        <v>7.6449825615605693E-5</v>
      </c>
      <c r="FL3">
        <v>7.6324638395323824E-5</v>
      </c>
      <c r="FM3">
        <v>7.651675866390413E-5</v>
      </c>
      <c r="FN3">
        <v>7.6559548278389415E-5</v>
      </c>
      <c r="FO3">
        <v>7.6457122344942449E-5</v>
      </c>
      <c r="FP3">
        <v>7.6455035586492939E-5</v>
      </c>
      <c r="FQ3">
        <v>7.647175013853532E-5</v>
      </c>
      <c r="FR3">
        <v>7.6530492196102805E-5</v>
      </c>
      <c r="FS3">
        <v>7.6541264865131209E-5</v>
      </c>
      <c r="FT3">
        <v>7.6544164541972418E-5</v>
      </c>
      <c r="FU3">
        <v>7.6549961434730645E-5</v>
      </c>
      <c r="FV3">
        <v>7.63883290517751E-5</v>
      </c>
      <c r="FW3">
        <v>7.6526456174054767E-5</v>
      </c>
      <c r="FX3">
        <v>7.6455296460800637E-5</v>
      </c>
      <c r="FY3">
        <v>7.6392569730043995E-5</v>
      </c>
      <c r="FZ3">
        <v>7.6470100396937784E-5</v>
      </c>
      <c r="GA3">
        <v>7.6394581743252353E-5</v>
      </c>
      <c r="GB3">
        <v>7.64651401858045E-5</v>
      </c>
      <c r="GC3">
        <v>7.6497228826345767E-5</v>
      </c>
      <c r="GD3">
        <v>7.6390005441692187E-5</v>
      </c>
      <c r="GE3">
        <v>7.6434855306214749E-5</v>
      </c>
      <c r="GF3">
        <v>7.6452516498625789E-5</v>
      </c>
      <c r="GG3">
        <v>7.6507287700774897E-5</v>
      </c>
      <c r="GH3">
        <v>7.6393046344423049E-5</v>
      </c>
      <c r="GI3">
        <v>7.6460280268221605E-5</v>
      </c>
      <c r="GJ3">
        <v>7.6411208886120014E-5</v>
      </c>
      <c r="GK3">
        <v>7.644446926840792E-5</v>
      </c>
      <c r="GL3">
        <v>7.6479841679416509E-5</v>
      </c>
      <c r="GM3">
        <v>7.6431094664593249E-5</v>
      </c>
      <c r="GN3">
        <v>7.6459225934744459E-5</v>
      </c>
      <c r="GO3">
        <v>7.6395513547785558E-5</v>
      </c>
      <c r="GP3">
        <v>7.6420808241517202E-5</v>
      </c>
      <c r="GQ3">
        <v>7.6443580502791439E-5</v>
      </c>
      <c r="GR3">
        <v>7.6460332515243445E-5</v>
      </c>
    </row>
    <row r="4" spans="1:200" x14ac:dyDescent="0.25">
      <c r="A4">
        <v>2.5114914346807399E-5</v>
      </c>
      <c r="B4">
        <v>2.5061572536082657E-5</v>
      </c>
      <c r="C4">
        <v>2.4999501322690997E-5</v>
      </c>
      <c r="D4">
        <v>2.4926846127931468E-5</v>
      </c>
      <c r="E4">
        <v>2.4975967812228834E-5</v>
      </c>
      <c r="F4">
        <v>2.4988461756979345E-5</v>
      </c>
      <c r="G4">
        <v>2.4909300529075273E-5</v>
      </c>
      <c r="H4">
        <v>2.4978299587681459E-5</v>
      </c>
      <c r="I4">
        <v>2.5036047290088148E-5</v>
      </c>
      <c r="J4">
        <v>2.0918266607432754E-5</v>
      </c>
      <c r="K4">
        <v>2.5852272684882713E-5</v>
      </c>
      <c r="L4">
        <v>2.6214105553704534E-5</v>
      </c>
      <c r="M4">
        <v>2.6442951466129963E-5</v>
      </c>
      <c r="N4">
        <v>2.5762933130040669E-5</v>
      </c>
      <c r="O4">
        <v>2.2122710241538463E-5</v>
      </c>
      <c r="P4">
        <v>2.7194467410275954E-5</v>
      </c>
      <c r="Q4">
        <v>2.7145222205058785E-5</v>
      </c>
      <c r="R4">
        <v>2.4119362293168384E-5</v>
      </c>
      <c r="S4">
        <v>2.4870690328694437E-5</v>
      </c>
      <c r="T4">
        <v>2.7184236701749583E-5</v>
      </c>
      <c r="U4">
        <v>2.6739242293718312E-5</v>
      </c>
      <c r="V4">
        <v>2.5155474020582679E-5</v>
      </c>
      <c r="W4">
        <v>2.3950909808135493E-5</v>
      </c>
      <c r="X4">
        <v>2.6458754195334718E-5</v>
      </c>
      <c r="Y4">
        <v>2.7289505373033961E-5</v>
      </c>
      <c r="Z4">
        <v>2.5060911795564762E-5</v>
      </c>
      <c r="AA4">
        <v>2.725419291967046E-5</v>
      </c>
      <c r="AB4">
        <v>2.6965418777503679E-5</v>
      </c>
      <c r="AC4">
        <v>2.6615906526220892E-5</v>
      </c>
      <c r="AD4">
        <v>2.7133533825561151E-5</v>
      </c>
      <c r="AE4">
        <v>2.5551967442032189E-5</v>
      </c>
      <c r="AF4">
        <v>2.6766827217347444E-5</v>
      </c>
      <c r="AG4">
        <v>2.6892517012192209E-5</v>
      </c>
      <c r="AH4">
        <v>2.7071059491455394E-5</v>
      </c>
      <c r="AI4">
        <v>2.6986299621881998E-5</v>
      </c>
      <c r="AJ4">
        <v>2.7272722122323637E-5</v>
      </c>
      <c r="AK4">
        <v>2.713627326527952E-5</v>
      </c>
      <c r="AL4">
        <v>2.6922127221627768E-5</v>
      </c>
      <c r="AM4">
        <v>2.6635726118131288E-5</v>
      </c>
      <c r="AN4">
        <v>2.6992081507652636E-5</v>
      </c>
      <c r="AO4">
        <v>2.627854677171193E-5</v>
      </c>
      <c r="AP4">
        <v>2.6543877439502173E-5</v>
      </c>
      <c r="AQ4">
        <v>2.715929353154173E-5</v>
      </c>
      <c r="AR4">
        <v>2.6568761995262797E-5</v>
      </c>
      <c r="AS4">
        <v>2.7294444008524324E-5</v>
      </c>
      <c r="AT4">
        <v>2.7188072490241475E-5</v>
      </c>
      <c r="AU4">
        <v>2.7190672864090145E-5</v>
      </c>
      <c r="AV4">
        <v>2.6703405070891551E-5</v>
      </c>
      <c r="AW4">
        <v>2.7295885182396361E-5</v>
      </c>
      <c r="AX4">
        <v>2.7301524347551843E-5</v>
      </c>
      <c r="AY4">
        <v>2.6879769136575601E-5</v>
      </c>
      <c r="AZ4">
        <v>2.7279278836537577E-5</v>
      </c>
      <c r="BA4">
        <v>2.7228427906228203E-5</v>
      </c>
      <c r="BB4">
        <v>2.7270500167167725E-5</v>
      </c>
      <c r="BC4">
        <v>2.7015221703918158E-5</v>
      </c>
      <c r="BD4">
        <v>2.7191456221293167E-5</v>
      </c>
      <c r="BE4">
        <v>2.7298454045386655E-5</v>
      </c>
      <c r="BF4">
        <v>2.7191592541908837E-5</v>
      </c>
      <c r="BG4">
        <v>2.7248582687337631E-5</v>
      </c>
      <c r="BH4">
        <v>2.7154235194402698E-5</v>
      </c>
      <c r="BI4">
        <v>2.6929664850878845E-5</v>
      </c>
      <c r="BJ4">
        <v>2.7231423209814612E-5</v>
      </c>
      <c r="BK4">
        <v>2.7186328777771362E-5</v>
      </c>
      <c r="BL4">
        <v>2.7252098952194108E-5</v>
      </c>
      <c r="BM4">
        <v>2.7228144267300028E-5</v>
      </c>
      <c r="BN4">
        <v>2.7183686524492623E-5</v>
      </c>
      <c r="BO4">
        <v>2.7310363971922217E-5</v>
      </c>
      <c r="BP4">
        <v>2.7294415130008131E-5</v>
      </c>
      <c r="BQ4">
        <v>2.7252019424343142E-5</v>
      </c>
      <c r="BR4">
        <v>2.7199124494015003E-5</v>
      </c>
      <c r="BS4">
        <v>2.7209147370080559E-5</v>
      </c>
      <c r="BT4">
        <v>2.7289983463595065E-5</v>
      </c>
      <c r="BU4">
        <v>2.7203818905271963E-5</v>
      </c>
      <c r="BV4">
        <v>2.7263700966920366E-5</v>
      </c>
      <c r="BW4">
        <v>2.7192249920437698E-5</v>
      </c>
      <c r="BX4">
        <v>2.7252739607939857E-5</v>
      </c>
      <c r="BY4">
        <v>2.7290520156564317E-5</v>
      </c>
      <c r="BZ4">
        <v>2.7267155080251394E-5</v>
      </c>
      <c r="CA4">
        <v>2.7207971536868725E-5</v>
      </c>
      <c r="CB4">
        <v>2.7238436917477328E-5</v>
      </c>
      <c r="CC4">
        <v>2.7230560532545745E-5</v>
      </c>
      <c r="CD4">
        <v>2.7296656928886032E-5</v>
      </c>
      <c r="CE4">
        <v>2.7295165988273404E-5</v>
      </c>
      <c r="CF4">
        <v>2.720726078767258E-5</v>
      </c>
      <c r="CG4">
        <v>2.7287755591804509E-5</v>
      </c>
      <c r="CH4">
        <v>2.7293797584248271E-5</v>
      </c>
      <c r="CI4">
        <v>2.7299181948680136E-5</v>
      </c>
      <c r="CJ4">
        <v>2.7286796671005247E-5</v>
      </c>
      <c r="CK4">
        <v>2.7261828659683473E-5</v>
      </c>
      <c r="CL4">
        <v>2.7290708746116285E-5</v>
      </c>
      <c r="CM4">
        <v>2.7296396129913029E-5</v>
      </c>
      <c r="CN4">
        <v>2.7294299798351725E-5</v>
      </c>
      <c r="CO4">
        <v>2.7279931306915623E-5</v>
      </c>
      <c r="CP4">
        <v>2.7256523990368813E-5</v>
      </c>
      <c r="CQ4">
        <v>2.7280622250935904E-5</v>
      </c>
      <c r="CR4">
        <v>2.7274914550190397E-5</v>
      </c>
      <c r="CS4">
        <v>2.7290278944421467E-5</v>
      </c>
      <c r="CT4">
        <v>2.7290535558224963E-5</v>
      </c>
      <c r="CU4">
        <v>2.7269059048255986E-5</v>
      </c>
      <c r="CV4">
        <v>2.7287321887478601E-5</v>
      </c>
      <c r="CW4">
        <v>2.7292444036883155E-5</v>
      </c>
      <c r="CX4">
        <v>2.72693006806932E-5</v>
      </c>
      <c r="CY4">
        <v>2.7273253954833651E-5</v>
      </c>
      <c r="CZ4">
        <v>2.7284609018762797E-5</v>
      </c>
      <c r="DA4">
        <v>2.7285031456121189E-5</v>
      </c>
      <c r="DB4">
        <v>2.7265512005058733E-5</v>
      </c>
      <c r="DC4">
        <v>2.7276763487524624E-5</v>
      </c>
      <c r="DD4">
        <v>2.729064532535147E-5</v>
      </c>
      <c r="DE4">
        <v>2.7266085470716201E-5</v>
      </c>
      <c r="DF4">
        <v>2.7289915634714732E-5</v>
      </c>
      <c r="DG4">
        <v>2.7287604891725347E-5</v>
      </c>
      <c r="DH4">
        <v>2.7266277347910263E-5</v>
      </c>
      <c r="DI4">
        <v>2.728223855843848E-5</v>
      </c>
      <c r="DJ4">
        <v>2.7282514062254032E-5</v>
      </c>
      <c r="DK4">
        <v>2.7283284753407322E-5</v>
      </c>
      <c r="DL4">
        <v>2.7270045768360464E-5</v>
      </c>
      <c r="DM4">
        <v>2.7285308616863023E-5</v>
      </c>
      <c r="DN4">
        <v>2.7277301084189532E-5</v>
      </c>
      <c r="DO4">
        <v>2.7286116377580274E-5</v>
      </c>
      <c r="DP4">
        <v>2.7270523222118726E-5</v>
      </c>
      <c r="DQ4">
        <v>2.7278515469108585E-5</v>
      </c>
      <c r="DR4">
        <v>2.7276706916502889E-5</v>
      </c>
      <c r="DS4">
        <v>2.7287183201172739E-5</v>
      </c>
      <c r="DT4">
        <v>2.727002716382436E-5</v>
      </c>
      <c r="DU4">
        <v>2.7282226208691655E-5</v>
      </c>
      <c r="DV4">
        <v>2.7279391992606876E-5</v>
      </c>
      <c r="DW4">
        <v>2.7285443415764915E-5</v>
      </c>
      <c r="DX4">
        <v>2.7281941480680443E-5</v>
      </c>
      <c r="DY4">
        <v>2.7273270660880276E-5</v>
      </c>
      <c r="DZ4">
        <v>2.7271323996683636E-5</v>
      </c>
      <c r="EA4">
        <v>2.7279813984366544E-5</v>
      </c>
      <c r="EB4">
        <v>2.726945542783308E-5</v>
      </c>
      <c r="EC4">
        <v>2.7281702985974196E-5</v>
      </c>
      <c r="ED4">
        <v>2.7278116325899178E-5</v>
      </c>
      <c r="EE4">
        <v>2.7271012509908081E-5</v>
      </c>
      <c r="EF4">
        <v>2.7279910191273196E-5</v>
      </c>
      <c r="EG4">
        <v>2.7283655998648973E-5</v>
      </c>
      <c r="EH4">
        <v>2.7281993924118815E-5</v>
      </c>
      <c r="EI4">
        <v>2.7283633626140234E-5</v>
      </c>
      <c r="EJ4">
        <v>2.7272949315988902E-5</v>
      </c>
      <c r="EK4">
        <v>2.7275360072208329E-5</v>
      </c>
      <c r="EL4">
        <v>2.7277746632797489E-5</v>
      </c>
      <c r="EM4">
        <v>2.7272637644221403E-5</v>
      </c>
      <c r="EN4">
        <v>2.7276962620167786E-5</v>
      </c>
      <c r="EO4">
        <v>2.7270358218595837E-5</v>
      </c>
      <c r="EP4">
        <v>2.7275204176629623E-5</v>
      </c>
      <c r="EQ4">
        <v>2.7279702170460777E-5</v>
      </c>
      <c r="ER4">
        <v>2.7276248606842911E-5</v>
      </c>
      <c r="ES4">
        <v>2.7280436902078419E-5</v>
      </c>
      <c r="ET4">
        <v>2.7271399023200871E-5</v>
      </c>
      <c r="EU4">
        <v>2.7276273349347214E-5</v>
      </c>
      <c r="EV4">
        <v>2.727304356169481E-5</v>
      </c>
      <c r="EW4">
        <v>2.7271449100412891E-5</v>
      </c>
      <c r="EX4">
        <v>2.7277949175337923E-5</v>
      </c>
      <c r="EY4">
        <v>2.7272939957742624E-5</v>
      </c>
      <c r="EZ4">
        <v>2.7274938790041056E-5</v>
      </c>
      <c r="FA4">
        <v>2.7279573812111332E-5</v>
      </c>
      <c r="FB4">
        <v>2.7276996044468016E-5</v>
      </c>
      <c r="FC4">
        <v>2.7274673123172154E-5</v>
      </c>
      <c r="FD4">
        <v>2.7276925779973421E-5</v>
      </c>
      <c r="FE4">
        <v>2.7273893644791133E-5</v>
      </c>
      <c r="FF4">
        <v>2.7275657772413705E-5</v>
      </c>
      <c r="FG4">
        <v>2.7279274058074324E-5</v>
      </c>
      <c r="FH4">
        <v>2.7275551827443084E-5</v>
      </c>
      <c r="FI4">
        <v>2.7278345269759583E-5</v>
      </c>
      <c r="FJ4">
        <v>2.7277214317045349E-5</v>
      </c>
      <c r="FK4">
        <v>2.7275986973473166E-5</v>
      </c>
      <c r="FL4">
        <v>2.7278471235279407E-5</v>
      </c>
      <c r="FM4">
        <v>2.7274207307839047E-5</v>
      </c>
      <c r="FN4">
        <v>2.7273481104752216E-5</v>
      </c>
      <c r="FO4">
        <v>2.7276076630930894E-5</v>
      </c>
      <c r="FP4">
        <v>2.7275344632469493E-5</v>
      </c>
      <c r="FQ4">
        <v>2.7275106093442685E-5</v>
      </c>
      <c r="FR4">
        <v>2.7274426445982639E-5</v>
      </c>
      <c r="FS4">
        <v>2.7274013175405069E-5</v>
      </c>
      <c r="FT4">
        <v>2.7273601750596676E-5</v>
      </c>
      <c r="FU4">
        <v>2.7273869802014324E-5</v>
      </c>
      <c r="FV4">
        <v>2.7277313057389565E-5</v>
      </c>
      <c r="FW4">
        <v>2.7273990916260238E-5</v>
      </c>
      <c r="FX4">
        <v>2.7275808153722005E-5</v>
      </c>
      <c r="FY4">
        <v>2.7277238086977125E-5</v>
      </c>
      <c r="FZ4">
        <v>2.7275035655577902E-5</v>
      </c>
      <c r="GA4">
        <v>2.7277011150593584E-5</v>
      </c>
      <c r="GB4">
        <v>2.7275686542185412E-5</v>
      </c>
      <c r="GC4">
        <v>2.7274727086661234E-5</v>
      </c>
      <c r="GD4">
        <v>2.7276824683510521E-5</v>
      </c>
      <c r="GE4">
        <v>2.7276215206705444E-5</v>
      </c>
      <c r="GF4">
        <v>2.727576834355305E-5</v>
      </c>
      <c r="GG4">
        <v>2.727475531798869E-5</v>
      </c>
      <c r="GH4">
        <v>2.727699158957535E-5</v>
      </c>
      <c r="GI4">
        <v>2.7275594995569096E-5</v>
      </c>
      <c r="GJ4">
        <v>2.727678225028672E-5</v>
      </c>
      <c r="GK4">
        <v>2.7275993472244787E-5</v>
      </c>
      <c r="GL4">
        <v>2.7275086880262251E-5</v>
      </c>
      <c r="GM4">
        <v>2.7276222549255294E-5</v>
      </c>
      <c r="GN4">
        <v>2.7275590438985917E-5</v>
      </c>
      <c r="GO4">
        <v>2.7276834942453285E-5</v>
      </c>
      <c r="GP4">
        <v>2.7276587994450118E-5</v>
      </c>
      <c r="GQ4">
        <v>2.7275944912143785E-5</v>
      </c>
      <c r="GR4">
        <v>2.7275727388926593E-5</v>
      </c>
    </row>
    <row r="5" spans="1:200" x14ac:dyDescent="0.25">
      <c r="A5">
        <v>4.9888329332816451E-5</v>
      </c>
      <c r="B5">
        <v>4.9894570890117915E-5</v>
      </c>
      <c r="C5">
        <v>4.982006794869806E-5</v>
      </c>
      <c r="D5">
        <v>4.967301370331112E-5</v>
      </c>
      <c r="E5">
        <v>4.9696711801057583E-5</v>
      </c>
      <c r="F5">
        <v>4.9817874411302792E-5</v>
      </c>
      <c r="G5">
        <v>4.97102879907456E-5</v>
      </c>
      <c r="H5">
        <v>4.9750593206652341E-5</v>
      </c>
      <c r="I5">
        <v>4.988848134379999E-5</v>
      </c>
      <c r="J5">
        <v>2.0032480676131079E-4</v>
      </c>
      <c r="K5">
        <v>5.7790564576862814E-5</v>
      </c>
      <c r="L5">
        <v>1.3906520175477661E-4</v>
      </c>
      <c r="M5">
        <v>6.6174838484939148E-5</v>
      </c>
      <c r="N5">
        <v>1.4455700003895036E-4</v>
      </c>
      <c r="O5">
        <v>1.9058660098957803E-4</v>
      </c>
      <c r="P5">
        <v>9.1545158522475818E-5</v>
      </c>
      <c r="Q5">
        <v>1.1143598942046213E-4</v>
      </c>
      <c r="R5">
        <v>1.6875396219652832E-4</v>
      </c>
      <c r="S5">
        <v>4.9987904497003067E-5</v>
      </c>
      <c r="T5">
        <v>1.0781722194742066E-4</v>
      </c>
      <c r="U5">
        <v>1.2490662673032322E-4</v>
      </c>
      <c r="V5">
        <v>1.5530375935212984E-4</v>
      </c>
      <c r="W5">
        <v>1.7168757503213114E-4</v>
      </c>
      <c r="X5">
        <v>1.3216249581517349E-4</v>
      </c>
      <c r="Y5">
        <v>9.9383448592068664E-5</v>
      </c>
      <c r="Z5">
        <v>1.569867405073244E-4</v>
      </c>
      <c r="AA5">
        <v>9.8343190790964343E-5</v>
      </c>
      <c r="AB5">
        <v>7.9820078288705601E-5</v>
      </c>
      <c r="AC5">
        <v>7.0632171130563764E-5</v>
      </c>
      <c r="AD5">
        <v>8.283343392695803E-5</v>
      </c>
      <c r="AE5">
        <v>1.4882760020548075E-4</v>
      </c>
      <c r="AF5">
        <v>1.2655852572277229E-4</v>
      </c>
      <c r="AG5">
        <v>7.6372956515281524E-5</v>
      </c>
      <c r="AH5">
        <v>1.1276847174621E-4</v>
      </c>
      <c r="AI5">
        <v>1.1696004798804559E-4</v>
      </c>
      <c r="AJ5">
        <v>1.0242097257864632E-4</v>
      </c>
      <c r="AK5">
        <v>1.1264861930007404E-4</v>
      </c>
      <c r="AL5">
        <v>7.6372860914217133E-5</v>
      </c>
      <c r="AM5">
        <v>1.2962786362178988E-4</v>
      </c>
      <c r="AN5">
        <v>7.9022018098230952E-5</v>
      </c>
      <c r="AO5">
        <v>1.3594200628334917E-4</v>
      </c>
      <c r="AP5">
        <v>1.3061536624062143E-4</v>
      </c>
      <c r="AQ5">
        <v>8.5719652436633376E-5</v>
      </c>
      <c r="AR5">
        <v>1.3068161529625728E-4</v>
      </c>
      <c r="AS5">
        <v>1.0241596883700959E-4</v>
      </c>
      <c r="AT5">
        <v>1.0905484797186448E-4</v>
      </c>
      <c r="AU5">
        <v>8.579762036184076E-5</v>
      </c>
      <c r="AV5">
        <v>1.2657634142324259E-4</v>
      </c>
      <c r="AW5">
        <v>9.29923462458625E-5</v>
      </c>
      <c r="AX5">
        <v>1.0019615098049095E-4</v>
      </c>
      <c r="AY5">
        <v>1.2071118539759042E-4</v>
      </c>
      <c r="AZ5">
        <v>1.0302857896797411E-4</v>
      </c>
      <c r="BA5">
        <v>8.6910843828869483E-5</v>
      </c>
      <c r="BB5">
        <v>9.4416180460357349E-5</v>
      </c>
      <c r="BC5">
        <v>1.1649989492037703E-4</v>
      </c>
      <c r="BD5">
        <v>8.5926664733699878E-5</v>
      </c>
      <c r="BE5">
        <v>9.4638754045771729E-5</v>
      </c>
      <c r="BF5">
        <v>1.1048260107514674E-4</v>
      </c>
      <c r="BG5">
        <v>1.0390048014047434E-4</v>
      </c>
      <c r="BH5">
        <v>1.0988471738592765E-4</v>
      </c>
      <c r="BI5">
        <v>1.1936629901485672E-4</v>
      </c>
      <c r="BJ5">
        <v>1.0609079120171451E-4</v>
      </c>
      <c r="BK5">
        <v>1.1016951410569825E-4</v>
      </c>
      <c r="BL5">
        <v>8.9771250636579394E-5</v>
      </c>
      <c r="BM5">
        <v>1.0556195779477095E-4</v>
      </c>
      <c r="BN5">
        <v>8.6411246751249855E-5</v>
      </c>
      <c r="BO5">
        <v>9.779401665714404E-5</v>
      </c>
      <c r="BP5">
        <v>9.428842214680459E-5</v>
      </c>
      <c r="BQ5">
        <v>8.8976372111154861E-5</v>
      </c>
      <c r="BR5">
        <v>1.0885169013603218E-4</v>
      </c>
      <c r="BS5">
        <v>1.0798817829534832E-4</v>
      </c>
      <c r="BT5">
        <v>9.6775875706824147E-5</v>
      </c>
      <c r="BU5">
        <v>1.0944890602127751E-4</v>
      </c>
      <c r="BV5">
        <v>9.1542441363575528E-5</v>
      </c>
      <c r="BW5">
        <v>1.0887685375315444E-4</v>
      </c>
      <c r="BX5">
        <v>1.0399006627136102E-4</v>
      </c>
      <c r="BY5">
        <v>9.9925495746579329E-5</v>
      </c>
      <c r="BZ5">
        <v>9.2325575398033644E-5</v>
      </c>
      <c r="CA5">
        <v>1.0887155606978453E-4</v>
      </c>
      <c r="CB5">
        <v>1.0591636648631927E-4</v>
      </c>
      <c r="CC5">
        <v>1.0755939174363461E-4</v>
      </c>
      <c r="CD5">
        <v>9.7440537684841884E-5</v>
      </c>
      <c r="CE5">
        <v>9.4175412312506794E-5</v>
      </c>
      <c r="CF5">
        <v>1.0787251986806156E-4</v>
      </c>
      <c r="CG5">
        <v>9.2674830624045213E-5</v>
      </c>
      <c r="CH5">
        <v>9.4474616968435058E-5</v>
      </c>
      <c r="CI5">
        <v>9.9140958155890122E-5</v>
      </c>
      <c r="CJ5">
        <v>9.2817719379342366E-5</v>
      </c>
      <c r="CK5">
        <v>1.0462037319856344E-4</v>
      </c>
      <c r="CL5">
        <v>9.7059085211627461E-5</v>
      </c>
      <c r="CM5">
        <v>9.9976208735976793E-5</v>
      </c>
      <c r="CN5">
        <v>9.6796423665482484E-5</v>
      </c>
      <c r="CO5">
        <v>1.0045481189422446E-4</v>
      </c>
      <c r="CP5">
        <v>1.0453068295084771E-4</v>
      </c>
      <c r="CQ5">
        <v>1.010314779812057E-4</v>
      </c>
      <c r="CR5">
        <v>1.0262176997817628E-4</v>
      </c>
      <c r="CS5">
        <v>9.6740230895849775E-5</v>
      </c>
      <c r="CT5">
        <v>1.000759246242907E-4</v>
      </c>
      <c r="CU5">
        <v>1.0350332003090952E-4</v>
      </c>
      <c r="CV5">
        <v>1.0106870124539665E-4</v>
      </c>
      <c r="CW5">
        <v>9.9679687035680279E-5</v>
      </c>
      <c r="CX5">
        <v>1.0254788139933219E-4</v>
      </c>
      <c r="CY5">
        <v>1.0306884440217513E-4</v>
      </c>
      <c r="CZ5">
        <v>1.013376991467322E-4</v>
      </c>
      <c r="DA5">
        <v>1.0030418066609033E-4</v>
      </c>
      <c r="DB5">
        <v>1.0292432194585214E-4</v>
      </c>
      <c r="DC5">
        <v>1.0233845358340519E-4</v>
      </c>
      <c r="DD5">
        <v>1.0030742164714625E-4</v>
      </c>
      <c r="DE5">
        <v>1.030486829830459E-4</v>
      </c>
      <c r="DF5">
        <v>1.0016644143341615E-4</v>
      </c>
      <c r="DG5">
        <v>9.9966050095831751E-5</v>
      </c>
      <c r="DH5">
        <v>1.0300636712071314E-4</v>
      </c>
      <c r="DI5">
        <v>1.0105926422924711E-4</v>
      </c>
      <c r="DJ5">
        <v>1.0069133574159239E-4</v>
      </c>
      <c r="DK5">
        <v>1.0040041709080325E-4</v>
      </c>
      <c r="DL5">
        <v>1.0301389098806769E-4</v>
      </c>
      <c r="DM5">
        <v>1.0070043585685306E-4</v>
      </c>
      <c r="DN5">
        <v>1.0211495242471802E-4</v>
      </c>
      <c r="DO5">
        <v>1.0004308113894523E-4</v>
      </c>
      <c r="DP5">
        <v>1.0252092537509658E-4</v>
      </c>
      <c r="DQ5">
        <v>1.0193940037239176E-4</v>
      </c>
      <c r="DR5">
        <v>1.0179424399415876E-4</v>
      </c>
      <c r="DS5">
        <v>1.0033823235247038E-4</v>
      </c>
      <c r="DT5">
        <v>1.0292823667382441E-4</v>
      </c>
      <c r="DU5">
        <v>1.0134661713599484E-4</v>
      </c>
      <c r="DV5">
        <v>1.0160546396673229E-4</v>
      </c>
      <c r="DW5">
        <v>1.006679706094998E-4</v>
      </c>
      <c r="DX5">
        <v>1.0099863485383268E-4</v>
      </c>
      <c r="DY5">
        <v>1.0240518447445E-4</v>
      </c>
      <c r="DZ5">
        <v>1.0251624784111032E-4</v>
      </c>
      <c r="EA5">
        <v>1.0127242397568426E-4</v>
      </c>
      <c r="EB5">
        <v>1.0283230469955321E-4</v>
      </c>
      <c r="EC5">
        <v>1.0104493465413857E-4</v>
      </c>
      <c r="ED5">
        <v>1.0178844885960557E-4</v>
      </c>
      <c r="EE5">
        <v>1.027605165891595E-4</v>
      </c>
      <c r="EF5">
        <v>1.0153241777484185E-4</v>
      </c>
      <c r="EG5">
        <v>1.0067407232580262E-4</v>
      </c>
      <c r="EH5">
        <v>1.0113661406255393E-4</v>
      </c>
      <c r="EI5">
        <v>1.009479212952086E-4</v>
      </c>
      <c r="EJ5">
        <v>1.0245681114074433E-4</v>
      </c>
      <c r="EK5">
        <v>1.0210099433669835E-4</v>
      </c>
      <c r="EL5">
        <v>1.0173319163923597E-4</v>
      </c>
      <c r="EM5">
        <v>1.0238469121041504E-4</v>
      </c>
      <c r="EN5">
        <v>1.0184129768606814E-4</v>
      </c>
      <c r="EO5">
        <v>1.0266277324616427E-4</v>
      </c>
      <c r="EP5">
        <v>1.0199588767404071E-4</v>
      </c>
      <c r="EQ5">
        <v>1.0149098062954488E-4</v>
      </c>
      <c r="ER5">
        <v>1.0209279200398949E-4</v>
      </c>
      <c r="ES5">
        <v>1.014725052983279E-4</v>
      </c>
      <c r="ET5">
        <v>1.0251965048041905E-4</v>
      </c>
      <c r="EU5">
        <v>1.0197316915429342E-4</v>
      </c>
      <c r="EV5">
        <v>1.0246513553366111E-4</v>
      </c>
      <c r="EW5">
        <v>1.0256176283937727E-4</v>
      </c>
      <c r="EX5">
        <v>1.0174607337934887E-4</v>
      </c>
      <c r="EY5">
        <v>1.0239606213655451E-4</v>
      </c>
      <c r="EZ5">
        <v>1.0215642647860811E-4</v>
      </c>
      <c r="FA5">
        <v>1.0149003129329829E-4</v>
      </c>
      <c r="FB5">
        <v>1.0180245545625557E-4</v>
      </c>
      <c r="FC5">
        <v>1.0225112696811935E-4</v>
      </c>
      <c r="FD5">
        <v>1.018724196122998E-4</v>
      </c>
      <c r="FE5">
        <v>1.0234911334794043E-4</v>
      </c>
      <c r="FF5">
        <v>1.0200729828169589E-4</v>
      </c>
      <c r="FG5">
        <v>1.0154572449622764E-4</v>
      </c>
      <c r="FH5">
        <v>1.0209229900773906E-4</v>
      </c>
      <c r="FI5">
        <v>1.0166476138812237E-4</v>
      </c>
      <c r="FJ5">
        <v>1.0177457316136228E-4</v>
      </c>
      <c r="FK5">
        <v>1.0200816891024758E-4</v>
      </c>
      <c r="FL5">
        <v>1.0164049651144269E-4</v>
      </c>
      <c r="FM5">
        <v>1.0220822127689616E-4</v>
      </c>
      <c r="FN5">
        <v>1.0233295573618065E-4</v>
      </c>
      <c r="FO5">
        <v>1.0202740205739094E-4</v>
      </c>
      <c r="FP5">
        <v>1.0202807009578584E-4</v>
      </c>
      <c r="FQ5">
        <v>1.0207652203114313E-4</v>
      </c>
      <c r="FR5">
        <v>1.0224398485861188E-4</v>
      </c>
      <c r="FS5">
        <v>1.0227756751077502E-4</v>
      </c>
      <c r="FT5">
        <v>1.0228892568008091E-4</v>
      </c>
      <c r="FU5">
        <v>1.0230256823735902E-4</v>
      </c>
      <c r="FV5">
        <v>1.018266153002944E-4</v>
      </c>
      <c r="FW5">
        <v>1.0223700479293268E-4</v>
      </c>
      <c r="FX5">
        <v>1.0202431958883497E-4</v>
      </c>
      <c r="FY5">
        <v>1.0183886956244322E-4</v>
      </c>
      <c r="FZ5">
        <v>1.0207190336527956E-4</v>
      </c>
      <c r="GA5">
        <v>1.0184639690736955E-4</v>
      </c>
      <c r="GB5">
        <v>1.0205281848479015E-4</v>
      </c>
      <c r="GC5">
        <v>1.0214991141854918E-4</v>
      </c>
      <c r="GD5">
        <v>1.018352087483035E-4</v>
      </c>
      <c r="GE5">
        <v>1.0196466903066671E-4</v>
      </c>
      <c r="GF5">
        <v>1.0201719002601189E-4</v>
      </c>
      <c r="GG5">
        <v>1.0217706211872833E-4</v>
      </c>
      <c r="GH5">
        <v>1.018422531938672E-4</v>
      </c>
      <c r="GI5">
        <v>1.0203993628494831E-4</v>
      </c>
      <c r="GJ5">
        <v>1.0189435371924409E-4</v>
      </c>
      <c r="GK5">
        <v>1.0199285949127161E-4</v>
      </c>
      <c r="GL5">
        <v>1.0209853927812655E-4</v>
      </c>
      <c r="GM5">
        <v>1.0195393597727457E-4</v>
      </c>
      <c r="GN5">
        <v>1.0203743931395987E-4</v>
      </c>
      <c r="GO5">
        <v>1.0185018530129924E-4</v>
      </c>
      <c r="GP5">
        <v>1.0192238796152624E-4</v>
      </c>
      <c r="GQ5">
        <v>1.019910340550821E-4</v>
      </c>
      <c r="GR5">
        <v>1.020389463331056E-4</v>
      </c>
    </row>
    <row r="6" spans="1:200" x14ac:dyDescent="0.25">
      <c r="A6">
        <v>1.0833969699870058E-6</v>
      </c>
      <c r="B6">
        <v>1.0823097527096891E-6</v>
      </c>
      <c r="C6">
        <v>1.0795393935784007E-6</v>
      </c>
      <c r="D6">
        <v>1.0756473630227605E-6</v>
      </c>
      <c r="E6">
        <v>1.0745420683555376E-6</v>
      </c>
      <c r="F6">
        <v>1.080813490359188E-6</v>
      </c>
      <c r="G6">
        <v>1.0762509673730734E-6</v>
      </c>
      <c r="H6">
        <v>1.0787465155378746E-6</v>
      </c>
      <c r="I6">
        <v>1.0802066576853493E-6</v>
      </c>
      <c r="J6">
        <v>6.5638289375312082E-6</v>
      </c>
      <c r="K6">
        <v>1.2889066614193016E-6</v>
      </c>
      <c r="L6">
        <v>3.9065936767876868E-6</v>
      </c>
      <c r="M6">
        <v>1.5216314171081249E-6</v>
      </c>
      <c r="N6">
        <v>4.1115613453503934E-6</v>
      </c>
      <c r="O6">
        <v>6.0898217715939776E-6</v>
      </c>
      <c r="P6">
        <v>2.275768774174423E-6</v>
      </c>
      <c r="Q6">
        <v>2.9196133417355668E-6</v>
      </c>
      <c r="R6">
        <v>5.097263841933775E-6</v>
      </c>
      <c r="S6">
        <v>1.083745570548823E-6</v>
      </c>
      <c r="T6">
        <v>2.800327410972336E-6</v>
      </c>
      <c r="U6">
        <v>3.3902393631207275E-6</v>
      </c>
      <c r="V6">
        <v>4.5386896496962131E-6</v>
      </c>
      <c r="W6">
        <v>5.2282431057171906E-6</v>
      </c>
      <c r="X6">
        <v>3.6523265205655387E-6</v>
      </c>
      <c r="Y6">
        <v>2.52054530480098E-6</v>
      </c>
      <c r="Z6">
        <v>4.6064774644057494E-6</v>
      </c>
      <c r="AA6">
        <v>2.4889173734863801E-6</v>
      </c>
      <c r="AB6">
        <v>1.9176128313759985E-6</v>
      </c>
      <c r="AC6">
        <v>1.6477425160845303E-6</v>
      </c>
      <c r="AD6">
        <v>2.006332482641907E-6</v>
      </c>
      <c r="AE6">
        <v>4.2797834464647657E-6</v>
      </c>
      <c r="AF6">
        <v>3.4458366657735499E-6</v>
      </c>
      <c r="AG6">
        <v>1.8135014064807029E-6</v>
      </c>
      <c r="AH6">
        <v>2.9670915695487178E-6</v>
      </c>
      <c r="AI6">
        <v>3.1098960343798128E-6</v>
      </c>
      <c r="AJ6">
        <v>2.6231121006548198E-6</v>
      </c>
      <c r="AK6">
        <v>2.9600398357643996E-6</v>
      </c>
      <c r="AL6">
        <v>1.8145872358669515E-6</v>
      </c>
      <c r="AM6">
        <v>3.5559999101038748E-6</v>
      </c>
      <c r="AN6">
        <v>1.89222555446614E-6</v>
      </c>
      <c r="AO6">
        <v>3.7870642355687429E-6</v>
      </c>
      <c r="AP6">
        <v>3.5937230348514294E-6</v>
      </c>
      <c r="AQ6">
        <v>2.0946016138711866E-6</v>
      </c>
      <c r="AR6">
        <v>3.5966973697858656E-6</v>
      </c>
      <c r="AS6">
        <v>2.622112428920846E-6</v>
      </c>
      <c r="AT6">
        <v>2.8392967090731649E-6</v>
      </c>
      <c r="AU6">
        <v>2.0970062339127797E-6</v>
      </c>
      <c r="AV6">
        <v>3.4457229892035244E-6</v>
      </c>
      <c r="AW6">
        <v>2.3200106939965211E-6</v>
      </c>
      <c r="AX6">
        <v>2.5497371836183555E-6</v>
      </c>
      <c r="AY6">
        <v>3.2394852497299474E-6</v>
      </c>
      <c r="AZ6">
        <v>2.6407076492195188E-6</v>
      </c>
      <c r="BA6">
        <v>2.130167652885813E-6</v>
      </c>
      <c r="BB6">
        <v>2.3642968538495375E-6</v>
      </c>
      <c r="BC6">
        <v>3.0917383941282697E-6</v>
      </c>
      <c r="BD6">
        <v>2.1004289168844414E-6</v>
      </c>
      <c r="BE6">
        <v>2.37109548832719E-6</v>
      </c>
      <c r="BF6">
        <v>2.8881032984725985E-6</v>
      </c>
      <c r="BG6">
        <v>2.6694872712352995E-6</v>
      </c>
      <c r="BH6">
        <v>2.8681124863731996E-6</v>
      </c>
      <c r="BI6">
        <v>3.1916375979561964E-6</v>
      </c>
      <c r="BJ6">
        <v>2.7412792212772151E-6</v>
      </c>
      <c r="BK6">
        <v>2.8772278137321E-6</v>
      </c>
      <c r="BL6">
        <v>2.218525089466037E-6</v>
      </c>
      <c r="BM6">
        <v>2.724051399278528E-6</v>
      </c>
      <c r="BN6">
        <v>2.1151181456995784E-6</v>
      </c>
      <c r="BO6">
        <v>2.4717051087513541E-6</v>
      </c>
      <c r="BP6">
        <v>2.3598936861961286E-6</v>
      </c>
      <c r="BQ6">
        <v>2.1943661284862592E-6</v>
      </c>
      <c r="BR6">
        <v>2.8330571525851677E-6</v>
      </c>
      <c r="BS6">
        <v>2.8040660217963574E-6</v>
      </c>
      <c r="BT6">
        <v>2.4391920397242186E-6</v>
      </c>
      <c r="BU6">
        <v>2.8529043368971412E-6</v>
      </c>
      <c r="BV6">
        <v>2.2737810702517427E-6</v>
      </c>
      <c r="BW6">
        <v>2.8343659240474783E-6</v>
      </c>
      <c r="BX6">
        <v>2.6723340456795923E-6</v>
      </c>
      <c r="BY6">
        <v>2.540045396628834E-6</v>
      </c>
      <c r="BZ6">
        <v>2.2979587840229972E-6</v>
      </c>
      <c r="CA6">
        <v>2.8339121160052673E-6</v>
      </c>
      <c r="CB6">
        <v>2.7356591886504469E-6</v>
      </c>
      <c r="CC6">
        <v>2.7903141895110814E-6</v>
      </c>
      <c r="CD6">
        <v>2.4602360540819834E-6</v>
      </c>
      <c r="CE6">
        <v>2.3567052318896597E-6</v>
      </c>
      <c r="CF6">
        <v>2.8006096142718356E-6</v>
      </c>
      <c r="CG6">
        <v>2.3090288597846253E-6</v>
      </c>
      <c r="CH6">
        <v>2.3660597218271459E-6</v>
      </c>
      <c r="CI6">
        <v>2.5147071172432832E-6</v>
      </c>
      <c r="CJ6">
        <v>2.313828852196985E-6</v>
      </c>
      <c r="CK6">
        <v>2.6930154456134563E-6</v>
      </c>
      <c r="CL6">
        <v>2.4481229369074938E-6</v>
      </c>
      <c r="CM6">
        <v>2.541702682256548E-6</v>
      </c>
      <c r="CN6">
        <v>2.4396814401201327E-6</v>
      </c>
      <c r="CO6">
        <v>2.5568810944527877E-6</v>
      </c>
      <c r="CP6">
        <v>2.6901857916107894E-6</v>
      </c>
      <c r="CQ6">
        <v>2.5756797471685613E-6</v>
      </c>
      <c r="CR6">
        <v>2.6274190336626673E-6</v>
      </c>
      <c r="CS6">
        <v>2.4376507383553157E-6</v>
      </c>
      <c r="CT6">
        <v>2.5447497636023647E-6</v>
      </c>
      <c r="CU6">
        <v>2.6562392517357521E-6</v>
      </c>
      <c r="CV6">
        <v>2.5771799721088961E-6</v>
      </c>
      <c r="CW6">
        <v>2.5321003403358403E-6</v>
      </c>
      <c r="CX6">
        <v>2.6249564472426677E-6</v>
      </c>
      <c r="CY6">
        <v>2.6420479001788849E-6</v>
      </c>
      <c r="CZ6">
        <v>2.5856855007990401E-6</v>
      </c>
      <c r="DA6">
        <v>2.5521603911629796E-6</v>
      </c>
      <c r="DB6">
        <v>2.6373841319477321E-6</v>
      </c>
      <c r="DC6">
        <v>2.6182917424281983E-6</v>
      </c>
      <c r="DD6">
        <v>2.5523950159353028E-6</v>
      </c>
      <c r="DE6">
        <v>2.6415564946858589E-6</v>
      </c>
      <c r="DF6">
        <v>2.5478991945274508E-6</v>
      </c>
      <c r="DG6">
        <v>2.541397418946642E-6</v>
      </c>
      <c r="DH6">
        <v>2.6401143405920357E-6</v>
      </c>
      <c r="DI6">
        <v>2.5767661655656452E-6</v>
      </c>
      <c r="DJ6">
        <v>2.56474805341403E-6</v>
      </c>
      <c r="DK6">
        <v>2.5552812137591781E-6</v>
      </c>
      <c r="DL6">
        <v>2.6404257069437468E-6</v>
      </c>
      <c r="DM6">
        <v>2.5650724680309738E-6</v>
      </c>
      <c r="DN6">
        <v>2.6111399316520688E-6</v>
      </c>
      <c r="DO6">
        <v>2.5438053762874916E-6</v>
      </c>
      <c r="DP6">
        <v>2.6242014013924991E-6</v>
      </c>
      <c r="DQ6">
        <v>2.6053395075336792E-6</v>
      </c>
      <c r="DR6">
        <v>2.6006054583055E-6</v>
      </c>
      <c r="DS6">
        <v>2.5532903073952148E-6</v>
      </c>
      <c r="DT6">
        <v>2.6376244629927946E-6</v>
      </c>
      <c r="DU6">
        <v>2.5861199371121441E-6</v>
      </c>
      <c r="DV6">
        <v>2.5944475949372688E-6</v>
      </c>
      <c r="DW6">
        <v>2.5641299434211516E-6</v>
      </c>
      <c r="DX6">
        <v>2.5746981548238767E-6</v>
      </c>
      <c r="DY6">
        <v>2.6205085681675269E-6</v>
      </c>
      <c r="DZ6">
        <v>2.6241324219907196E-6</v>
      </c>
      <c r="EA6">
        <v>2.5836260024328192E-6</v>
      </c>
      <c r="EB6">
        <v>2.6344117333929575E-6</v>
      </c>
      <c r="EC6">
        <v>2.576220622443058E-6</v>
      </c>
      <c r="ED6">
        <v>2.6004570723507932E-6</v>
      </c>
      <c r="EE6">
        <v>2.6320269979527053E-6</v>
      </c>
      <c r="EF6">
        <v>2.5920900974706252E-6</v>
      </c>
      <c r="EG6">
        <v>2.5642467301385456E-6</v>
      </c>
      <c r="EH6">
        <v>2.5791813195298461E-6</v>
      </c>
      <c r="EI6">
        <v>2.5731265095291816E-6</v>
      </c>
      <c r="EJ6">
        <v>2.6221947589039103E-6</v>
      </c>
      <c r="EK6">
        <v>2.6106231344742206E-6</v>
      </c>
      <c r="EL6">
        <v>2.5985773350123841E-6</v>
      </c>
      <c r="EM6">
        <v>2.6197916466228825E-6</v>
      </c>
      <c r="EN6">
        <v>2.6021165223225549E-6</v>
      </c>
      <c r="EO6">
        <v>2.6288473737086226E-6</v>
      </c>
      <c r="EP6">
        <v>2.6071097986725079E-6</v>
      </c>
      <c r="EQ6">
        <v>2.5907431620970443E-6</v>
      </c>
      <c r="ER6">
        <v>2.6103375603039304E-6</v>
      </c>
      <c r="ES6">
        <v>2.590104433923802E-6</v>
      </c>
      <c r="ET6">
        <v>2.6242117071547839E-6</v>
      </c>
      <c r="EU6">
        <v>2.6064201708252344E-6</v>
      </c>
      <c r="EV6">
        <v>2.622443949330717E-6</v>
      </c>
      <c r="EW6">
        <v>2.6255524309934137E-6</v>
      </c>
      <c r="EX6">
        <v>2.5990072885620218E-6</v>
      </c>
      <c r="EY6">
        <v>2.6201868077953385E-6</v>
      </c>
      <c r="EZ6">
        <v>2.6123642028274565E-6</v>
      </c>
      <c r="FA6">
        <v>2.5907090057153002E-6</v>
      </c>
      <c r="FB6">
        <v>2.6008459518820329E-6</v>
      </c>
      <c r="FC6">
        <v>2.6154512798164074E-6</v>
      </c>
      <c r="FD6">
        <v>2.6031121784790387E-6</v>
      </c>
      <c r="FE6">
        <v>2.618653242939642E-6</v>
      </c>
      <c r="FF6">
        <v>2.6075192714503083E-6</v>
      </c>
      <c r="FG6">
        <v>2.5924889244672147E-6</v>
      </c>
      <c r="FH6">
        <v>2.610268425424856E-6</v>
      </c>
      <c r="FI6">
        <v>2.596371620948052E-6</v>
      </c>
      <c r="FJ6">
        <v>2.5999542480973852E-6</v>
      </c>
      <c r="FK6">
        <v>2.6075291414922525E-6</v>
      </c>
      <c r="FL6">
        <v>2.5955764174930135E-6</v>
      </c>
      <c r="FM6">
        <v>2.6140585852437097E-6</v>
      </c>
      <c r="FN6">
        <v>2.6181290090967291E-6</v>
      </c>
      <c r="FO6">
        <v>2.6081619217749357E-6</v>
      </c>
      <c r="FP6">
        <v>2.6081784206475227E-6</v>
      </c>
      <c r="FQ6">
        <v>2.6097531338798717E-6</v>
      </c>
      <c r="FR6">
        <v>2.6152309429513622E-6</v>
      </c>
      <c r="FS6">
        <v>2.6163249589585909E-6</v>
      </c>
      <c r="FT6">
        <v>2.6166886579281191E-6</v>
      </c>
      <c r="FU6">
        <v>2.6171376333855799E-6</v>
      </c>
      <c r="FV6">
        <v>2.6016327941204853E-6</v>
      </c>
      <c r="FW6">
        <v>2.6150005439143305E-6</v>
      </c>
      <c r="FX6">
        <v>2.6080699205252805E-6</v>
      </c>
      <c r="FY6">
        <v>2.6020392762631422E-6</v>
      </c>
      <c r="FZ6">
        <v>2.6096110593747239E-6</v>
      </c>
      <c r="GA6">
        <v>2.602278615315328E-6</v>
      </c>
      <c r="GB6">
        <v>2.6090017756101544E-6</v>
      </c>
      <c r="GC6">
        <v>2.6121570403002513E-6</v>
      </c>
      <c r="GD6">
        <v>2.6019168872085382E-6</v>
      </c>
      <c r="GE6">
        <v>2.6061353729443303E-6</v>
      </c>
      <c r="GF6">
        <v>2.607831638524186E-6</v>
      </c>
      <c r="GG6">
        <v>2.6130480630723567E-6</v>
      </c>
      <c r="GH6">
        <v>2.6021508322403852E-6</v>
      </c>
      <c r="GI6">
        <v>2.6085782820724057E-6</v>
      </c>
      <c r="GJ6">
        <v>2.6038454635517732E-6</v>
      </c>
      <c r="GK6">
        <v>2.6070506710259822E-6</v>
      </c>
      <c r="GL6">
        <v>2.6104827589480164E-6</v>
      </c>
      <c r="GM6">
        <v>2.6057803152178462E-6</v>
      </c>
      <c r="GN6">
        <v>2.608500331000679E-6</v>
      </c>
      <c r="GO6">
        <v>2.6024039086034949E-6</v>
      </c>
      <c r="GP6">
        <v>2.6047554396077574E-6</v>
      </c>
      <c r="GQ6">
        <v>2.6069851678853022E-6</v>
      </c>
      <c r="GR6">
        <v>2.6085490825426521E-6</v>
      </c>
    </row>
    <row r="7" spans="1:200" x14ac:dyDescent="0.25">
      <c r="A7">
        <v>1.087194189802678E-4</v>
      </c>
      <c r="B7">
        <v>1.0868251164225753E-4</v>
      </c>
      <c r="C7">
        <v>1.0844839887270432E-4</v>
      </c>
      <c r="D7">
        <v>1.0803504616881644E-4</v>
      </c>
      <c r="E7">
        <v>1.0799639249284359E-4</v>
      </c>
      <c r="F7">
        <v>1.084788373025003E-4</v>
      </c>
      <c r="G7">
        <v>1.0811254745954358E-4</v>
      </c>
      <c r="H7">
        <v>1.0825820027202025E-4</v>
      </c>
      <c r="I7">
        <v>1.085918505426513E-4</v>
      </c>
      <c r="J7">
        <v>1.0907329866702463E-4</v>
      </c>
      <c r="K7">
        <v>1.1345239609337549E-4</v>
      </c>
      <c r="L7">
        <v>1.2702999750548817E-4</v>
      </c>
      <c r="M7">
        <v>1.1783844965017328E-4</v>
      </c>
      <c r="N7">
        <v>1.2607341819514999E-4</v>
      </c>
      <c r="O7">
        <v>1.1356649240878728E-4</v>
      </c>
      <c r="P7">
        <v>1.2541171788433777E-4</v>
      </c>
      <c r="Q7">
        <v>1.2818642317061034E-4</v>
      </c>
      <c r="R7">
        <v>1.2089158828575055E-4</v>
      </c>
      <c r="S7">
        <v>1.0825790350329268E-4</v>
      </c>
      <c r="T7">
        <v>1.2788704906735568E-4</v>
      </c>
      <c r="U7">
        <v>1.2798252900121131E-4</v>
      </c>
      <c r="V7">
        <v>1.245313191689755E-4</v>
      </c>
      <c r="W7">
        <v>1.2049194509946186E-4</v>
      </c>
      <c r="X7">
        <v>1.277223577618311E-4</v>
      </c>
      <c r="Y7">
        <v>1.2687575453094094E-4</v>
      </c>
      <c r="Z7">
        <v>1.2407007444224666E-4</v>
      </c>
      <c r="AA7">
        <v>1.266079523084497E-4</v>
      </c>
      <c r="AB7">
        <v>1.2270261334351062E-4</v>
      </c>
      <c r="AC7">
        <v>1.1952765776093797E-4</v>
      </c>
      <c r="AD7">
        <v>1.2359783958682604E-4</v>
      </c>
      <c r="AE7">
        <v>1.2549255664385668E-4</v>
      </c>
      <c r="AF7">
        <v>1.2816382773672946E-4</v>
      </c>
      <c r="AG7">
        <v>1.2152627999473156E-4</v>
      </c>
      <c r="AH7">
        <v>1.2811068068248408E-4</v>
      </c>
      <c r="AI7">
        <v>1.2807499881093627E-4</v>
      </c>
      <c r="AJ7">
        <v>1.2742361322939415E-4</v>
      </c>
      <c r="AK7">
        <v>1.2814058521856353E-4</v>
      </c>
      <c r="AL7">
        <v>1.2175303165761046E-4</v>
      </c>
      <c r="AM7">
        <v>1.2803924690140824E-4</v>
      </c>
      <c r="AN7">
        <v>1.2247743826848564E-4</v>
      </c>
      <c r="AO7">
        <v>1.2733579498647808E-4</v>
      </c>
      <c r="AP7">
        <v>1.278609938800597E-4</v>
      </c>
      <c r="AQ7">
        <v>1.2426960450606227E-4</v>
      </c>
      <c r="AR7">
        <v>1.2792616128805018E-4</v>
      </c>
      <c r="AS7">
        <v>1.2740451783388801E-4</v>
      </c>
      <c r="AT7">
        <v>1.2788287215509912E-4</v>
      </c>
      <c r="AU7">
        <v>1.2446313075093696E-4</v>
      </c>
      <c r="AV7">
        <v>1.2805926193788593E-4</v>
      </c>
      <c r="AW7">
        <v>1.2596106612994002E-4</v>
      </c>
      <c r="AX7">
        <v>1.2706506357286346E-4</v>
      </c>
      <c r="AY7">
        <v>1.2812827210921795E-4</v>
      </c>
      <c r="AZ7">
        <v>1.2743700416403684E-4</v>
      </c>
      <c r="BA7">
        <v>1.2469756494973898E-4</v>
      </c>
      <c r="BB7">
        <v>1.2617686979207062E-4</v>
      </c>
      <c r="BC7">
        <v>1.2816921265557726E-4</v>
      </c>
      <c r="BD7">
        <v>1.2443348483271921E-4</v>
      </c>
      <c r="BE7">
        <v>1.2623328867424928E-4</v>
      </c>
      <c r="BF7">
        <v>1.2807327872299022E-4</v>
      </c>
      <c r="BG7">
        <v>1.2746939725102416E-4</v>
      </c>
      <c r="BH7">
        <v>1.2793034065486971E-4</v>
      </c>
      <c r="BI7">
        <v>1.2818791501780543E-4</v>
      </c>
      <c r="BJ7">
        <v>1.2769315392512637E-4</v>
      </c>
      <c r="BK7">
        <v>1.2802329478502756E-4</v>
      </c>
      <c r="BL7">
        <v>1.253057804593131E-4</v>
      </c>
      <c r="BM7">
        <v>1.2764032961725593E-4</v>
      </c>
      <c r="BN7">
        <v>1.2454477509882684E-4</v>
      </c>
      <c r="BO7">
        <v>1.2677866932657775E-4</v>
      </c>
      <c r="BP7">
        <v>1.2617971744072581E-4</v>
      </c>
      <c r="BQ7">
        <v>1.2517200669961173E-4</v>
      </c>
      <c r="BR7">
        <v>1.2790303283006238E-4</v>
      </c>
      <c r="BS7">
        <v>1.2784510108057834E-4</v>
      </c>
      <c r="BT7">
        <v>1.2658685114979557E-4</v>
      </c>
      <c r="BU7">
        <v>1.2797728470361267E-4</v>
      </c>
      <c r="BV7">
        <v>1.2565887856020051E-4</v>
      </c>
      <c r="BW7">
        <v>1.2791428908334778E-4</v>
      </c>
      <c r="BX7">
        <v>1.2747698912367198E-4</v>
      </c>
      <c r="BY7">
        <v>1.2705172459509187E-4</v>
      </c>
      <c r="BZ7">
        <v>1.2579314847100485E-4</v>
      </c>
      <c r="CA7">
        <v>1.27932277827622E-4</v>
      </c>
      <c r="CB7">
        <v>1.2767801505709445E-4</v>
      </c>
      <c r="CC7">
        <v>1.2784790230602311E-4</v>
      </c>
      <c r="CD7">
        <v>1.26702077994516E-4</v>
      </c>
      <c r="CE7">
        <v>1.2617883871152518E-4</v>
      </c>
      <c r="CF7">
        <v>1.2783381330084892E-4</v>
      </c>
      <c r="CG7">
        <v>1.2589646734222106E-4</v>
      </c>
      <c r="CH7">
        <v>1.2622644924235421E-4</v>
      </c>
      <c r="CI7">
        <v>1.2694010118708223E-4</v>
      </c>
      <c r="CJ7">
        <v>1.2592982561018069E-4</v>
      </c>
      <c r="CK7">
        <v>1.2758028677584295E-4</v>
      </c>
      <c r="CL7">
        <v>1.2662538797899252E-4</v>
      </c>
      <c r="CM7">
        <v>1.2705521541614683E-4</v>
      </c>
      <c r="CN7">
        <v>1.2659368484713954E-4</v>
      </c>
      <c r="CO7">
        <v>1.2707461933927195E-4</v>
      </c>
      <c r="CP7">
        <v>1.275651384195056E-4</v>
      </c>
      <c r="CQ7">
        <v>1.2716480257402436E-4</v>
      </c>
      <c r="CR7">
        <v>1.2735169355119954E-4</v>
      </c>
      <c r="CS7">
        <v>1.2656051249700762E-4</v>
      </c>
      <c r="CT7">
        <v>1.2704707961636749E-4</v>
      </c>
      <c r="CU7">
        <v>1.2744805413989274E-4</v>
      </c>
      <c r="CV7">
        <v>1.2719134923656241E-4</v>
      </c>
      <c r="CW7">
        <v>1.270042067560226E-4</v>
      </c>
      <c r="CX7">
        <v>1.273306909384977E-4</v>
      </c>
      <c r="CY7">
        <v>1.2741073764833803E-4</v>
      </c>
      <c r="CZ7">
        <v>1.2721205150265818E-4</v>
      </c>
      <c r="DA7">
        <v>1.2707417150914434E-4</v>
      </c>
      <c r="DB7">
        <v>1.2737697382901171E-4</v>
      </c>
      <c r="DC7">
        <v>1.2732822452449653E-4</v>
      </c>
      <c r="DD7">
        <v>1.2709035455784706E-4</v>
      </c>
      <c r="DE7">
        <v>1.2740324304419962E-4</v>
      </c>
      <c r="DF7">
        <v>1.2707361396906611E-4</v>
      </c>
      <c r="DG7">
        <v>1.2703701439275994E-4</v>
      </c>
      <c r="DH7">
        <v>1.2739503185672229E-4</v>
      </c>
      <c r="DI7">
        <v>1.2717774888992782E-4</v>
      </c>
      <c r="DJ7">
        <v>1.2712070966671614E-4</v>
      </c>
      <c r="DK7">
        <v>1.270813139740965E-4</v>
      </c>
      <c r="DL7">
        <v>1.2740493680002478E-4</v>
      </c>
      <c r="DM7">
        <v>1.271278533163754E-4</v>
      </c>
      <c r="DN7">
        <v>1.2730534325981687E-4</v>
      </c>
      <c r="DO7">
        <v>1.270413630343195E-4</v>
      </c>
      <c r="DP7">
        <v>1.2733789344722944E-4</v>
      </c>
      <c r="DQ7">
        <v>1.2728419783241386E-4</v>
      </c>
      <c r="DR7">
        <v>1.2726023184777215E-4</v>
      </c>
      <c r="DS7">
        <v>1.2708214098198868E-4</v>
      </c>
      <c r="DT7">
        <v>1.2739477696781332E-4</v>
      </c>
      <c r="DU7">
        <v>1.2721486884341248E-4</v>
      </c>
      <c r="DV7">
        <v>1.2723991665560284E-4</v>
      </c>
      <c r="DW7">
        <v>1.2713160805272856E-4</v>
      </c>
      <c r="DX7">
        <v>1.271616113905994E-4</v>
      </c>
      <c r="DY7">
        <v>1.2733084355937824E-4</v>
      </c>
      <c r="DZ7">
        <v>1.2734276793069298E-4</v>
      </c>
      <c r="EA7">
        <v>1.2719575442987581E-4</v>
      </c>
      <c r="EB7">
        <v>1.2737601847862028E-4</v>
      </c>
      <c r="EC7">
        <v>1.2716945012703073E-4</v>
      </c>
      <c r="ED7">
        <v>1.272644464483258E-4</v>
      </c>
      <c r="EE7">
        <v>1.2736896694312644E-4</v>
      </c>
      <c r="EF7">
        <v>1.2723183460601053E-4</v>
      </c>
      <c r="EG7">
        <v>1.2712424765335575E-4</v>
      </c>
      <c r="EH7">
        <v>1.2718139395274629E-4</v>
      </c>
      <c r="EI7">
        <v>1.2716179982304196E-4</v>
      </c>
      <c r="EJ7">
        <v>1.2733859148036583E-4</v>
      </c>
      <c r="EK7">
        <v>1.2729904063378075E-4</v>
      </c>
      <c r="EL7">
        <v>1.2725208788421844E-4</v>
      </c>
      <c r="EM7">
        <v>1.2732648497045191E-4</v>
      </c>
      <c r="EN7">
        <v>1.2726536394422298E-4</v>
      </c>
      <c r="EO7">
        <v>1.2735589999039881E-4</v>
      </c>
      <c r="EP7">
        <v>1.2728028420079749E-4</v>
      </c>
      <c r="EQ7">
        <v>1.272261686804724E-4</v>
      </c>
      <c r="ER7">
        <v>1.2729855935407356E-4</v>
      </c>
      <c r="ES7">
        <v>1.2722310055351342E-4</v>
      </c>
      <c r="ET7">
        <v>1.2734180435027695E-4</v>
      </c>
      <c r="EU7">
        <v>1.2728238951911086E-4</v>
      </c>
      <c r="EV7">
        <v>1.2733856154046114E-4</v>
      </c>
      <c r="EW7">
        <v>1.2734577574369566E-4</v>
      </c>
      <c r="EX7">
        <v>1.2725503767679999E-4</v>
      </c>
      <c r="EY7">
        <v>1.2732932907354966E-4</v>
      </c>
      <c r="EZ7">
        <v>1.2730197659219334E-4</v>
      </c>
      <c r="FA7">
        <v>1.2722590993462316E-4</v>
      </c>
      <c r="FB7">
        <v>1.2725988666918239E-4</v>
      </c>
      <c r="FC7">
        <v>1.2731408314575608E-4</v>
      </c>
      <c r="FD7">
        <v>1.2726886471722425E-4</v>
      </c>
      <c r="FE7">
        <v>1.2732493904438243E-4</v>
      </c>
      <c r="FF7">
        <v>1.2728456002189024E-4</v>
      </c>
      <c r="FG7">
        <v>1.2723095198794766E-4</v>
      </c>
      <c r="FH7">
        <v>1.2729462573077318E-4</v>
      </c>
      <c r="FI7">
        <v>1.2724500897395017E-4</v>
      </c>
      <c r="FJ7">
        <v>1.2725787702885165E-4</v>
      </c>
      <c r="FK7">
        <v>1.2728457106706489E-4</v>
      </c>
      <c r="FL7">
        <v>1.2724206883126733E-4</v>
      </c>
      <c r="FM7">
        <v>1.2730740885569516E-4</v>
      </c>
      <c r="FN7">
        <v>1.2732233636396972E-4</v>
      </c>
      <c r="FO7">
        <v>1.2728769469783495E-4</v>
      </c>
      <c r="FP7">
        <v>1.2728583478267475E-4</v>
      </c>
      <c r="FQ7">
        <v>1.2729149988563047E-4</v>
      </c>
      <c r="FR7">
        <v>1.2731296223980281E-4</v>
      </c>
      <c r="FS7">
        <v>1.2731624679168104E-4</v>
      </c>
      <c r="FT7">
        <v>1.2731692120540505E-4</v>
      </c>
      <c r="FU7">
        <v>1.2731918271056332E-4</v>
      </c>
      <c r="FV7">
        <v>1.2726409206712129E-4</v>
      </c>
      <c r="FW7">
        <v>1.2731099046541034E-4</v>
      </c>
      <c r="FX7">
        <v>1.2728723408794444E-4</v>
      </c>
      <c r="FY7">
        <v>1.2726600095227809E-4</v>
      </c>
      <c r="FZ7">
        <v>1.272913253661747E-4</v>
      </c>
      <c r="GA7">
        <v>1.2726633599099979E-4</v>
      </c>
      <c r="GB7">
        <v>1.2729076035807493E-4</v>
      </c>
      <c r="GC7">
        <v>1.2730101443782032E-4</v>
      </c>
      <c r="GD7">
        <v>1.2726457625976759E-4</v>
      </c>
      <c r="GE7">
        <v>1.2728047753392127E-4</v>
      </c>
      <c r="GF7">
        <v>1.2728574525050401E-4</v>
      </c>
      <c r="GG7">
        <v>1.2730484253374442E-4</v>
      </c>
      <c r="GH7">
        <v>1.2726613631975866E-4</v>
      </c>
      <c r="GI7">
        <v>1.2728875732384925E-4</v>
      </c>
      <c r="GJ7">
        <v>1.2727237516436951E-4</v>
      </c>
      <c r="GK7">
        <v>1.2728373828294602E-4</v>
      </c>
      <c r="GL7">
        <v>1.2729497891746845E-4</v>
      </c>
      <c r="GM7">
        <v>1.2727889806104394E-4</v>
      </c>
      <c r="GN7">
        <v>1.272884961263118E-4</v>
      </c>
      <c r="GO7">
        <v>1.2726667278629731E-4</v>
      </c>
      <c r="GP7">
        <v>1.272756359915266E-4</v>
      </c>
      <c r="GQ7">
        <v>1.2728290621029796E-4</v>
      </c>
      <c r="GR7">
        <v>1.2728899365690719E-4</v>
      </c>
    </row>
    <row r="8" spans="1:200" x14ac:dyDescent="0.25">
      <c r="A8">
        <v>4.9088086341939537E-6</v>
      </c>
      <c r="B8">
        <v>4.8786351527634196E-6</v>
      </c>
      <c r="C8">
        <v>4.854797312534322E-6</v>
      </c>
      <c r="D8">
        <v>4.8340053249535169E-6</v>
      </c>
      <c r="E8">
        <v>4.8509308021101763E-6</v>
      </c>
      <c r="F8">
        <v>4.8501615341250477E-6</v>
      </c>
      <c r="G8">
        <v>4.819905592929402E-6</v>
      </c>
      <c r="H8">
        <v>4.849271319122781E-6</v>
      </c>
      <c r="I8">
        <v>4.8651768601188192E-6</v>
      </c>
      <c r="J8">
        <v>5.5184541180464898E-6</v>
      </c>
      <c r="K8">
        <v>5.1492863548773976E-6</v>
      </c>
      <c r="L8">
        <v>6.2000189566906754E-6</v>
      </c>
      <c r="M8">
        <v>5.3769911349197708E-6</v>
      </c>
      <c r="N8">
        <v>6.128410129465483E-6</v>
      </c>
      <c r="O8">
        <v>5.7682251112519875E-6</v>
      </c>
      <c r="P8">
        <v>5.8292100579025775E-6</v>
      </c>
      <c r="Q8">
        <v>6.0726520020792218E-6</v>
      </c>
      <c r="R8">
        <v>6.0112758942586419E-6</v>
      </c>
      <c r="S8">
        <v>4.8063285741391079E-6</v>
      </c>
      <c r="T8">
        <v>6.0260410599762355E-6</v>
      </c>
      <c r="U8">
        <v>6.131925404761624E-6</v>
      </c>
      <c r="V8">
        <v>6.1059216827876415E-6</v>
      </c>
      <c r="W8">
        <v>6.0169479507067165E-6</v>
      </c>
      <c r="X8">
        <v>6.1531364834340653E-6</v>
      </c>
      <c r="Y8">
        <v>5.9531556207218834E-6</v>
      </c>
      <c r="Z8">
        <v>6.122859792719226E-6</v>
      </c>
      <c r="AA8">
        <v>5.9313285098814041E-6</v>
      </c>
      <c r="AB8">
        <v>5.6361222544109539E-6</v>
      </c>
      <c r="AC8">
        <v>5.4458500764826144E-6</v>
      </c>
      <c r="AD8">
        <v>5.7313674957445075E-6</v>
      </c>
      <c r="AE8">
        <v>6.1218463099679822E-6</v>
      </c>
      <c r="AF8">
        <v>6.176085708398985E-6</v>
      </c>
      <c r="AG8">
        <v>5.5805962251283489E-6</v>
      </c>
      <c r="AH8">
        <v>6.066318929528027E-6</v>
      </c>
      <c r="AI8">
        <v>6.0961025906623072E-6</v>
      </c>
      <c r="AJ8">
        <v>5.9994087007037102E-6</v>
      </c>
      <c r="AK8">
        <v>6.095984817407278E-6</v>
      </c>
      <c r="AL8">
        <v>5.5986309203615844E-6</v>
      </c>
      <c r="AM8">
        <v>6.1788539846089567E-6</v>
      </c>
      <c r="AN8">
        <v>5.6431720357701062E-6</v>
      </c>
      <c r="AO8">
        <v>6.1586758308508037E-6</v>
      </c>
      <c r="AP8">
        <v>6.1566859201841149E-6</v>
      </c>
      <c r="AQ8">
        <v>5.7591874074008308E-6</v>
      </c>
      <c r="AR8">
        <v>6.1727828520414958E-6</v>
      </c>
      <c r="AS8">
        <v>6.0001857631997726E-6</v>
      </c>
      <c r="AT8">
        <v>6.0550687255300722E-6</v>
      </c>
      <c r="AU8">
        <v>5.7783506816193401E-6</v>
      </c>
      <c r="AV8">
        <v>6.1468400050147548E-6</v>
      </c>
      <c r="AW8">
        <v>5.8915382044908094E-6</v>
      </c>
      <c r="AX8">
        <v>5.9765937984177035E-6</v>
      </c>
      <c r="AY8">
        <v>6.117370228243118E-6</v>
      </c>
      <c r="AZ8">
        <v>6.011074285599666E-6</v>
      </c>
      <c r="BA8">
        <v>5.7974632150530887E-6</v>
      </c>
      <c r="BB8">
        <v>5.8963244159249286E-6</v>
      </c>
      <c r="BC8">
        <v>6.0975825588949E-6</v>
      </c>
      <c r="BD8">
        <v>5.7788925622830401E-6</v>
      </c>
      <c r="BE8">
        <v>5.9072894786512348E-6</v>
      </c>
      <c r="BF8">
        <v>6.0789960635550975E-6</v>
      </c>
      <c r="BG8">
        <v>6.0068942149814533E-6</v>
      </c>
      <c r="BH8">
        <v>6.0525078321499355E-6</v>
      </c>
      <c r="BI8">
        <v>6.1177622365226125E-6</v>
      </c>
      <c r="BJ8">
        <v>6.0295612592093654E-6</v>
      </c>
      <c r="BK8">
        <v>6.0700629297700887E-6</v>
      </c>
      <c r="BL8">
        <v>5.8393995103238661E-6</v>
      </c>
      <c r="BM8">
        <v>6.0202835065950303E-6</v>
      </c>
      <c r="BN8">
        <v>5.7763822497230821E-6</v>
      </c>
      <c r="BO8">
        <v>5.9506744779444766E-6</v>
      </c>
      <c r="BP8">
        <v>5.9059636929436818E-6</v>
      </c>
      <c r="BQ8">
        <v>5.8293294402995052E-6</v>
      </c>
      <c r="BR8">
        <v>6.0569587256881752E-6</v>
      </c>
      <c r="BS8">
        <v>6.0487099069261275E-6</v>
      </c>
      <c r="BT8">
        <v>5.9283473030837087E-6</v>
      </c>
      <c r="BU8">
        <v>6.0682208477574996E-6</v>
      </c>
      <c r="BV8">
        <v>5.8586326295529505E-6</v>
      </c>
      <c r="BW8">
        <v>6.0564092845553321E-6</v>
      </c>
      <c r="BX8">
        <v>6.0084316969720988E-6</v>
      </c>
      <c r="BY8">
        <v>5.9704750960455265E-6</v>
      </c>
      <c r="BZ8">
        <v>5.8692147709433241E-6</v>
      </c>
      <c r="CA8">
        <v>6.0626765586437674E-6</v>
      </c>
      <c r="CB8">
        <v>6.0298851997125866E-6</v>
      </c>
      <c r="CC8">
        <v>6.051339424825436E-6</v>
      </c>
      <c r="CD8">
        <v>5.9419239162523808E-6</v>
      </c>
      <c r="CE8">
        <v>5.902539502701324E-6</v>
      </c>
      <c r="CF8">
        <v>6.0449478018255001E-6</v>
      </c>
      <c r="CG8">
        <v>5.8831694346588287E-6</v>
      </c>
      <c r="CH8">
        <v>5.9047527940403495E-6</v>
      </c>
      <c r="CI8">
        <v>5.9633453469699638E-6</v>
      </c>
      <c r="CJ8">
        <v>5.8843862483455598E-6</v>
      </c>
      <c r="CK8">
        <v>6.0233775568729938E-6</v>
      </c>
      <c r="CL8">
        <v>5.9339086278514359E-6</v>
      </c>
      <c r="CM8">
        <v>5.9742931722923017E-6</v>
      </c>
      <c r="CN8">
        <v>5.9319097496519464E-6</v>
      </c>
      <c r="CO8">
        <v>5.972135406240392E-6</v>
      </c>
      <c r="CP8">
        <v>6.0190191957591589E-6</v>
      </c>
      <c r="CQ8">
        <v>5.9809884292601309E-6</v>
      </c>
      <c r="CR8">
        <v>5.9994183366082587E-6</v>
      </c>
      <c r="CS8">
        <v>5.9304984413691302E-6</v>
      </c>
      <c r="CT8">
        <v>5.9726153213649308E-6</v>
      </c>
      <c r="CU8">
        <v>6.0095367282483628E-6</v>
      </c>
      <c r="CV8">
        <v>5.9846499919018394E-6</v>
      </c>
      <c r="CW8">
        <v>5.9684227340880669E-6</v>
      </c>
      <c r="CX8">
        <v>5.9958786481302297E-6</v>
      </c>
      <c r="CY8">
        <v>6.00512499053654E-6</v>
      </c>
      <c r="CZ8">
        <v>5.9865008220993934E-6</v>
      </c>
      <c r="DA8">
        <v>5.9730615078539624E-6</v>
      </c>
      <c r="DB8">
        <v>5.9997630498756794E-6</v>
      </c>
      <c r="DC8">
        <v>5.9971253051336706E-6</v>
      </c>
      <c r="DD8">
        <v>5.9757990829981626E-6</v>
      </c>
      <c r="DE8">
        <v>6.001756941865568E-6</v>
      </c>
      <c r="DF8">
        <v>5.9735388100253013E-6</v>
      </c>
      <c r="DG8">
        <v>5.9697019084394487E-6</v>
      </c>
      <c r="DH8">
        <v>6.001083149883212E-6</v>
      </c>
      <c r="DI8">
        <v>5.9815589478352269E-6</v>
      </c>
      <c r="DJ8">
        <v>5.9767903266559236E-6</v>
      </c>
      <c r="DK8">
        <v>5.9733273978495573E-6</v>
      </c>
      <c r="DL8">
        <v>6.0032749770956206E-6</v>
      </c>
      <c r="DM8">
        <v>5.9783494058318986E-6</v>
      </c>
      <c r="DN8">
        <v>5.993869718513789E-6</v>
      </c>
      <c r="DO8">
        <v>5.9700565168999632E-6</v>
      </c>
      <c r="DP8">
        <v>5.9964691787818782E-6</v>
      </c>
      <c r="DQ8">
        <v>5.9920005154210794E-6</v>
      </c>
      <c r="DR8">
        <v>5.9892062786719287E-6</v>
      </c>
      <c r="DS8">
        <v>5.974389560735733E-6</v>
      </c>
      <c r="DT8">
        <v>6.0019345055064853E-6</v>
      </c>
      <c r="DU8">
        <v>5.9855218833165027E-6</v>
      </c>
      <c r="DV8">
        <v>5.9879401567505816E-6</v>
      </c>
      <c r="DW8">
        <v>5.9779531259719486E-6</v>
      </c>
      <c r="DX8">
        <v>5.9807298892410661E-6</v>
      </c>
      <c r="DY8">
        <v>5.9960873324089876E-6</v>
      </c>
      <c r="DZ8">
        <v>5.9966304698095236E-6</v>
      </c>
      <c r="EA8">
        <v>5.9834563038454405E-6</v>
      </c>
      <c r="EB8">
        <v>6.0002795993511165E-6</v>
      </c>
      <c r="EC8">
        <v>5.9813479673719744E-6</v>
      </c>
      <c r="ED8">
        <v>5.989741868831026E-6</v>
      </c>
      <c r="EE8">
        <v>6.0000774036295994E-6</v>
      </c>
      <c r="EF8">
        <v>5.9870527110416299E-6</v>
      </c>
      <c r="EG8">
        <v>5.9771682201182624E-6</v>
      </c>
      <c r="EH8">
        <v>5.9827163414490581E-6</v>
      </c>
      <c r="EI8">
        <v>5.9808815446589846E-6</v>
      </c>
      <c r="EJ8">
        <v>5.996645363683934E-6</v>
      </c>
      <c r="EK8">
        <v>5.9927589861859175E-6</v>
      </c>
      <c r="EL8">
        <v>5.9888460501829448E-6</v>
      </c>
      <c r="EM8">
        <v>5.9955218242417127E-6</v>
      </c>
      <c r="EN8">
        <v>5.9899215785165861E-6</v>
      </c>
      <c r="EO8">
        <v>5.9983110124999006E-6</v>
      </c>
      <c r="EP8">
        <v>5.9913343023973244E-6</v>
      </c>
      <c r="EQ8">
        <v>5.9863806686039291E-6</v>
      </c>
      <c r="ER8">
        <v>5.9930584800044922E-6</v>
      </c>
      <c r="ES8">
        <v>5.9865084720116539E-6</v>
      </c>
      <c r="ET8">
        <v>5.996847467061516E-6</v>
      </c>
      <c r="EU8">
        <v>5.9914742440253859E-6</v>
      </c>
      <c r="EV8">
        <v>5.9968068216112613E-6</v>
      </c>
      <c r="EW8">
        <v>5.9974251328036865E-6</v>
      </c>
      <c r="EX8">
        <v>5.9892003969339982E-6</v>
      </c>
      <c r="EY8">
        <v>5.995838371820646E-6</v>
      </c>
      <c r="EZ8">
        <v>5.9934295366329484E-6</v>
      </c>
      <c r="FA8">
        <v>5.9863824296058493E-6</v>
      </c>
      <c r="FB8">
        <v>5.9894124930960807E-6</v>
      </c>
      <c r="FC8">
        <v>5.9946356501559977E-6</v>
      </c>
      <c r="FD8">
        <v>5.990397113807033E-6</v>
      </c>
      <c r="FE8">
        <v>5.9956279127154356E-6</v>
      </c>
      <c r="FF8">
        <v>5.9915941889428951E-6</v>
      </c>
      <c r="FG8">
        <v>5.9869888560521144E-6</v>
      </c>
      <c r="FH8">
        <v>5.9927833699369673E-6</v>
      </c>
      <c r="FI8">
        <v>5.9881496391776275E-6</v>
      </c>
      <c r="FJ8">
        <v>5.9891916606887742E-6</v>
      </c>
      <c r="FK8">
        <v>5.9918254737641316E-6</v>
      </c>
      <c r="FL8">
        <v>5.9879220739093185E-6</v>
      </c>
      <c r="FM8">
        <v>5.9937658851840365E-6</v>
      </c>
      <c r="FN8">
        <v>5.9951447172751467E-6</v>
      </c>
      <c r="FO8">
        <v>5.9921409739340436E-6</v>
      </c>
      <c r="FP8">
        <v>5.9917974936602148E-6</v>
      </c>
      <c r="FQ8">
        <v>5.9923441571403027E-6</v>
      </c>
      <c r="FR8">
        <v>5.994388021279754E-6</v>
      </c>
      <c r="FS8">
        <v>5.9946441585610039E-6</v>
      </c>
      <c r="FT8">
        <v>5.9946129979770904E-6</v>
      </c>
      <c r="FU8">
        <v>5.9949424394441869E-6</v>
      </c>
      <c r="FV8">
        <v>5.9899432156508743E-6</v>
      </c>
      <c r="FW8">
        <v>5.994048639978221E-6</v>
      </c>
      <c r="FX8">
        <v>5.9919776727512969E-6</v>
      </c>
      <c r="FY8">
        <v>5.9900733093728462E-6</v>
      </c>
      <c r="FZ8">
        <v>5.9922767668377478E-6</v>
      </c>
      <c r="GA8">
        <v>5.9900704176721132E-6</v>
      </c>
      <c r="GB8">
        <v>5.9923005657975557E-6</v>
      </c>
      <c r="GC8">
        <v>5.9931910003716823E-6</v>
      </c>
      <c r="GD8">
        <v>5.9898285343553915E-6</v>
      </c>
      <c r="GE8">
        <v>5.9913166772928489E-6</v>
      </c>
      <c r="GF8">
        <v>5.9918548668189103E-6</v>
      </c>
      <c r="GG8">
        <v>5.9936074521928559E-6</v>
      </c>
      <c r="GH8">
        <v>5.9899984957137756E-6</v>
      </c>
      <c r="GI8">
        <v>5.9920930166220117E-6</v>
      </c>
      <c r="GJ8">
        <v>5.9906208340660786E-6</v>
      </c>
      <c r="GK8">
        <v>5.9916201645781968E-6</v>
      </c>
      <c r="GL8">
        <v>5.9926634434452427E-6</v>
      </c>
      <c r="GM8">
        <v>5.9911943229507494E-6</v>
      </c>
      <c r="GN8">
        <v>5.9920320197785365E-6</v>
      </c>
      <c r="GO8">
        <v>5.9900495634303069E-6</v>
      </c>
      <c r="GP8">
        <v>5.9909265594173983E-6</v>
      </c>
      <c r="GQ8">
        <v>5.99156891516362E-6</v>
      </c>
      <c r="GR8">
        <v>5.9921433596949414E-6</v>
      </c>
    </row>
    <row r="9" spans="1:200" x14ac:dyDescent="0.25">
      <c r="A9">
        <v>2.8514349087095555E-4</v>
      </c>
      <c r="B9">
        <v>2.8536017049941165E-4</v>
      </c>
      <c r="C9">
        <v>2.850361295185393E-4</v>
      </c>
      <c r="D9">
        <v>2.8425113136645776E-4</v>
      </c>
      <c r="E9">
        <v>2.8439849184770297E-4</v>
      </c>
      <c r="F9">
        <v>2.8489281653182693E-4</v>
      </c>
      <c r="G9">
        <v>2.8445448527715641E-4</v>
      </c>
      <c r="H9">
        <v>2.8457443511536361E-4</v>
      </c>
      <c r="I9">
        <v>2.8535319958976867E-4</v>
      </c>
      <c r="J9">
        <v>1.6343864356982589E-4</v>
      </c>
      <c r="K9">
        <v>2.8611650192393432E-4</v>
      </c>
      <c r="L9">
        <v>2.3488844330798173E-4</v>
      </c>
      <c r="M9">
        <v>2.8517473101331576E-4</v>
      </c>
      <c r="N9">
        <v>2.287710883380073E-4</v>
      </c>
      <c r="O9">
        <v>1.7612510838879128E-4</v>
      </c>
      <c r="P9">
        <v>2.7371015315547944E-4</v>
      </c>
      <c r="Q9">
        <v>2.6002611206527433E-4</v>
      </c>
      <c r="R9">
        <v>2.0246510027305229E-4</v>
      </c>
      <c r="S9">
        <v>2.8415824398251286E-4</v>
      </c>
      <c r="T9">
        <v>2.6294909274446343E-4</v>
      </c>
      <c r="U9">
        <v>2.4811156634916919E-4</v>
      </c>
      <c r="V9">
        <v>2.180943126814759E-4</v>
      </c>
      <c r="W9">
        <v>1.9956286203833283E-4</v>
      </c>
      <c r="X9">
        <v>2.4152575876676597E-4</v>
      </c>
      <c r="Y9">
        <v>2.6920666109654781E-4</v>
      </c>
      <c r="Z9">
        <v>2.1590408632872192E-4</v>
      </c>
      <c r="AA9">
        <v>2.6948845043835227E-4</v>
      </c>
      <c r="AB9">
        <v>2.8018927551825261E-4</v>
      </c>
      <c r="AC9">
        <v>2.8395321822021152E-4</v>
      </c>
      <c r="AD9">
        <v>2.7892338410152585E-4</v>
      </c>
      <c r="AE9">
        <v>2.2478285676456305E-4</v>
      </c>
      <c r="AF9">
        <v>2.4709753360683395E-4</v>
      </c>
      <c r="AG9">
        <v>2.8193924676529373E-4</v>
      </c>
      <c r="AH9">
        <v>2.5856437881271121E-4</v>
      </c>
      <c r="AI9">
        <v>2.5509479267941357E-4</v>
      </c>
      <c r="AJ9">
        <v>2.6674081638945128E-4</v>
      </c>
      <c r="AK9">
        <v>2.5883526490907532E-4</v>
      </c>
      <c r="AL9">
        <v>2.8203728812582161E-4</v>
      </c>
      <c r="AM9">
        <v>2.442783680646455E-4</v>
      </c>
      <c r="AN9">
        <v>2.8072380017270026E-4</v>
      </c>
      <c r="AO9">
        <v>2.377916488887713E-4</v>
      </c>
      <c r="AP9">
        <v>2.4314439259095238E-4</v>
      </c>
      <c r="AQ9">
        <v>2.7739647718371416E-4</v>
      </c>
      <c r="AR9">
        <v>2.4310971571331338E-4</v>
      </c>
      <c r="AS9">
        <v>2.6702501263512905E-4</v>
      </c>
      <c r="AT9">
        <v>2.6176481409873281E-4</v>
      </c>
      <c r="AU9">
        <v>2.7744554887957734E-4</v>
      </c>
      <c r="AV9">
        <v>2.4689115826919582E-4</v>
      </c>
      <c r="AW9">
        <v>2.7323488027745463E-4</v>
      </c>
      <c r="AX9">
        <v>2.684732932923627E-4</v>
      </c>
      <c r="AY9">
        <v>2.518951257401238E-4</v>
      </c>
      <c r="AZ9">
        <v>2.663385188646848E-4</v>
      </c>
      <c r="BA9">
        <v>2.7705028276196362E-4</v>
      </c>
      <c r="BB9">
        <v>2.7223211722936106E-4</v>
      </c>
      <c r="BC9">
        <v>2.5573102391834428E-4</v>
      </c>
      <c r="BD9">
        <v>2.7734919199383487E-4</v>
      </c>
      <c r="BE9">
        <v>2.7226926175630522E-4</v>
      </c>
      <c r="BF9">
        <v>2.6077701889763602E-4</v>
      </c>
      <c r="BG9">
        <v>2.656515201258417E-4</v>
      </c>
      <c r="BH9">
        <v>2.610647162665988E-4</v>
      </c>
      <c r="BI9">
        <v>2.5308049109276962E-4</v>
      </c>
      <c r="BJ9">
        <v>2.6407713403890415E-4</v>
      </c>
      <c r="BK9">
        <v>2.6102333224241455E-4</v>
      </c>
      <c r="BL9">
        <v>2.7518748277901537E-4</v>
      </c>
      <c r="BM9">
        <v>2.6444858302291746E-4</v>
      </c>
      <c r="BN9">
        <v>2.7714808136227744E-4</v>
      </c>
      <c r="BO9">
        <v>2.7019164565376833E-4</v>
      </c>
      <c r="BP9">
        <v>2.7238816691993326E-4</v>
      </c>
      <c r="BQ9">
        <v>2.7577010768504794E-4</v>
      </c>
      <c r="BR9">
        <v>2.6196648641159544E-4</v>
      </c>
      <c r="BS9">
        <v>2.6261987230465821E-4</v>
      </c>
      <c r="BT9">
        <v>2.7083389471435734E-4</v>
      </c>
      <c r="BU9">
        <v>2.6155870050467787E-4</v>
      </c>
      <c r="BV9">
        <v>2.7419201735118048E-4</v>
      </c>
      <c r="BW9">
        <v>2.6187878726794501E-4</v>
      </c>
      <c r="BX9">
        <v>2.6564089460407884E-4</v>
      </c>
      <c r="BY9">
        <v>2.686298082180688E-4</v>
      </c>
      <c r="BZ9">
        <v>2.7366964799739049E-4</v>
      </c>
      <c r="CA9">
        <v>2.6195155605910334E-4</v>
      </c>
      <c r="CB9">
        <v>2.6422648676633601E-4</v>
      </c>
      <c r="CC9">
        <v>2.6301251151123394E-4</v>
      </c>
      <c r="CD9">
        <v>2.7034520090643533E-4</v>
      </c>
      <c r="CE9">
        <v>2.725364693673702E-4</v>
      </c>
      <c r="CF9">
        <v>2.6272232944816933E-4</v>
      </c>
      <c r="CG9">
        <v>2.7348893685215614E-4</v>
      </c>
      <c r="CH9">
        <v>2.7234900749471353E-4</v>
      </c>
      <c r="CI9">
        <v>2.6920877650841389E-4</v>
      </c>
      <c r="CJ9">
        <v>2.7338841399962002E-4</v>
      </c>
      <c r="CK9">
        <v>2.6518851942776753E-4</v>
      </c>
      <c r="CL9">
        <v>2.7059325258586397E-4</v>
      </c>
      <c r="CM9">
        <v>2.6858718275799101E-4</v>
      </c>
      <c r="CN9">
        <v>2.7079807159685826E-4</v>
      </c>
      <c r="CO9">
        <v>2.682164881872126E-4</v>
      </c>
      <c r="CP9">
        <v>2.6525364587865109E-4</v>
      </c>
      <c r="CQ9">
        <v>2.6780633301855679E-4</v>
      </c>
      <c r="CR9">
        <v>2.6667913015359951E-4</v>
      </c>
      <c r="CS9">
        <v>2.7078335404853243E-4</v>
      </c>
      <c r="CT9">
        <v>2.6850065027931425E-4</v>
      </c>
      <c r="CU9">
        <v>2.6602606371710146E-4</v>
      </c>
      <c r="CV9">
        <v>2.6780039400537759E-4</v>
      </c>
      <c r="CW9">
        <v>2.6878339456951398E-4</v>
      </c>
      <c r="CX9">
        <v>2.6671446748611236E-4</v>
      </c>
      <c r="CY9">
        <v>2.6635903079446656E-4</v>
      </c>
      <c r="CZ9">
        <v>2.6761337460585956E-4</v>
      </c>
      <c r="DA9">
        <v>2.6833111137230804E-4</v>
      </c>
      <c r="DB9">
        <v>2.6642680155524389E-4</v>
      </c>
      <c r="DC9">
        <v>2.6687340894573913E-4</v>
      </c>
      <c r="DD9">
        <v>2.6834628814719294E-4</v>
      </c>
      <c r="DE9">
        <v>2.6635059585145476E-4</v>
      </c>
      <c r="DF9">
        <v>2.6844335769576303E-4</v>
      </c>
      <c r="DG9">
        <v>2.6857471542692641E-4</v>
      </c>
      <c r="DH9">
        <v>2.663818853824169E-4</v>
      </c>
      <c r="DI9">
        <v>2.6780573849437348E-4</v>
      </c>
      <c r="DJ9">
        <v>2.6805731040067135E-4</v>
      </c>
      <c r="DK9">
        <v>2.6826027833518003E-4</v>
      </c>
      <c r="DL9">
        <v>2.6638191520392582E-4</v>
      </c>
      <c r="DM9">
        <v>2.6805612358811438E-4</v>
      </c>
      <c r="DN9">
        <v>2.6704344358811173E-4</v>
      </c>
      <c r="DO9">
        <v>2.6851444635553302E-4</v>
      </c>
      <c r="DP9">
        <v>2.6673011205903318E-4</v>
      </c>
      <c r="DQ9">
        <v>2.6717163928365566E-4</v>
      </c>
      <c r="DR9">
        <v>2.6726583464725044E-4</v>
      </c>
      <c r="DS9">
        <v>2.6831467454087473E-4</v>
      </c>
      <c r="DT9">
        <v>2.6644607840856782E-4</v>
      </c>
      <c r="DU9">
        <v>2.676011970862268E-4</v>
      </c>
      <c r="DV9">
        <v>2.6740419435343119E-4</v>
      </c>
      <c r="DW9">
        <v>2.6808345665092352E-4</v>
      </c>
      <c r="DX9">
        <v>2.6783931560725726E-4</v>
      </c>
      <c r="DY9">
        <v>2.6682306201873663E-4</v>
      </c>
      <c r="DZ9">
        <v>2.6674152121995085E-4</v>
      </c>
      <c r="EA9">
        <v>2.6764226752438211E-4</v>
      </c>
      <c r="EB9">
        <v>2.6650910979725273E-4</v>
      </c>
      <c r="EC9">
        <v>2.6780522246153696E-4</v>
      </c>
      <c r="ED9">
        <v>2.6727610851775478E-4</v>
      </c>
      <c r="EE9">
        <v>2.6656225032054291E-4</v>
      </c>
      <c r="EF9">
        <v>2.6746116023235324E-4</v>
      </c>
      <c r="EG9">
        <v>2.680728871728622E-4</v>
      </c>
      <c r="EH9">
        <v>2.6774135732905485E-4</v>
      </c>
      <c r="EI9">
        <v>2.6788086728456531E-4</v>
      </c>
      <c r="EJ9">
        <v>2.6678775223133331E-4</v>
      </c>
      <c r="EK9">
        <v>2.6704817667056791E-4</v>
      </c>
      <c r="EL9">
        <v>2.6731068975629097E-4</v>
      </c>
      <c r="EM9">
        <v>2.6683524331096414E-4</v>
      </c>
      <c r="EN9">
        <v>2.6723407068455596E-4</v>
      </c>
      <c r="EO9">
        <v>2.6663185426447126E-4</v>
      </c>
      <c r="EP9">
        <v>2.6711597670494089E-4</v>
      </c>
      <c r="EQ9">
        <v>2.6748929541364362E-4</v>
      </c>
      <c r="ER9">
        <v>2.6705626087241606E-4</v>
      </c>
      <c r="ES9">
        <v>2.6750282783754843E-4</v>
      </c>
      <c r="ET9">
        <v>2.6673610991053272E-4</v>
      </c>
      <c r="EU9">
        <v>2.6713841265918421E-4</v>
      </c>
      <c r="EV9">
        <v>2.6678106579735298E-4</v>
      </c>
      <c r="EW9">
        <v>2.667062268091727E-4</v>
      </c>
      <c r="EX9">
        <v>2.6730137615990645E-4</v>
      </c>
      <c r="EY9">
        <v>2.6682811656132796E-4</v>
      </c>
      <c r="EZ9">
        <v>2.6700351716409224E-4</v>
      </c>
      <c r="FA9">
        <v>2.6748829593531258E-4</v>
      </c>
      <c r="FB9">
        <v>2.6726075129177907E-4</v>
      </c>
      <c r="FC9">
        <v>2.6693597284944829E-4</v>
      </c>
      <c r="FD9">
        <v>2.6721023820976483E-4</v>
      </c>
      <c r="FE9">
        <v>2.6686429995706077E-4</v>
      </c>
      <c r="FF9">
        <v>2.671133391556552E-4</v>
      </c>
      <c r="FG9">
        <v>2.6744758423396907E-4</v>
      </c>
      <c r="FH9">
        <v>2.6705145078600014E-4</v>
      </c>
      <c r="FI9">
        <v>2.6736206070530026E-4</v>
      </c>
      <c r="FJ9">
        <v>2.6728023804828329E-4</v>
      </c>
      <c r="FK9">
        <v>2.671119799997478E-4</v>
      </c>
      <c r="FL9">
        <v>2.6737858910544382E-4</v>
      </c>
      <c r="FM9">
        <v>2.6696578277707556E-4</v>
      </c>
      <c r="FN9">
        <v>2.6687618969170205E-4</v>
      </c>
      <c r="FO9">
        <v>2.6709873386660774E-4</v>
      </c>
      <c r="FP9">
        <v>2.6709584468149881E-4</v>
      </c>
      <c r="FQ9">
        <v>2.6706132795080044E-4</v>
      </c>
      <c r="FR9">
        <v>2.6694086882073212E-4</v>
      </c>
      <c r="FS9">
        <v>2.6691632953361997E-4</v>
      </c>
      <c r="FT9">
        <v>2.6690691695038831E-4</v>
      </c>
      <c r="FU9">
        <v>2.6689782280261206E-4</v>
      </c>
      <c r="FV9">
        <v>2.672439818451782E-4</v>
      </c>
      <c r="FW9">
        <v>2.669453357084718E-4</v>
      </c>
      <c r="FX9">
        <v>2.6710017229512602E-4</v>
      </c>
      <c r="FY9">
        <v>2.6723544394444273E-4</v>
      </c>
      <c r="FZ9">
        <v>2.6706393125321815E-4</v>
      </c>
      <c r="GA9">
        <v>2.672293355067127E-4</v>
      </c>
      <c r="GB9">
        <v>2.6708012440336494E-4</v>
      </c>
      <c r="GC9">
        <v>2.6700867921241537E-4</v>
      </c>
      <c r="GD9">
        <v>2.6723670372671212E-4</v>
      </c>
      <c r="GE9">
        <v>2.6714424515516546E-4</v>
      </c>
      <c r="GF9">
        <v>2.6710497008193378E-4</v>
      </c>
      <c r="GG9">
        <v>2.66989197815279E-4</v>
      </c>
      <c r="GH9">
        <v>2.6723254614389303E-4</v>
      </c>
      <c r="GI9">
        <v>2.6708852166249181E-4</v>
      </c>
      <c r="GJ9">
        <v>2.6719514478144564E-4</v>
      </c>
      <c r="GK9">
        <v>2.6712324297358388E-4</v>
      </c>
      <c r="GL9">
        <v>2.6704556353004748E-4</v>
      </c>
      <c r="GM9">
        <v>2.671510236603169E-4</v>
      </c>
      <c r="GN9">
        <v>2.6709083376263038E-4</v>
      </c>
      <c r="GO9">
        <v>2.6722606600929538E-4</v>
      </c>
      <c r="GP9">
        <v>2.6717454773301082E-4</v>
      </c>
      <c r="GQ9">
        <v>2.6712420600212252E-4</v>
      </c>
      <c r="GR9">
        <v>2.6708961323030142E-4</v>
      </c>
    </row>
    <row r="10" spans="1:200" x14ac:dyDescent="0.25">
      <c r="A10">
        <v>8.0080710065154968E-5</v>
      </c>
      <c r="B10">
        <v>7.9775638136151249E-5</v>
      </c>
      <c r="C10">
        <v>7.9436759186189191E-5</v>
      </c>
      <c r="D10">
        <v>7.9088149297436446E-5</v>
      </c>
      <c r="E10">
        <v>7.9088514591963048E-5</v>
      </c>
      <c r="F10">
        <v>7.9566860487573953E-5</v>
      </c>
      <c r="G10">
        <v>7.9049980103267556E-5</v>
      </c>
      <c r="H10">
        <v>7.941332443507251E-5</v>
      </c>
      <c r="I10">
        <v>7.9539248943013595E-5</v>
      </c>
      <c r="J10">
        <v>1.0049886417871002E-4</v>
      </c>
      <c r="K10">
        <v>8.4548698194317375E-5</v>
      </c>
      <c r="L10">
        <v>1.0787177644644941E-4</v>
      </c>
      <c r="M10">
        <v>8.9255342951852774E-5</v>
      </c>
      <c r="N10">
        <v>1.074182720710634E-4</v>
      </c>
      <c r="O10">
        <v>1.0373890654263443E-4</v>
      </c>
      <c r="P10">
        <v>9.9032894717336308E-5</v>
      </c>
      <c r="Q10">
        <v>1.0432795323290384E-4</v>
      </c>
      <c r="R10">
        <v>1.0677389728982008E-4</v>
      </c>
      <c r="S10">
        <v>7.9083959941126414E-5</v>
      </c>
      <c r="T10">
        <v>1.0350202686820116E-4</v>
      </c>
      <c r="U10">
        <v>1.0631190150016771E-4</v>
      </c>
      <c r="V10">
        <v>1.0782528362967956E-4</v>
      </c>
      <c r="W10">
        <v>1.0708149345434423E-4</v>
      </c>
      <c r="X10">
        <v>1.0718517916792752E-4</v>
      </c>
      <c r="Y10">
        <v>1.0136377017674491E-4</v>
      </c>
      <c r="Z10">
        <v>1.078921660011141E-4</v>
      </c>
      <c r="AA10">
        <v>1.0103509227896629E-4</v>
      </c>
      <c r="AB10">
        <v>9.4999531888172574E-5</v>
      </c>
      <c r="AC10">
        <v>9.1024413005638045E-5</v>
      </c>
      <c r="AD10">
        <v>9.6351516885588462E-5</v>
      </c>
      <c r="AE10">
        <v>1.0762892388437403E-4</v>
      </c>
      <c r="AF10">
        <v>1.0681098156920629E-4</v>
      </c>
      <c r="AG10">
        <v>9.3532293575628947E-5</v>
      </c>
      <c r="AH10">
        <v>1.0448920515549832E-4</v>
      </c>
      <c r="AI10">
        <v>1.0511747412963748E-4</v>
      </c>
      <c r="AJ10">
        <v>1.024761850647121E-4</v>
      </c>
      <c r="AK10">
        <v>1.0456535520122848E-4</v>
      </c>
      <c r="AL10">
        <v>9.3826426003494205E-5</v>
      </c>
      <c r="AM10">
        <v>1.0711321450418156E-4</v>
      </c>
      <c r="AN10">
        <v>9.4763348697856438E-5</v>
      </c>
      <c r="AO10">
        <v>1.0732857753861775E-4</v>
      </c>
      <c r="AP10">
        <v>1.0704473354063767E-4</v>
      </c>
      <c r="AQ10">
        <v>9.7246256502890621E-5</v>
      </c>
      <c r="AR10">
        <v>1.0721873731182717E-4</v>
      </c>
      <c r="AS10">
        <v>1.0242868162695817E-4</v>
      </c>
      <c r="AT10">
        <v>1.0374872073798498E-4</v>
      </c>
      <c r="AU10">
        <v>9.7482919935232482E-5</v>
      </c>
      <c r="AV10">
        <v>1.0652913079318352E-4</v>
      </c>
      <c r="AW10">
        <v>9.9842710088615834E-5</v>
      </c>
      <c r="AX10">
        <v>1.0182760681821181E-4</v>
      </c>
      <c r="AY10">
        <v>1.0571853062676176E-4</v>
      </c>
      <c r="AZ10">
        <v>1.0254377554683197E-4</v>
      </c>
      <c r="BA10">
        <v>9.7820247635053233E-5</v>
      </c>
      <c r="BB10">
        <v>1.0013415662791914E-4</v>
      </c>
      <c r="BC10">
        <v>1.0505253684080638E-4</v>
      </c>
      <c r="BD10">
        <v>9.7461304028921688E-5</v>
      </c>
      <c r="BE10">
        <v>1.0024172101036891E-4</v>
      </c>
      <c r="BF10">
        <v>1.0420886157143207E-4</v>
      </c>
      <c r="BG10">
        <v>1.0264492404437369E-4</v>
      </c>
      <c r="BH10">
        <v>1.038936384633523E-4</v>
      </c>
      <c r="BI10">
        <v>1.0555768612859988E-4</v>
      </c>
      <c r="BJ10">
        <v>1.0315065712513417E-4</v>
      </c>
      <c r="BK10">
        <v>1.0407158960370784E-4</v>
      </c>
      <c r="BL10">
        <v>9.8749888826690877E-5</v>
      </c>
      <c r="BM10">
        <v>1.0300870465175135E-4</v>
      </c>
      <c r="BN10">
        <v>9.7552473602658207E-5</v>
      </c>
      <c r="BO10">
        <v>1.0119275465867556E-4</v>
      </c>
      <c r="BP10">
        <v>1.0016198728659585E-4</v>
      </c>
      <c r="BQ10">
        <v>9.8534297513984249E-5</v>
      </c>
      <c r="BR10">
        <v>1.0376968987182403E-4</v>
      </c>
      <c r="BS10">
        <v>1.0357473765439297E-4</v>
      </c>
      <c r="BT10">
        <v>1.0082462316930451E-4</v>
      </c>
      <c r="BU10">
        <v>1.0394839154724477E-4</v>
      </c>
      <c r="BV10">
        <v>9.926400857951121E-5</v>
      </c>
      <c r="BW10">
        <v>1.0379205507267606E-4</v>
      </c>
      <c r="BX10">
        <v>1.0266068395894876E-4</v>
      </c>
      <c r="BY10">
        <v>1.0170787911751776E-4</v>
      </c>
      <c r="BZ10">
        <v>9.9481733822337807E-5</v>
      </c>
      <c r="CA10">
        <v>1.0383494398580123E-4</v>
      </c>
      <c r="CB10">
        <v>1.0313205787190374E-4</v>
      </c>
      <c r="CC10">
        <v>1.035631904703358E-4</v>
      </c>
      <c r="CD10">
        <v>1.0105125303315139E-4</v>
      </c>
      <c r="CE10">
        <v>1.0014188948960993E-4</v>
      </c>
      <c r="CF10">
        <v>1.0354333496324464E-4</v>
      </c>
      <c r="CG10">
        <v>9.9672441041526925E-5</v>
      </c>
      <c r="CH10">
        <v>1.0021175034863779E-4</v>
      </c>
      <c r="CI10">
        <v>1.0150860556989533E-4</v>
      </c>
      <c r="CJ10">
        <v>9.9728449591167617E-5</v>
      </c>
      <c r="CK10">
        <v>1.0289073440581932E-4</v>
      </c>
      <c r="CL10">
        <v>1.0091355250031822E-4</v>
      </c>
      <c r="CM10">
        <v>1.0174251606081604E-4</v>
      </c>
      <c r="CN10">
        <v>1.0085102627556647E-4</v>
      </c>
      <c r="CO10">
        <v>1.0178361823046863E-4</v>
      </c>
      <c r="CP10">
        <v>1.0284398955625243E-4</v>
      </c>
      <c r="CQ10">
        <v>1.0196066936951379E-4</v>
      </c>
      <c r="CR10">
        <v>1.0236821416456929E-4</v>
      </c>
      <c r="CS10">
        <v>1.0080743854211846E-4</v>
      </c>
      <c r="CT10">
        <v>1.0173298496238395E-4</v>
      </c>
      <c r="CU10">
        <v>1.0258969276507052E-4</v>
      </c>
      <c r="CV10">
        <v>1.0201641792569573E-4</v>
      </c>
      <c r="CW10">
        <v>1.0164070366385228E-4</v>
      </c>
      <c r="CX10">
        <v>1.0232280354711355E-4</v>
      </c>
      <c r="CY10">
        <v>1.0249077295319516E-4</v>
      </c>
      <c r="CZ10">
        <v>1.0206122662812669E-4</v>
      </c>
      <c r="DA10">
        <v>1.0177677081794732E-4</v>
      </c>
      <c r="DB10">
        <v>1.0242289188194371E-4</v>
      </c>
      <c r="DC10">
        <v>1.0231252413638552E-4</v>
      </c>
      <c r="DD10">
        <v>1.0180936674580784E-4</v>
      </c>
      <c r="DE10">
        <v>1.0246909258508814E-4</v>
      </c>
      <c r="DF10">
        <v>1.0177190534520562E-4</v>
      </c>
      <c r="DG10">
        <v>1.0170335915299734E-4</v>
      </c>
      <c r="DH10">
        <v>1.0245385845599485E-4</v>
      </c>
      <c r="DI10">
        <v>1.0198335954893247E-4</v>
      </c>
      <c r="DJ10">
        <v>1.0187342029559467E-4</v>
      </c>
      <c r="DK10">
        <v>1.0179474110646887E-4</v>
      </c>
      <c r="DL10">
        <v>1.0247635760293531E-4</v>
      </c>
      <c r="DM10">
        <v>1.0188953191208988E-4</v>
      </c>
      <c r="DN10">
        <v>1.022573163883025E-4</v>
      </c>
      <c r="DO10">
        <v>1.0171294132756253E-4</v>
      </c>
      <c r="DP10">
        <v>1.0233309472444857E-4</v>
      </c>
      <c r="DQ10">
        <v>1.0221021008833659E-4</v>
      </c>
      <c r="DR10">
        <v>1.0216165902908418E-4</v>
      </c>
      <c r="DS10">
        <v>1.0179601759053248E-4</v>
      </c>
      <c r="DT10">
        <v>1.0245179374023402E-4</v>
      </c>
      <c r="DU10">
        <v>1.0206400949338644E-4</v>
      </c>
      <c r="DV10">
        <v>1.0211946697233286E-4</v>
      </c>
      <c r="DW10">
        <v>1.0189049278840213E-4</v>
      </c>
      <c r="DX10">
        <v>1.0195737488356636E-4</v>
      </c>
      <c r="DY10">
        <v>1.0231622284148755E-4</v>
      </c>
      <c r="DZ10">
        <v>1.0233928950828704E-4</v>
      </c>
      <c r="EA10">
        <v>1.0202692010711572E-4</v>
      </c>
      <c r="EB10">
        <v>1.0241641506673352E-4</v>
      </c>
      <c r="EC10">
        <v>1.0197222781121857E-4</v>
      </c>
      <c r="ED10">
        <v>1.0216854804487827E-4</v>
      </c>
      <c r="EE10">
        <v>1.0240147683704957E-4</v>
      </c>
      <c r="EF10">
        <v>1.021012780734932E-4</v>
      </c>
      <c r="EG10">
        <v>1.018789414640989E-4</v>
      </c>
      <c r="EH10">
        <v>1.0199756143003116E-4</v>
      </c>
      <c r="EI10">
        <v>1.0195565171693677E-4</v>
      </c>
      <c r="EJ10">
        <v>1.023300967095825E-4</v>
      </c>
      <c r="EK10">
        <v>1.0224252820489822E-4</v>
      </c>
      <c r="EL10">
        <v>1.0214608582936649E-4</v>
      </c>
      <c r="EM10">
        <v>1.0230606340019452E-4</v>
      </c>
      <c r="EN10">
        <v>1.0217354316143747E-4</v>
      </c>
      <c r="EO10">
        <v>1.0237172133918301E-4</v>
      </c>
      <c r="EP10">
        <v>1.0220750977729073E-4</v>
      </c>
      <c r="EQ10">
        <v>1.0208948256320835E-4</v>
      </c>
      <c r="ER10">
        <v>1.0224251489023813E-4</v>
      </c>
      <c r="ES10">
        <v>1.0208479815160536E-4</v>
      </c>
      <c r="ET10">
        <v>1.023390962226402E-4</v>
      </c>
      <c r="EU10">
        <v>1.0220879172320617E-4</v>
      </c>
      <c r="EV10">
        <v>1.023312193303025E-4</v>
      </c>
      <c r="EW10">
        <v>1.0234885344019592E-4</v>
      </c>
      <c r="EX10">
        <v>1.0215168134193962E-4</v>
      </c>
      <c r="EY10">
        <v>1.023118310525488E-4</v>
      </c>
      <c r="EZ10">
        <v>1.0225275589645906E-4</v>
      </c>
      <c r="FA10">
        <v>1.0208887617919067E-4</v>
      </c>
      <c r="FB10">
        <v>1.0216253198292324E-4</v>
      </c>
      <c r="FC10">
        <v>1.022781387111442E-4</v>
      </c>
      <c r="FD10">
        <v>1.0218169851470891E-4</v>
      </c>
      <c r="FE10">
        <v>1.0230237665471523E-4</v>
      </c>
      <c r="FF10">
        <v>1.0221434500923339E-4</v>
      </c>
      <c r="FG10">
        <v>1.0210088662729452E-4</v>
      </c>
      <c r="FH10">
        <v>1.0223677308771543E-4</v>
      </c>
      <c r="FI10">
        <v>1.0213040329783112E-4</v>
      </c>
      <c r="FJ10">
        <v>1.021574368215129E-4</v>
      </c>
      <c r="FK10">
        <v>1.0221532524248141E-4</v>
      </c>
      <c r="FL10">
        <v>1.0212423973171019E-4</v>
      </c>
      <c r="FM10">
        <v>1.0226414560350233E-4</v>
      </c>
      <c r="FN10">
        <v>1.0229600483189424E-4</v>
      </c>
      <c r="FO10">
        <v>1.0222164137369823E-4</v>
      </c>
      <c r="FP10">
        <v>1.0221811650017886E-4</v>
      </c>
      <c r="FQ10">
        <v>1.0223034312427139E-4</v>
      </c>
      <c r="FR10">
        <v>1.0227581054611367E-4</v>
      </c>
      <c r="FS10">
        <v>1.0228305576419724E-4</v>
      </c>
      <c r="FT10">
        <v>1.0228437019161106E-4</v>
      </c>
      <c r="FU10">
        <v>1.0228947437684448E-4</v>
      </c>
      <c r="FV10">
        <v>1.0217116307334307E-4</v>
      </c>
      <c r="FW10">
        <v>1.0227154598179631E-4</v>
      </c>
      <c r="FX10">
        <v>1.022202739058954E-4</v>
      </c>
      <c r="FY10">
        <v>1.0217484426845784E-4</v>
      </c>
      <c r="FZ10">
        <v>1.0222955354980978E-4</v>
      </c>
      <c r="GA10">
        <v>1.0217566129408356E-4</v>
      </c>
      <c r="GB10">
        <v>1.022277570045101E-4</v>
      </c>
      <c r="GC10">
        <v>1.0225015357037456E-4</v>
      </c>
      <c r="GD10">
        <v>1.0217186955514627E-4</v>
      </c>
      <c r="GE10">
        <v>1.0220550597123771E-4</v>
      </c>
      <c r="GF10">
        <v>1.0221753832772421E-4</v>
      </c>
      <c r="GG10">
        <v>1.0225830858572408E-4</v>
      </c>
      <c r="GH10">
        <v>1.0217486512382063E-4</v>
      </c>
      <c r="GI10">
        <v>1.0222361596353215E-4</v>
      </c>
      <c r="GJ10">
        <v>1.0218833687637153E-4</v>
      </c>
      <c r="GK10">
        <v>1.0221252932385389E-4</v>
      </c>
      <c r="GL10">
        <v>1.022373408474387E-4</v>
      </c>
      <c r="GM10">
        <v>1.0220246656440938E-4</v>
      </c>
      <c r="GN10">
        <v>1.0222291678297809E-4</v>
      </c>
      <c r="GO10">
        <v>1.0217619985547667E-4</v>
      </c>
      <c r="GP10">
        <v>1.021953667057683E-4</v>
      </c>
      <c r="GQ10">
        <v>1.0221121896877208E-4</v>
      </c>
      <c r="GR10">
        <v>1.0222406742755699E-4</v>
      </c>
    </row>
    <row r="11" spans="1:200" x14ac:dyDescent="0.25">
      <c r="A11">
        <v>3.902660319989429E-6</v>
      </c>
      <c r="B11">
        <v>3.8935712104435724E-6</v>
      </c>
      <c r="C11">
        <v>3.8834466550327627E-6</v>
      </c>
      <c r="D11">
        <v>3.8708061418480185E-6</v>
      </c>
      <c r="E11">
        <v>3.8810301407406814E-6</v>
      </c>
      <c r="F11">
        <v>3.8797002336152311E-6</v>
      </c>
      <c r="G11">
        <v>3.8675690962375967E-6</v>
      </c>
      <c r="H11">
        <v>3.8777575318133708E-6</v>
      </c>
      <c r="I11">
        <v>3.8916423780802542E-6</v>
      </c>
      <c r="J11">
        <v>3.3729179335185354E-6</v>
      </c>
      <c r="K11">
        <v>4.0319965316549876E-6</v>
      </c>
      <c r="L11">
        <v>4.1685850133552676E-6</v>
      </c>
      <c r="M11">
        <v>4.1339727597683975E-6</v>
      </c>
      <c r="N11">
        <v>4.1034315554640866E-6</v>
      </c>
      <c r="O11">
        <v>3.5610684577453914E-6</v>
      </c>
      <c r="P11">
        <v>4.2736643212445925E-6</v>
      </c>
      <c r="Q11">
        <v>4.291859009178465E-6</v>
      </c>
      <c r="R11">
        <v>3.8606690221977625E-6</v>
      </c>
      <c r="S11">
        <v>3.8618093242886074E-6</v>
      </c>
      <c r="T11">
        <v>4.2902183302144656E-6</v>
      </c>
      <c r="U11">
        <v>4.2351944898452478E-6</v>
      </c>
      <c r="V11">
        <v>4.0142267364505165E-6</v>
      </c>
      <c r="W11">
        <v>3.837530212435408E-6</v>
      </c>
      <c r="X11">
        <v>4.1987683761197832E-6</v>
      </c>
      <c r="Y11">
        <v>4.3000840767472245E-6</v>
      </c>
      <c r="Z11">
        <v>4.0035015900160232E-6</v>
      </c>
      <c r="AA11">
        <v>4.2924006332251996E-6</v>
      </c>
      <c r="AB11">
        <v>4.2270719260160654E-6</v>
      </c>
      <c r="AC11">
        <v>4.162345508092437E-6</v>
      </c>
      <c r="AD11">
        <v>4.2601386928320018E-6</v>
      </c>
      <c r="AE11">
        <v>4.0699794056200075E-6</v>
      </c>
      <c r="AF11">
        <v>4.2452400390578004E-6</v>
      </c>
      <c r="AG11">
        <v>4.2120882082019567E-6</v>
      </c>
      <c r="AH11">
        <v>4.2795103872689287E-6</v>
      </c>
      <c r="AI11">
        <v>4.2683080485546226E-6</v>
      </c>
      <c r="AJ11">
        <v>4.3018834229302036E-6</v>
      </c>
      <c r="AK11">
        <v>4.292970175866841E-6</v>
      </c>
      <c r="AL11">
        <v>4.2190837818166671E-6</v>
      </c>
      <c r="AM11">
        <v>4.2278092236032006E-6</v>
      </c>
      <c r="AN11">
        <v>4.2327408343126685E-6</v>
      </c>
      <c r="AO11">
        <v>4.1771403980881622E-6</v>
      </c>
      <c r="AP11">
        <v>4.2117245282873821E-6</v>
      </c>
      <c r="AQ11">
        <v>4.2642842856208341E-6</v>
      </c>
      <c r="AR11">
        <v>4.2168390855291307E-6</v>
      </c>
      <c r="AS11">
        <v>4.303687669403496E-6</v>
      </c>
      <c r="AT11">
        <v>4.2953202956039673E-6</v>
      </c>
      <c r="AU11">
        <v>4.2722956483560825E-6</v>
      </c>
      <c r="AV11">
        <v>4.2345267851680521E-6</v>
      </c>
      <c r="AW11">
        <v>4.2956978940288597E-6</v>
      </c>
      <c r="AX11">
        <v>4.3028866310165834E-6</v>
      </c>
      <c r="AY11">
        <v>4.2562273174753378E-6</v>
      </c>
      <c r="AZ11">
        <v>4.3049975621852492E-6</v>
      </c>
      <c r="BA11">
        <v>4.2784152171468442E-6</v>
      </c>
      <c r="BB11">
        <v>4.2933142221589053E-6</v>
      </c>
      <c r="BC11">
        <v>4.2742106911137663E-6</v>
      </c>
      <c r="BD11">
        <v>4.2723262738828392E-6</v>
      </c>
      <c r="BE11">
        <v>4.2974659618134579E-6</v>
      </c>
      <c r="BF11">
        <v>4.2974684650845917E-6</v>
      </c>
      <c r="BG11">
        <v>4.2995560653712212E-6</v>
      </c>
      <c r="BH11">
        <v>4.289727157320092E-6</v>
      </c>
      <c r="BI11">
        <v>4.264629820607193E-6</v>
      </c>
      <c r="BJ11">
        <v>4.2991550485066611E-6</v>
      </c>
      <c r="BK11">
        <v>4.295887774602335E-6</v>
      </c>
      <c r="BL11">
        <v>4.2860753759369011E-6</v>
      </c>
      <c r="BM11">
        <v>4.2978161063087557E-6</v>
      </c>
      <c r="BN11">
        <v>4.2707561169329936E-6</v>
      </c>
      <c r="BO11">
        <v>4.3030614960941753E-6</v>
      </c>
      <c r="BP11">
        <v>4.2977446751651044E-6</v>
      </c>
      <c r="BQ11">
        <v>4.2844788827655379E-6</v>
      </c>
      <c r="BR11">
        <v>4.2967331197834448E-6</v>
      </c>
      <c r="BS11">
        <v>4.2977983971494358E-6</v>
      </c>
      <c r="BT11">
        <v>4.298091233472266E-6</v>
      </c>
      <c r="BU11">
        <v>4.2985076394560983E-6</v>
      </c>
      <c r="BV11">
        <v>4.2886391519540972E-6</v>
      </c>
      <c r="BW11">
        <v>4.2958988112062109E-6</v>
      </c>
      <c r="BX11">
        <v>4.2999675439177992E-6</v>
      </c>
      <c r="BY11">
        <v>4.3024127681606053E-6</v>
      </c>
      <c r="BZ11">
        <v>4.2903868985126499E-6</v>
      </c>
      <c r="CA11">
        <v>4.298649184423776E-6</v>
      </c>
      <c r="CB11">
        <v>4.2999077962181076E-6</v>
      </c>
      <c r="CC11">
        <v>4.3006034947094487E-6</v>
      </c>
      <c r="CD11">
        <v>4.3008139709701797E-6</v>
      </c>
      <c r="CE11">
        <v>4.2969321187970116E-6</v>
      </c>
      <c r="CF11">
        <v>4.2967369084236015E-6</v>
      </c>
      <c r="CG11">
        <v>4.2946030348602002E-6</v>
      </c>
      <c r="CH11">
        <v>4.296937717413318E-6</v>
      </c>
      <c r="CI11">
        <v>4.3027616697963358E-6</v>
      </c>
      <c r="CJ11">
        <v>4.2943848522659425E-6</v>
      </c>
      <c r="CK11">
        <v>4.3029584654601004E-6</v>
      </c>
      <c r="CL11">
        <v>4.2990212871347338E-6</v>
      </c>
      <c r="CM11">
        <v>4.3035129957315597E-6</v>
      </c>
      <c r="CN11">
        <v>4.2993584363820342E-6</v>
      </c>
      <c r="CO11">
        <v>4.3009437933463921E-6</v>
      </c>
      <c r="CP11">
        <v>4.3016706811961632E-6</v>
      </c>
      <c r="CQ11">
        <v>4.3019304295796886E-6</v>
      </c>
      <c r="CR11">
        <v>4.302521203863278E-6</v>
      </c>
      <c r="CS11">
        <v>4.2989130598093998E-6</v>
      </c>
      <c r="CT11">
        <v>4.3025347694633254E-6</v>
      </c>
      <c r="CU11">
        <v>4.3026001957644888E-6</v>
      </c>
      <c r="CV11">
        <v>4.3030476993341905E-6</v>
      </c>
      <c r="CW11">
        <v>4.3024134152069799E-6</v>
      </c>
      <c r="CX11">
        <v>4.3014458435151142E-6</v>
      </c>
      <c r="CY11">
        <v>4.3028406298371824E-6</v>
      </c>
      <c r="CZ11">
        <v>4.3028388316783231E-6</v>
      </c>
      <c r="DA11">
        <v>4.3018023586871592E-6</v>
      </c>
      <c r="DB11">
        <v>4.3012513076771108E-6</v>
      </c>
      <c r="DC11">
        <v>4.3026866826183418E-6</v>
      </c>
      <c r="DD11">
        <v>4.3027919220441175E-6</v>
      </c>
      <c r="DE11">
        <v>4.3014857997157963E-6</v>
      </c>
      <c r="DF11">
        <v>4.3024720331865018E-6</v>
      </c>
      <c r="DG11">
        <v>4.3017682702412726E-6</v>
      </c>
      <c r="DH11">
        <v>4.3014553644709635E-6</v>
      </c>
      <c r="DI11">
        <v>4.3020217969959451E-6</v>
      </c>
      <c r="DJ11">
        <v>4.3016602236885921E-6</v>
      </c>
      <c r="DK11">
        <v>4.301512823393749E-6</v>
      </c>
      <c r="DL11">
        <v>4.3021941815479999E-6</v>
      </c>
      <c r="DM11">
        <v>4.3021999963755452E-6</v>
      </c>
      <c r="DN11">
        <v>4.3023471747276933E-6</v>
      </c>
      <c r="DO11">
        <v>4.3016301224359486E-6</v>
      </c>
      <c r="DP11">
        <v>4.3017138638268031E-6</v>
      </c>
      <c r="DQ11">
        <v>4.3024250557151953E-6</v>
      </c>
      <c r="DR11">
        <v>4.3019214990857447E-6</v>
      </c>
      <c r="DS11">
        <v>4.3021797803856651E-6</v>
      </c>
      <c r="DT11">
        <v>4.3020616213179654E-6</v>
      </c>
      <c r="DU11">
        <v>4.3023440307878755E-6</v>
      </c>
      <c r="DV11">
        <v>4.3022203037419396E-6</v>
      </c>
      <c r="DW11">
        <v>4.3021606451355841E-6</v>
      </c>
      <c r="DX11">
        <v>4.301949809824573E-6</v>
      </c>
      <c r="DY11">
        <v>4.3020139479526295E-6</v>
      </c>
      <c r="DZ11">
        <v>4.3017821731351895E-6</v>
      </c>
      <c r="EA11">
        <v>4.3018567953881566E-6</v>
      </c>
      <c r="EB11">
        <v>4.3018477650093068E-6</v>
      </c>
      <c r="EC11">
        <v>4.3019861984581023E-6</v>
      </c>
      <c r="ED11">
        <v>4.302151649469404E-6</v>
      </c>
      <c r="EE11">
        <v>4.3020940744904331E-6</v>
      </c>
      <c r="EF11">
        <v>4.3021833659924734E-6</v>
      </c>
      <c r="EG11">
        <v>4.3018530947245195E-6</v>
      </c>
      <c r="EH11">
        <v>4.3021519887023834E-6</v>
      </c>
      <c r="EI11">
        <v>4.3021833799569668E-6</v>
      </c>
      <c r="EJ11">
        <v>4.3020275682067579E-6</v>
      </c>
      <c r="EK11">
        <v>4.3020156238172581E-6</v>
      </c>
      <c r="EL11">
        <v>4.3020573603477225E-6</v>
      </c>
      <c r="EM11">
        <v>4.3019152885650453E-6</v>
      </c>
      <c r="EN11">
        <v>4.3020157624681821E-6</v>
      </c>
      <c r="EO11">
        <v>4.3018254867842775E-6</v>
      </c>
      <c r="EP11">
        <v>4.301922317886906E-6</v>
      </c>
      <c r="EQ11">
        <v>4.3020980719121259E-6</v>
      </c>
      <c r="ER11">
        <v>4.3021746210523553E-6</v>
      </c>
      <c r="ES11">
        <v>4.3022351961209125E-6</v>
      </c>
      <c r="ET11">
        <v>4.3018436022109125E-6</v>
      </c>
      <c r="EU11">
        <v>4.3020633279273456E-6</v>
      </c>
      <c r="EV11">
        <v>4.3020650092944086E-6</v>
      </c>
      <c r="EW11">
        <v>4.3019133983373266E-6</v>
      </c>
      <c r="EX11">
        <v>4.3021267142242045E-6</v>
      </c>
      <c r="EY11">
        <v>4.301974759576467E-6</v>
      </c>
      <c r="EZ11">
        <v>4.3020554109804683E-6</v>
      </c>
      <c r="FA11">
        <v>4.3020939341881659E-6</v>
      </c>
      <c r="FB11">
        <v>4.3019800088297983E-6</v>
      </c>
      <c r="FC11">
        <v>4.3021281184151025E-6</v>
      </c>
      <c r="FD11">
        <v>4.3020735886596661E-6</v>
      </c>
      <c r="FE11">
        <v>4.3020928593407744E-6</v>
      </c>
      <c r="FF11">
        <v>4.3019757885065303E-6</v>
      </c>
      <c r="FG11">
        <v>4.302112774744773E-6</v>
      </c>
      <c r="FH11">
        <v>4.302084267052337E-6</v>
      </c>
      <c r="FI11">
        <v>4.302064906303072E-6</v>
      </c>
      <c r="FJ11">
        <v>4.3019995674968893E-6</v>
      </c>
      <c r="FK11">
        <v>4.3020628202337448E-6</v>
      </c>
      <c r="FL11">
        <v>4.3020755241071764E-6</v>
      </c>
      <c r="FM11">
        <v>4.3019686971265534E-6</v>
      </c>
      <c r="FN11">
        <v>4.3019809507170678E-6</v>
      </c>
      <c r="FO11">
        <v>4.3021033926904253E-6</v>
      </c>
      <c r="FP11">
        <v>4.3019660843101842E-6</v>
      </c>
      <c r="FQ11">
        <v>4.3019786828177756E-6</v>
      </c>
      <c r="FR11">
        <v>4.3020579176906118E-6</v>
      </c>
      <c r="FS11">
        <v>4.3020156600549438E-6</v>
      </c>
      <c r="FT11">
        <v>4.3019607644589335E-6</v>
      </c>
      <c r="FU11">
        <v>4.3020261822220064E-6</v>
      </c>
      <c r="FV11">
        <v>4.3020831418083401E-6</v>
      </c>
      <c r="FW11">
        <v>4.3019592968155701E-6</v>
      </c>
      <c r="FX11">
        <v>4.302048092316798E-6</v>
      </c>
      <c r="FY11">
        <v>4.3020806305836346E-6</v>
      </c>
      <c r="FZ11">
        <v>4.3019652985036286E-6</v>
      </c>
      <c r="GA11">
        <v>4.3020508346258972E-6</v>
      </c>
      <c r="GB11">
        <v>4.3020536798234042E-6</v>
      </c>
      <c r="GC11">
        <v>4.3019949195909736E-6</v>
      </c>
      <c r="GD11">
        <v>4.3020009342558021E-6</v>
      </c>
      <c r="GE11">
        <v>4.3020390226162486E-6</v>
      </c>
      <c r="GF11">
        <v>4.3020312933392718E-6</v>
      </c>
      <c r="GG11">
        <v>4.3020361981328426E-6</v>
      </c>
      <c r="GH11">
        <v>4.3020379815982171E-6</v>
      </c>
      <c r="GI11">
        <v>4.3020264669943783E-6</v>
      </c>
      <c r="GJ11">
        <v>4.3020619403893009E-6</v>
      </c>
      <c r="GK11">
        <v>4.3020394451138365E-6</v>
      </c>
      <c r="GL11">
        <v>4.3020026982375621E-6</v>
      </c>
      <c r="GM11">
        <v>4.3020367982529684E-6</v>
      </c>
      <c r="GN11">
        <v>4.3020144093896501E-6</v>
      </c>
      <c r="GO11">
        <v>4.3020248094508834E-6</v>
      </c>
      <c r="GP11">
        <v>4.3020646784543E-6</v>
      </c>
      <c r="GQ11">
        <v>4.3020278738476685E-6</v>
      </c>
      <c r="GR11">
        <v>4.3020486395207893E-6</v>
      </c>
    </row>
    <row r="12" spans="1:200" x14ac:dyDescent="0.25">
      <c r="A12">
        <v>2.9600514259009225E-7</v>
      </c>
      <c r="B12">
        <v>2.9534094709953949E-7</v>
      </c>
      <c r="C12">
        <v>2.943834623659559E-7</v>
      </c>
      <c r="D12">
        <v>2.9320691862744247E-7</v>
      </c>
      <c r="E12">
        <v>2.9335128379500147E-7</v>
      </c>
      <c r="F12">
        <v>2.9466470272484588E-7</v>
      </c>
      <c r="G12">
        <v>2.9322848124096376E-7</v>
      </c>
      <c r="H12">
        <v>2.9422320991290346E-7</v>
      </c>
      <c r="I12">
        <v>2.9478339234377072E-7</v>
      </c>
      <c r="J12">
        <v>1.3636157142058116E-6</v>
      </c>
      <c r="K12">
        <v>3.4494600612035983E-7</v>
      </c>
      <c r="L12">
        <v>9.0053588515865016E-7</v>
      </c>
      <c r="M12">
        <v>3.9907277605636363E-7</v>
      </c>
      <c r="N12">
        <v>9.3722245222309336E-7</v>
      </c>
      <c r="O12">
        <v>1.2909557708621411E-6</v>
      </c>
      <c r="P12">
        <v>5.6625791507431327E-7</v>
      </c>
      <c r="Q12">
        <v>7.0263432311441779E-7</v>
      </c>
      <c r="R12">
        <v>1.1192361544541362E-6</v>
      </c>
      <c r="S12">
        <v>2.9461829673111129E-7</v>
      </c>
      <c r="T12">
        <v>6.7741840052431022E-7</v>
      </c>
      <c r="U12">
        <v>7.9760966412830189E-7</v>
      </c>
      <c r="V12">
        <v>1.01784201876019E-6</v>
      </c>
      <c r="W12">
        <v>1.1436704045039149E-6</v>
      </c>
      <c r="X12">
        <v>8.494519521991409E-7</v>
      </c>
      <c r="Y12">
        <v>6.1925500505893527E-7</v>
      </c>
      <c r="Z12">
        <v>1.0314001323480599E-6</v>
      </c>
      <c r="AA12">
        <v>6.1228106445602769E-7</v>
      </c>
      <c r="AB12">
        <v>4.8779563078099089E-7</v>
      </c>
      <c r="AC12">
        <v>4.2724643573786883E-7</v>
      </c>
      <c r="AD12">
        <v>5.0833427540589215E-7</v>
      </c>
      <c r="AE12">
        <v>9.6935422467090955E-7</v>
      </c>
      <c r="AF12">
        <v>8.0989900604138546E-7</v>
      </c>
      <c r="AG12">
        <v>4.6494404273675109E-7</v>
      </c>
      <c r="AH12">
        <v>7.1184968131834814E-7</v>
      </c>
      <c r="AI12">
        <v>7.4119891454174604E-7</v>
      </c>
      <c r="AJ12">
        <v>6.4104704765039612E-7</v>
      </c>
      <c r="AK12">
        <v>7.1131443890588748E-7</v>
      </c>
      <c r="AL12">
        <v>4.6545950636765242E-7</v>
      </c>
      <c r="AM12">
        <v>8.315541423851571E-7</v>
      </c>
      <c r="AN12">
        <v>4.8266950981522695E-7</v>
      </c>
      <c r="AO12">
        <v>8.757701555551817E-7</v>
      </c>
      <c r="AP12">
        <v>8.3817303463947323E-7</v>
      </c>
      <c r="AQ12">
        <v>5.2729673338305691E-7</v>
      </c>
      <c r="AR12">
        <v>8.3926190423827676E-7</v>
      </c>
      <c r="AS12">
        <v>6.4095118738204028E-7</v>
      </c>
      <c r="AT12">
        <v>6.8610912920212034E-7</v>
      </c>
      <c r="AU12">
        <v>5.2816772427705855E-7</v>
      </c>
      <c r="AV12">
        <v>8.0893132222208432E-7</v>
      </c>
      <c r="AW12">
        <v>5.7672992524837308E-7</v>
      </c>
      <c r="AX12">
        <v>6.2567603365676614E-7</v>
      </c>
      <c r="AY12">
        <v>7.6741620770219876E-7</v>
      </c>
      <c r="AZ12">
        <v>6.448868112721795E-7</v>
      </c>
      <c r="BA12">
        <v>5.355293964569583E-7</v>
      </c>
      <c r="BB12">
        <v>5.8588533175305339E-7</v>
      </c>
      <c r="BC12">
        <v>7.376628554267391E-7</v>
      </c>
      <c r="BD12">
        <v>5.2891816275347832E-7</v>
      </c>
      <c r="BE12">
        <v>5.8758777244225771E-7</v>
      </c>
      <c r="BF12">
        <v>6.9650805386955154E-7</v>
      </c>
      <c r="BG12">
        <v>6.5062935237229875E-7</v>
      </c>
      <c r="BH12">
        <v>6.9175733200974999E-7</v>
      </c>
      <c r="BI12">
        <v>7.5795442947399324E-7</v>
      </c>
      <c r="BJ12">
        <v>6.6571294764106597E-7</v>
      </c>
      <c r="BK12">
        <v>6.9409715392684441E-7</v>
      </c>
      <c r="BL12">
        <v>5.5466428956914951E-7</v>
      </c>
      <c r="BM12">
        <v>6.6198956186637337E-7</v>
      </c>
      <c r="BN12">
        <v>5.3189216927420946E-7</v>
      </c>
      <c r="BO12">
        <v>6.0915695279239015E-7</v>
      </c>
      <c r="BP12">
        <v>5.8521819624880107E-7</v>
      </c>
      <c r="BQ12">
        <v>5.4946043172341709E-7</v>
      </c>
      <c r="BR12">
        <v>6.8486984421546018E-7</v>
      </c>
      <c r="BS12">
        <v>6.7883617227830654E-7</v>
      </c>
      <c r="BT12">
        <v>6.0197562152108164E-7</v>
      </c>
      <c r="BU12">
        <v>6.89179149724461E-7</v>
      </c>
      <c r="BV12">
        <v>5.6648517833204985E-7</v>
      </c>
      <c r="BW12">
        <v>6.8508612791397744E-7</v>
      </c>
      <c r="BX12">
        <v>6.512528386478318E-7</v>
      </c>
      <c r="BY12">
        <v>6.2350995315169285E-7</v>
      </c>
      <c r="BZ12">
        <v>5.7168967207932684E-7</v>
      </c>
      <c r="CA12">
        <v>6.8519031594591858E-7</v>
      </c>
      <c r="CB12">
        <v>6.6458466229355219E-7</v>
      </c>
      <c r="CC12">
        <v>6.7615034363587002E-7</v>
      </c>
      <c r="CD12">
        <v>6.0658210352601786E-7</v>
      </c>
      <c r="CE12">
        <v>5.8449837569875984E-7</v>
      </c>
      <c r="CF12">
        <v>6.7803900393899652E-7</v>
      </c>
      <c r="CG12">
        <v>5.7427946923473296E-7</v>
      </c>
      <c r="CH12">
        <v>5.8647148970778839E-7</v>
      </c>
      <c r="CI12">
        <v>6.1820293851785713E-7</v>
      </c>
      <c r="CJ12">
        <v>5.7528923179829946E-7</v>
      </c>
      <c r="CK12">
        <v>6.5580984187314819E-7</v>
      </c>
      <c r="CL12">
        <v>6.0392118040936702E-7</v>
      </c>
      <c r="CM12">
        <v>6.2394855720740134E-7</v>
      </c>
      <c r="CN12">
        <v>6.0215730071252288E-7</v>
      </c>
      <c r="CO12">
        <v>6.2698367901161936E-7</v>
      </c>
      <c r="CP12">
        <v>6.5512335353193308E-7</v>
      </c>
      <c r="CQ12">
        <v>6.3100029445848282E-7</v>
      </c>
      <c r="CR12">
        <v>6.4196272735773881E-7</v>
      </c>
      <c r="CS12">
        <v>6.0170782913347356E-7</v>
      </c>
      <c r="CT12">
        <v>6.2452919948732437E-7</v>
      </c>
      <c r="CU12">
        <v>6.4804196075379891E-7</v>
      </c>
      <c r="CV12">
        <v>6.3139659848319349E-7</v>
      </c>
      <c r="CW12">
        <v>6.2185087382333023E-7</v>
      </c>
      <c r="CX12">
        <v>6.413627805117466E-7</v>
      </c>
      <c r="CY12">
        <v>6.4506045966201417E-7</v>
      </c>
      <c r="CZ12">
        <v>6.3317630484841017E-7</v>
      </c>
      <c r="DA12">
        <v>6.2603748143750123E-7</v>
      </c>
      <c r="DB12">
        <v>6.4397514336799234E-7</v>
      </c>
      <c r="DC12">
        <v>6.4003870005360956E-7</v>
      </c>
      <c r="DD12">
        <v>6.2615177750697835E-7</v>
      </c>
      <c r="DE12">
        <v>6.4485851650365059E-7</v>
      </c>
      <c r="DF12">
        <v>6.2518636194216124E-7</v>
      </c>
      <c r="DG12">
        <v>6.237722601971587E-7</v>
      </c>
      <c r="DH12">
        <v>6.4455699216277071E-7</v>
      </c>
      <c r="DI12">
        <v>6.3124070111593079E-7</v>
      </c>
      <c r="DJ12">
        <v>6.2868652687872442E-7</v>
      </c>
      <c r="DK12">
        <v>6.2668085689488881E-7</v>
      </c>
      <c r="DL12">
        <v>6.4467003009619856E-7</v>
      </c>
      <c r="DM12">
        <v>6.2879120433426618E-7</v>
      </c>
      <c r="DN12">
        <v>6.3851078880298498E-7</v>
      </c>
      <c r="DO12">
        <v>6.2427111641570264E-7</v>
      </c>
      <c r="DP12">
        <v>6.4122282947623719E-7</v>
      </c>
      <c r="DQ12">
        <v>6.3729169525285021E-7</v>
      </c>
      <c r="DR12">
        <v>6.3626062696161369E-7</v>
      </c>
      <c r="DS12">
        <v>6.2630488241458723E-7</v>
      </c>
      <c r="DT12">
        <v>6.4407028204025925E-7</v>
      </c>
      <c r="DU12">
        <v>6.3323599328858195E-7</v>
      </c>
      <c r="DV12">
        <v>6.3498369147171305E-7</v>
      </c>
      <c r="DW12">
        <v>6.2858893107293417E-7</v>
      </c>
      <c r="DX12">
        <v>6.3080341816856461E-7</v>
      </c>
      <c r="DY12">
        <v>6.4046326154405527E-7</v>
      </c>
      <c r="DZ12">
        <v>6.4121212820819122E-7</v>
      </c>
      <c r="EA12">
        <v>6.3267779377452503E-7</v>
      </c>
      <c r="EB12">
        <v>6.4338242239447693E-7</v>
      </c>
      <c r="EC12">
        <v>6.3112503024334159E-7</v>
      </c>
      <c r="ED12">
        <v>6.3624510790252905E-7</v>
      </c>
      <c r="EE12">
        <v>6.4289674230097119E-7</v>
      </c>
      <c r="EF12">
        <v>6.3448288954667072E-7</v>
      </c>
      <c r="EG12">
        <v>6.2859242317809264E-7</v>
      </c>
      <c r="EH12">
        <v>6.3176137268481988E-7</v>
      </c>
      <c r="EI12">
        <v>6.3048629430160237E-7</v>
      </c>
      <c r="EJ12">
        <v>6.4081745576071285E-7</v>
      </c>
      <c r="EK12">
        <v>6.3837791066482676E-7</v>
      </c>
      <c r="EL12">
        <v>6.3584351117774636E-7</v>
      </c>
      <c r="EM12">
        <v>6.4030513689587862E-7</v>
      </c>
      <c r="EN12">
        <v>6.3658593980160996E-7</v>
      </c>
      <c r="EO12">
        <v>6.4220824991148785E-7</v>
      </c>
      <c r="EP12">
        <v>6.3763362643584774E-7</v>
      </c>
      <c r="EQ12">
        <v>6.341943970494986E-7</v>
      </c>
      <c r="ER12">
        <v>6.3832846799516474E-7</v>
      </c>
      <c r="ES12">
        <v>6.3406883365898911E-7</v>
      </c>
      <c r="ET12">
        <v>6.4123138424927187E-7</v>
      </c>
      <c r="EU12">
        <v>6.3749605151580178E-7</v>
      </c>
      <c r="EV12">
        <v>6.4087375083463497E-7</v>
      </c>
      <c r="EW12">
        <v>6.4152000315836112E-7</v>
      </c>
      <c r="EX12">
        <v>6.3593703159941535E-7</v>
      </c>
      <c r="EY12">
        <v>6.4039227938240371E-7</v>
      </c>
      <c r="EZ12">
        <v>6.3874848079654991E-7</v>
      </c>
      <c r="FA12">
        <v>6.3418578994732304E-7</v>
      </c>
      <c r="FB12">
        <v>6.3631630199844136E-7</v>
      </c>
      <c r="FC12">
        <v>6.3940369064103031E-7</v>
      </c>
      <c r="FD12">
        <v>6.3679977010900774E-7</v>
      </c>
      <c r="FE12">
        <v>6.4007666275102606E-7</v>
      </c>
      <c r="FF12">
        <v>6.3772250919468763E-7</v>
      </c>
      <c r="FG12">
        <v>6.3456311088616125E-7</v>
      </c>
      <c r="FH12">
        <v>6.3830898007241503E-7</v>
      </c>
      <c r="FI12">
        <v>6.3537851149468711E-7</v>
      </c>
      <c r="FJ12">
        <v>6.3612909806127799E-7</v>
      </c>
      <c r="FK12">
        <v>6.3773003663015668E-7</v>
      </c>
      <c r="FL12">
        <v>6.3521105096934517E-7</v>
      </c>
      <c r="FM12">
        <v>6.3909994110081105E-7</v>
      </c>
      <c r="FN12">
        <v>6.3995860586005512E-7</v>
      </c>
      <c r="FO12">
        <v>6.3786608619599143E-7</v>
      </c>
      <c r="FP12">
        <v>6.3786081689072938E-7</v>
      </c>
      <c r="FQ12">
        <v>6.3819340458207171E-7</v>
      </c>
      <c r="FR12">
        <v>6.3935308402339021E-7</v>
      </c>
      <c r="FS12">
        <v>6.3958070164743161E-7</v>
      </c>
      <c r="FT12">
        <v>6.3965382578045117E-7</v>
      </c>
      <c r="FU12">
        <v>6.3975269810702922E-7</v>
      </c>
      <c r="FV12">
        <v>6.3648841240031779E-7</v>
      </c>
      <c r="FW12">
        <v>6.3929786527773559E-7</v>
      </c>
      <c r="FX12">
        <v>6.3784290978328034E-7</v>
      </c>
      <c r="FY12">
        <v>6.3657383578091549E-7</v>
      </c>
      <c r="FZ12">
        <v>6.3816239180595792E-7</v>
      </c>
      <c r="GA12">
        <v>6.3662240613823169E-7</v>
      </c>
      <c r="GB12">
        <v>6.3803969589954917E-7</v>
      </c>
      <c r="GC12">
        <v>6.3870102509140749E-7</v>
      </c>
      <c r="GD12">
        <v>6.3654272710540335E-7</v>
      </c>
      <c r="GE12">
        <v>6.3743434143110725E-7</v>
      </c>
      <c r="GF12">
        <v>6.3779163726206427E-7</v>
      </c>
      <c r="GG12">
        <v>6.3889135135232272E-7</v>
      </c>
      <c r="GH12">
        <v>6.3659447331573856E-7</v>
      </c>
      <c r="GI12">
        <v>6.3794859369312785E-7</v>
      </c>
      <c r="GJ12">
        <v>6.369533039831052E-7</v>
      </c>
      <c r="GK12">
        <v>6.3762741191247212E-7</v>
      </c>
      <c r="GL12">
        <v>6.3834855791181419E-7</v>
      </c>
      <c r="GM12">
        <v>6.3735967118274742E-7</v>
      </c>
      <c r="GN12">
        <v>6.3793149920979564E-7</v>
      </c>
      <c r="GO12">
        <v>6.3664687224085113E-7</v>
      </c>
      <c r="GP12">
        <v>6.3714534923502102E-7</v>
      </c>
      <c r="GQ12">
        <v>6.3761294266843974E-7</v>
      </c>
      <c r="GR12">
        <v>6.3794392923215963E-7</v>
      </c>
    </row>
    <row r="13" spans="1:200" x14ac:dyDescent="0.25">
      <c r="A13">
        <v>6.2358737204601357E-6</v>
      </c>
      <c r="B13">
        <v>6.2294001313886778E-6</v>
      </c>
      <c r="C13">
        <v>6.2142556942168671E-6</v>
      </c>
      <c r="D13">
        <v>6.1911960256745478E-6</v>
      </c>
      <c r="E13">
        <v>6.1964433879750938E-6</v>
      </c>
      <c r="F13">
        <v>6.2126099961060586E-6</v>
      </c>
      <c r="G13">
        <v>6.1915339734260587E-6</v>
      </c>
      <c r="H13">
        <v>6.2036869373424139E-6</v>
      </c>
      <c r="I13">
        <v>6.2238108778529029E-6</v>
      </c>
      <c r="J13">
        <v>2.5264992765592692E-5</v>
      </c>
      <c r="K13">
        <v>7.2183784393183722E-6</v>
      </c>
      <c r="L13">
        <v>1.7496483937070843E-5</v>
      </c>
      <c r="M13">
        <v>8.2683756255467592E-6</v>
      </c>
      <c r="N13">
        <v>1.8162557048851799E-5</v>
      </c>
      <c r="O13">
        <v>2.4075269624204056E-5</v>
      </c>
      <c r="P13">
        <v>1.1446549362633037E-5</v>
      </c>
      <c r="Q13">
        <v>1.3970001523837512E-5</v>
      </c>
      <c r="R13">
        <v>2.1259614204050749E-5</v>
      </c>
      <c r="S13">
        <v>6.2203667739368848E-6</v>
      </c>
      <c r="T13">
        <v>1.3507821986074993E-5</v>
      </c>
      <c r="U13">
        <v>1.5674468989484908E-5</v>
      </c>
      <c r="V13">
        <v>1.9540477456624885E-5</v>
      </c>
      <c r="W13">
        <v>2.1655118813797246E-5</v>
      </c>
      <c r="X13">
        <v>1.6597439085603895E-5</v>
      </c>
      <c r="Y13">
        <v>1.2444210936077585E-5</v>
      </c>
      <c r="Z13">
        <v>1.9769735259446677E-5</v>
      </c>
      <c r="AA13">
        <v>1.2308754675052327E-5</v>
      </c>
      <c r="AB13">
        <v>9.970230554999855E-6</v>
      </c>
      <c r="AC13">
        <v>8.8167392561886113E-6</v>
      </c>
      <c r="AD13">
        <v>1.0362466440587435E-5</v>
      </c>
      <c r="AE13">
        <v>1.8709836737130287E-5</v>
      </c>
      <c r="AF13">
        <v>1.5901235430287488E-5</v>
      </c>
      <c r="AG13">
        <v>9.5406392623598697E-6</v>
      </c>
      <c r="AH13">
        <v>1.4133306096623536E-5</v>
      </c>
      <c r="AI13">
        <v>1.4666126770798525E-5</v>
      </c>
      <c r="AJ13">
        <v>1.2833070400575761E-5</v>
      </c>
      <c r="AK13">
        <v>1.4129892236120991E-5</v>
      </c>
      <c r="AL13">
        <v>9.5464060735178184E-6</v>
      </c>
      <c r="AM13">
        <v>1.6288252458102611E-5</v>
      </c>
      <c r="AN13">
        <v>9.8767515152451572E-6</v>
      </c>
      <c r="AO13">
        <v>1.7077988716527869E-5</v>
      </c>
      <c r="AP13">
        <v>1.640359067141851E-5</v>
      </c>
      <c r="AQ13">
        <v>1.0719364395840759E-5</v>
      </c>
      <c r="AR13">
        <v>1.6419380746629774E-5</v>
      </c>
      <c r="AS13">
        <v>1.2833296182869106E-5</v>
      </c>
      <c r="AT13">
        <v>1.3669663822023665E-5</v>
      </c>
      <c r="AU13">
        <v>1.0734706998821802E-5</v>
      </c>
      <c r="AV13">
        <v>1.5889517290274956E-5</v>
      </c>
      <c r="AW13">
        <v>1.1644206633740682E-5</v>
      </c>
      <c r="AX13">
        <v>1.2552893849598465E-5</v>
      </c>
      <c r="AY13">
        <v>1.5142527425493782E-5</v>
      </c>
      <c r="AZ13">
        <v>1.2912235010953439E-5</v>
      </c>
      <c r="BA13">
        <v>1.0875707413197495E-5</v>
      </c>
      <c r="BB13">
        <v>1.1818595246074833E-5</v>
      </c>
      <c r="BC13">
        <v>1.4608647673937183E-5</v>
      </c>
      <c r="BD13">
        <v>1.0750272593708758E-5</v>
      </c>
      <c r="BE13">
        <v>1.1849732461491639E-5</v>
      </c>
      <c r="BF13">
        <v>1.3856070894264132E-5</v>
      </c>
      <c r="BG13">
        <v>1.3017423259044389E-5</v>
      </c>
      <c r="BH13">
        <v>1.3771759540683699E-5</v>
      </c>
      <c r="BI13">
        <v>1.4974035818277842E-5</v>
      </c>
      <c r="BJ13">
        <v>1.3294877841648155E-5</v>
      </c>
      <c r="BK13">
        <v>1.3813786415705847E-5</v>
      </c>
      <c r="BL13">
        <v>1.1235314475645414E-5</v>
      </c>
      <c r="BM13">
        <v>1.322631210465756E-5</v>
      </c>
      <c r="BN13">
        <v>1.080824161049799E-5</v>
      </c>
      <c r="BO13">
        <v>1.2249583433460682E-5</v>
      </c>
      <c r="BP13">
        <v>1.1806543434740227E-5</v>
      </c>
      <c r="BQ13">
        <v>1.1136083983925132E-5</v>
      </c>
      <c r="BR13">
        <v>1.3646070223963229E-5</v>
      </c>
      <c r="BS13">
        <v>1.3535966212336192E-5</v>
      </c>
      <c r="BT13">
        <v>1.2117455734902755E-5</v>
      </c>
      <c r="BU13">
        <v>1.3723897326640178E-5</v>
      </c>
      <c r="BV13">
        <v>1.1456668832475874E-5</v>
      </c>
      <c r="BW13">
        <v>1.3648917440212208E-5</v>
      </c>
      <c r="BX13">
        <v>1.3029180927950788E-5</v>
      </c>
      <c r="BY13">
        <v>1.2517014190134806E-5</v>
      </c>
      <c r="BZ13">
        <v>1.155519055427761E-5</v>
      </c>
      <c r="CA13">
        <v>1.365071786745967E-5</v>
      </c>
      <c r="CB13">
        <v>1.3273920671194857E-5</v>
      </c>
      <c r="CC13">
        <v>1.3484455340997775E-5</v>
      </c>
      <c r="CD13">
        <v>1.2203239096542798E-5</v>
      </c>
      <c r="CE13">
        <v>1.179181687678252E-5</v>
      </c>
      <c r="CF13">
        <v>1.3520499816363486E-5</v>
      </c>
      <c r="CG13">
        <v>1.1602563588627512E-5</v>
      </c>
      <c r="CH13">
        <v>1.1828886013548264E-5</v>
      </c>
      <c r="CI13">
        <v>1.2418632845949803E-5</v>
      </c>
      <c r="CJ13">
        <v>1.1620373679243836E-5</v>
      </c>
      <c r="CK13">
        <v>1.3112126217803562E-5</v>
      </c>
      <c r="CL13">
        <v>1.215389085863541E-5</v>
      </c>
      <c r="CM13">
        <v>1.2524637040311926E-5</v>
      </c>
      <c r="CN13">
        <v>1.2121171038456496E-5</v>
      </c>
      <c r="CO13">
        <v>1.2582264110896679E-5</v>
      </c>
      <c r="CP13">
        <v>1.3099453616177401E-5</v>
      </c>
      <c r="CQ13">
        <v>1.265617084118305E-5</v>
      </c>
      <c r="CR13">
        <v>1.2857745479284036E-5</v>
      </c>
      <c r="CS13">
        <v>1.2113652633685362E-5</v>
      </c>
      <c r="CT13">
        <v>1.2536194341883596E-5</v>
      </c>
      <c r="CU13">
        <v>1.2969703544231037E-5</v>
      </c>
      <c r="CV13">
        <v>1.2662188838912244E-5</v>
      </c>
      <c r="CW13">
        <v>1.2486248913421684E-5</v>
      </c>
      <c r="CX13">
        <v>1.2847453555110906E-5</v>
      </c>
      <c r="CY13">
        <v>1.2914736946616317E-5</v>
      </c>
      <c r="CZ13">
        <v>1.2695726153871467E-5</v>
      </c>
      <c r="DA13">
        <v>1.256426335617141E-5</v>
      </c>
      <c r="DB13">
        <v>1.2894972467784026E-5</v>
      </c>
      <c r="DC13">
        <v>1.2822300955023981E-5</v>
      </c>
      <c r="DD13">
        <v>1.2565744422055123E-5</v>
      </c>
      <c r="DE13">
        <v>1.29111206215588E-5</v>
      </c>
      <c r="DF13">
        <v>1.2547607677153147E-5</v>
      </c>
      <c r="DG13">
        <v>1.2521708305042512E-5</v>
      </c>
      <c r="DH13">
        <v>1.2905614834072769E-5</v>
      </c>
      <c r="DI13">
        <v>1.2659836285480658E-5</v>
      </c>
      <c r="DJ13">
        <v>1.2613013821546202E-5</v>
      </c>
      <c r="DK13">
        <v>1.2576133190736548E-5</v>
      </c>
      <c r="DL13">
        <v>1.2907433665194699E-5</v>
      </c>
      <c r="DM13">
        <v>1.2614711377853471E-5</v>
      </c>
      <c r="DN13">
        <v>1.2793718292392682E-5</v>
      </c>
      <c r="DO13">
        <v>1.2531206052298302E-5</v>
      </c>
      <c r="DP13">
        <v>1.284433073403089E-5</v>
      </c>
      <c r="DQ13">
        <v>1.277146530309238E-5</v>
      </c>
      <c r="DR13">
        <v>1.2752650801860013E-5</v>
      </c>
      <c r="DS13">
        <v>1.2568917297777164E-5</v>
      </c>
      <c r="DT13">
        <v>1.2896419922440975E-5</v>
      </c>
      <c r="DU13">
        <v>1.2696496934074988E-5</v>
      </c>
      <c r="DV13">
        <v>1.2729031128932602E-5</v>
      </c>
      <c r="DW13">
        <v>1.2610603002839306E-5</v>
      </c>
      <c r="DX13">
        <v>1.2652055518025658E-5</v>
      </c>
      <c r="DY13">
        <v>1.2830079017553289E-5</v>
      </c>
      <c r="DZ13">
        <v>1.2843854795151024E-5</v>
      </c>
      <c r="EA13">
        <v>1.2686613771791668E-5</v>
      </c>
      <c r="EB13">
        <v>1.2883988676869359E-5</v>
      </c>
      <c r="EC13">
        <v>1.2657966770565227E-5</v>
      </c>
      <c r="ED13">
        <v>1.2752143723124838E-5</v>
      </c>
      <c r="EE13">
        <v>1.2875080418946965E-5</v>
      </c>
      <c r="EF13">
        <v>1.2719793859395307E-5</v>
      </c>
      <c r="EG13">
        <v>1.2611071204735838E-5</v>
      </c>
      <c r="EH13">
        <v>1.2669672055374201E-5</v>
      </c>
      <c r="EI13">
        <v>1.264594494234049E-5</v>
      </c>
      <c r="EJ13">
        <v>1.2836618838685976E-5</v>
      </c>
      <c r="EK13">
        <v>1.2791562639397944E-5</v>
      </c>
      <c r="EL13">
        <v>1.2745010396955421E-5</v>
      </c>
      <c r="EM13">
        <v>1.2827317260319999E-5</v>
      </c>
      <c r="EN13">
        <v>1.2758676220305915E-5</v>
      </c>
      <c r="EO13">
        <v>1.2862441920150034E-5</v>
      </c>
      <c r="EP13">
        <v>1.2778099600773064E-5</v>
      </c>
      <c r="EQ13">
        <v>1.2714453585342635E-5</v>
      </c>
      <c r="ER13">
        <v>1.2790669343939463E-5</v>
      </c>
      <c r="ES13">
        <v>1.2712231265268184E-5</v>
      </c>
      <c r="ET13">
        <v>1.2844366409643294E-5</v>
      </c>
      <c r="EU13">
        <v>1.2775399706739761E-5</v>
      </c>
      <c r="EV13">
        <v>1.2837675738490426E-5</v>
      </c>
      <c r="EW13">
        <v>1.2849715970064682E-5</v>
      </c>
      <c r="EX13">
        <v>1.2746740049156424E-5</v>
      </c>
      <c r="EY13">
        <v>1.2828842395667514E-5</v>
      </c>
      <c r="EZ13">
        <v>1.2798580911953887E-5</v>
      </c>
      <c r="FA13">
        <v>1.2714345810896158E-5</v>
      </c>
      <c r="FB13">
        <v>1.2753721118931183E-5</v>
      </c>
      <c r="FC13">
        <v>1.281063083910801E-5</v>
      </c>
      <c r="FD13">
        <v>1.276265396112868E-5</v>
      </c>
      <c r="FE13">
        <v>1.2823016335673065E-5</v>
      </c>
      <c r="FF13">
        <v>1.2779623780869659E-5</v>
      </c>
      <c r="FG13">
        <v>1.2721373567156059E-5</v>
      </c>
      <c r="FH13">
        <v>1.2790475874934405E-5</v>
      </c>
      <c r="FI13">
        <v>1.2736390181993928E-5</v>
      </c>
      <c r="FJ13">
        <v>1.2750227396489052E-5</v>
      </c>
      <c r="FK13">
        <v>1.2779815691667156E-5</v>
      </c>
      <c r="FL13">
        <v>1.2733334620286383E-5</v>
      </c>
      <c r="FM13">
        <v>1.280505441997546E-5</v>
      </c>
      <c r="FN13">
        <v>1.2820855566661072E-5</v>
      </c>
      <c r="FO13">
        <v>1.2782289854509513E-5</v>
      </c>
      <c r="FP13">
        <v>1.2782236976385791E-5</v>
      </c>
      <c r="FQ13">
        <v>1.2788380267655333E-5</v>
      </c>
      <c r="FR13">
        <v>1.2809667587788822E-5</v>
      </c>
      <c r="FS13">
        <v>1.2813883384039268E-5</v>
      </c>
      <c r="FT13">
        <v>1.2815253500006378E-5</v>
      </c>
      <c r="FU13">
        <v>1.2817055554970042E-5</v>
      </c>
      <c r="FV13">
        <v>1.2756880673523889E-5</v>
      </c>
      <c r="FW13">
        <v>1.2808687391536371E-5</v>
      </c>
      <c r="FX13">
        <v>1.2781852764155799E-5</v>
      </c>
      <c r="FY13">
        <v>1.2758432908439137E-5</v>
      </c>
      <c r="FZ13">
        <v>1.2787789128640018E-5</v>
      </c>
      <c r="GA13">
        <v>1.2759348951390669E-5</v>
      </c>
      <c r="GB13">
        <v>1.2785467976237599E-5</v>
      </c>
      <c r="GC13">
        <v>1.2797691250787951E-5</v>
      </c>
      <c r="GD13">
        <v>1.2757890835196727E-5</v>
      </c>
      <c r="GE13">
        <v>1.2774306749251979E-5</v>
      </c>
      <c r="GF13">
        <v>1.2780933845767158E-5</v>
      </c>
      <c r="GG13">
        <v>1.2801178044625552E-5</v>
      </c>
      <c r="GH13">
        <v>1.2758817957184317E-5</v>
      </c>
      <c r="GI13">
        <v>1.2783809848819335E-5</v>
      </c>
      <c r="GJ13">
        <v>1.2765432416232408E-5</v>
      </c>
      <c r="GK13">
        <v>1.2777868178533076E-5</v>
      </c>
      <c r="GL13">
        <v>1.2791201338739229E-5</v>
      </c>
      <c r="GM13">
        <v>1.2772938541407154E-5</v>
      </c>
      <c r="GN13">
        <v>1.278348200658616E-5</v>
      </c>
      <c r="GO13">
        <v>1.2759806657101146E-5</v>
      </c>
      <c r="GP13">
        <v>1.2768977666385944E-5</v>
      </c>
      <c r="GQ13">
        <v>1.2777625094501073E-5</v>
      </c>
      <c r="GR13">
        <v>1.2783708575857783E-5</v>
      </c>
    </row>
    <row r="14" spans="1:200" x14ac:dyDescent="0.25">
      <c r="A14">
        <v>1.624613878600414E-5</v>
      </c>
      <c r="B14">
        <v>1.615282307434221E-5</v>
      </c>
      <c r="C14">
        <v>1.6083151010134293E-5</v>
      </c>
      <c r="D14">
        <v>1.602645524714829E-5</v>
      </c>
      <c r="E14">
        <v>1.6071982113622316E-5</v>
      </c>
      <c r="F14">
        <v>1.6078085074166327E-5</v>
      </c>
      <c r="G14">
        <v>1.5986793715648042E-5</v>
      </c>
      <c r="H14">
        <v>1.6076690547106879E-5</v>
      </c>
      <c r="I14">
        <v>1.6111206666744294E-5</v>
      </c>
      <c r="J14">
        <v>5.8150098291269455E-5</v>
      </c>
      <c r="K14">
        <v>1.8571882925097301E-5</v>
      </c>
      <c r="L14">
        <v>4.2355105033823155E-5</v>
      </c>
      <c r="M14">
        <v>2.1070509827677257E-5</v>
      </c>
      <c r="N14">
        <v>4.3563480667597226E-5</v>
      </c>
      <c r="O14">
        <v>5.6349715438463178E-5</v>
      </c>
      <c r="P14">
        <v>2.8433701671099394E-5</v>
      </c>
      <c r="Q14">
        <v>3.427073552880918E-5</v>
      </c>
      <c r="R14">
        <v>5.0343932619509318E-5</v>
      </c>
      <c r="S14">
        <v>1.6017388676824374E-5</v>
      </c>
      <c r="T14">
        <v>3.314569749126297E-5</v>
      </c>
      <c r="U14">
        <v>3.8099460213277611E-5</v>
      </c>
      <c r="V14">
        <v>4.657861310120716E-5</v>
      </c>
      <c r="W14">
        <v>5.1301086910129432E-5</v>
      </c>
      <c r="X14">
        <v>4.0158721723143682E-5</v>
      </c>
      <c r="Y14">
        <v>3.0758163736119761E-5</v>
      </c>
      <c r="Z14">
        <v>4.7256327274404913E-5</v>
      </c>
      <c r="AA14">
        <v>3.0450475034709663E-5</v>
      </c>
      <c r="AB14">
        <v>2.498857806609618E-5</v>
      </c>
      <c r="AC14">
        <v>2.2270059017809979E-5</v>
      </c>
      <c r="AD14">
        <v>2.601289937202218E-5</v>
      </c>
      <c r="AE14">
        <v>4.4744336454869103E-5</v>
      </c>
      <c r="AF14">
        <v>3.8717591949743124E-5</v>
      </c>
      <c r="AG14">
        <v>2.4002472894966707E-5</v>
      </c>
      <c r="AH14">
        <v>3.4610913845096054E-5</v>
      </c>
      <c r="AI14">
        <v>3.5830619949203092E-5</v>
      </c>
      <c r="AJ14">
        <v>3.1721861998179944E-5</v>
      </c>
      <c r="AK14">
        <v>3.4705373872951282E-5</v>
      </c>
      <c r="AL14">
        <v>2.4059555235887755E-5</v>
      </c>
      <c r="AM14">
        <v>3.9561179562869425E-5</v>
      </c>
      <c r="AN14">
        <v>2.4822812968710882E-5</v>
      </c>
      <c r="AO14">
        <v>4.1236230535103312E-5</v>
      </c>
      <c r="AP14">
        <v>3.9733492424057863E-5</v>
      </c>
      <c r="AQ14">
        <v>2.6782887715917304E-5</v>
      </c>
      <c r="AR14">
        <v>3.9836591586365876E-5</v>
      </c>
      <c r="AS14">
        <v>3.1705529180362841E-5</v>
      </c>
      <c r="AT14">
        <v>3.3605514124012495E-5</v>
      </c>
      <c r="AU14">
        <v>2.6866753355605444E-5</v>
      </c>
      <c r="AV14">
        <v>3.85841812262765E-5</v>
      </c>
      <c r="AW14">
        <v>2.8994806640423158E-5</v>
      </c>
      <c r="AX14">
        <v>3.1072002825768506E-5</v>
      </c>
      <c r="AY14">
        <v>3.6902281223180085E-5</v>
      </c>
      <c r="AZ14">
        <v>3.1913070462157923E-5</v>
      </c>
      <c r="BA14">
        <v>2.718443143862159E-5</v>
      </c>
      <c r="BB14">
        <v>2.9353860836923159E-5</v>
      </c>
      <c r="BC14">
        <v>3.5692378757982819E-5</v>
      </c>
      <c r="BD14">
        <v>2.6900566835385802E-5</v>
      </c>
      <c r="BE14">
        <v>2.9442470737521802E-5</v>
      </c>
      <c r="BF14">
        <v>3.4064925824579501E-5</v>
      </c>
      <c r="BG14">
        <v>3.2113312604505408E-5</v>
      </c>
      <c r="BH14">
        <v>3.3804463912187796E-5</v>
      </c>
      <c r="BI14">
        <v>3.6550024559009734E-5</v>
      </c>
      <c r="BJ14">
        <v>3.2750108341846409E-5</v>
      </c>
      <c r="BK14">
        <v>3.3944271364912053E-5</v>
      </c>
      <c r="BL14">
        <v>2.8026071752016247E-5</v>
      </c>
      <c r="BM14">
        <v>3.2579743674095193E-5</v>
      </c>
      <c r="BN14">
        <v>2.6996895656565207E-5</v>
      </c>
      <c r="BO14">
        <v>3.0375648471432676E-5</v>
      </c>
      <c r="BP14">
        <v>2.9358855117912056E-5</v>
      </c>
      <c r="BQ14">
        <v>2.7795387873256636E-5</v>
      </c>
      <c r="BR14">
        <v>3.3559566603184694E-5</v>
      </c>
      <c r="BS14">
        <v>3.3307638297649197E-5</v>
      </c>
      <c r="BT14">
        <v>3.0040160646992488E-5</v>
      </c>
      <c r="BU14">
        <v>3.3757279102335267E-5</v>
      </c>
      <c r="BV14">
        <v>2.8514005387901156E-5</v>
      </c>
      <c r="BW14">
        <v>3.3568608976012732E-5</v>
      </c>
      <c r="BX14">
        <v>3.2138676764186219E-5</v>
      </c>
      <c r="BY14">
        <v>3.0978369285767541E-5</v>
      </c>
      <c r="BZ14">
        <v>2.8742338784417363E-5</v>
      </c>
      <c r="CA14">
        <v>3.3591041222229105E-5</v>
      </c>
      <c r="CB14">
        <v>3.2707031209447472E-5</v>
      </c>
      <c r="CC14">
        <v>3.3209659168347781E-5</v>
      </c>
      <c r="CD14">
        <v>3.0257939628914324E-5</v>
      </c>
      <c r="CE14">
        <v>2.9313991492337267E-5</v>
      </c>
      <c r="CF14">
        <v>3.32614300246816E-5</v>
      </c>
      <c r="CG14">
        <v>2.8879235792904908E-5</v>
      </c>
      <c r="CH14">
        <v>2.9393683108925191E-5</v>
      </c>
      <c r="CI14">
        <v>3.0756674941517736E-5</v>
      </c>
      <c r="CJ14">
        <v>2.8919165979765999E-5</v>
      </c>
      <c r="CK14">
        <v>3.23587436522459E-5</v>
      </c>
      <c r="CL14">
        <v>3.0133977781274592E-5</v>
      </c>
      <c r="CM14">
        <v>3.1008072155983247E-5</v>
      </c>
      <c r="CN14">
        <v>3.0060775120436559E-5</v>
      </c>
      <c r="CO14">
        <v>3.1116400480800694E-5</v>
      </c>
      <c r="CP14">
        <v>3.23178196500333E-5</v>
      </c>
      <c r="CQ14">
        <v>3.1294472407507592E-5</v>
      </c>
      <c r="CR14">
        <v>3.1761861892922426E-5</v>
      </c>
      <c r="CS14">
        <v>3.0044655849541467E-5</v>
      </c>
      <c r="CT14">
        <v>3.1025716997040856E-5</v>
      </c>
      <c r="CU14">
        <v>3.2022664295400364E-5</v>
      </c>
      <c r="CV14">
        <v>3.1318515503606464E-5</v>
      </c>
      <c r="CW14">
        <v>3.091171868341595E-5</v>
      </c>
      <c r="CX14">
        <v>3.1728939566464668E-5</v>
      </c>
      <c r="CY14">
        <v>3.1895656723631705E-5</v>
      </c>
      <c r="CZ14">
        <v>3.1391513974392674E-5</v>
      </c>
      <c r="DA14">
        <v>3.1083398246781581E-5</v>
      </c>
      <c r="DB14">
        <v>3.1839305518243786E-5</v>
      </c>
      <c r="DC14">
        <v>3.1682865770324707E-5</v>
      </c>
      <c r="DD14">
        <v>3.1095001630270652E-5</v>
      </c>
      <c r="DE14">
        <v>3.1877122545002059E-5</v>
      </c>
      <c r="DF14">
        <v>3.105148571667982E-5</v>
      </c>
      <c r="DG14">
        <v>3.0987016388546051E-5</v>
      </c>
      <c r="DH14">
        <v>3.1863841349595404E-5</v>
      </c>
      <c r="DI14">
        <v>3.1302752895104117E-5</v>
      </c>
      <c r="DJ14">
        <v>3.1193584494504789E-5</v>
      </c>
      <c r="DK14">
        <v>3.1108112347166856E-5</v>
      </c>
      <c r="DL14">
        <v>3.1875002239839664E-5</v>
      </c>
      <c r="DM14">
        <v>3.1202308035502417E-5</v>
      </c>
      <c r="DN14">
        <v>3.1613850424238297E-5</v>
      </c>
      <c r="DO14">
        <v>3.1007588688247973E-5</v>
      </c>
      <c r="DP14">
        <v>3.1725370064549797E-5</v>
      </c>
      <c r="DQ14">
        <v>3.1562633642670282E-5</v>
      </c>
      <c r="DR14">
        <v>3.1515691574488972E-5</v>
      </c>
      <c r="DS14">
        <v>3.1097007393233788E-5</v>
      </c>
      <c r="DT14">
        <v>3.1848050385547619E-5</v>
      </c>
      <c r="DU14">
        <v>3.1389859291092363E-5</v>
      </c>
      <c r="DV14">
        <v>3.1464117760870929E-5</v>
      </c>
      <c r="DW14">
        <v>3.1192446397632789E-5</v>
      </c>
      <c r="DX14">
        <v>3.1285151864031783E-5</v>
      </c>
      <c r="DY14">
        <v>3.1694894772974733E-5</v>
      </c>
      <c r="DZ14">
        <v>3.1724502373361054E-5</v>
      </c>
      <c r="EA14">
        <v>3.1363612810430633E-5</v>
      </c>
      <c r="EB14">
        <v>3.1817834369849074E-5</v>
      </c>
      <c r="EC14">
        <v>3.1299057135620758E-5</v>
      </c>
      <c r="ED14">
        <v>3.1516287710632744E-5</v>
      </c>
      <c r="EE14">
        <v>3.1799327536369986E-5</v>
      </c>
      <c r="EF14">
        <v>3.1442140122205771E-5</v>
      </c>
      <c r="EG14">
        <v>3.1190750469854098E-5</v>
      </c>
      <c r="EH14">
        <v>3.1327251503162223E-5</v>
      </c>
      <c r="EI14">
        <v>3.1273155816640281E-5</v>
      </c>
      <c r="EJ14">
        <v>3.1709740806131402E-5</v>
      </c>
      <c r="EK14">
        <v>3.1605799052050092E-5</v>
      </c>
      <c r="EL14">
        <v>3.1499224650824037E-5</v>
      </c>
      <c r="EM14">
        <v>3.1687517419403571E-5</v>
      </c>
      <c r="EN14">
        <v>3.1530171312272044E-5</v>
      </c>
      <c r="EO14">
        <v>3.17677829053293E-5</v>
      </c>
      <c r="EP14">
        <v>3.1574451154829837E-5</v>
      </c>
      <c r="EQ14">
        <v>3.1429232440262764E-5</v>
      </c>
      <c r="ER14">
        <v>3.1604963332371777E-5</v>
      </c>
      <c r="ES14">
        <v>3.142525683341664E-5</v>
      </c>
      <c r="ET14">
        <v>3.1726384520122741E-5</v>
      </c>
      <c r="EU14">
        <v>3.1569135502233398E-5</v>
      </c>
      <c r="EV14">
        <v>3.1712566161089274E-5</v>
      </c>
      <c r="EW14">
        <v>3.1739174227932153E-5</v>
      </c>
      <c r="EX14">
        <v>3.150386844621464E-5</v>
      </c>
      <c r="EY14">
        <v>3.1691638793574777E-5</v>
      </c>
      <c r="EZ14">
        <v>3.1622479609359338E-5</v>
      </c>
      <c r="FA14">
        <v>3.1429083316873637E-5</v>
      </c>
      <c r="FB14">
        <v>3.1518579184984843E-5</v>
      </c>
      <c r="FC14">
        <v>3.1650810936182141E-5</v>
      </c>
      <c r="FD14">
        <v>3.1539892471036232E-5</v>
      </c>
      <c r="FE14">
        <v>3.1679117465749997E-5</v>
      </c>
      <c r="FF14">
        <v>3.1578003518973912E-5</v>
      </c>
      <c r="FG14">
        <v>3.1445333056886765E-5</v>
      </c>
      <c r="FH14">
        <v>3.1603928954404809E-5</v>
      </c>
      <c r="FI14">
        <v>3.1479386741125874E-5</v>
      </c>
      <c r="FJ14">
        <v>3.1510849286289029E-5</v>
      </c>
      <c r="FK14">
        <v>3.1579229857069736E-5</v>
      </c>
      <c r="FL14">
        <v>3.1472516452686375E-5</v>
      </c>
      <c r="FM14">
        <v>3.1636616997442558E-5</v>
      </c>
      <c r="FN14">
        <v>3.1673044367675142E-5</v>
      </c>
      <c r="FO14">
        <v>3.1585259348364118E-5</v>
      </c>
      <c r="FP14">
        <v>3.1584096704931051E-5</v>
      </c>
      <c r="FQ14">
        <v>3.1598250034701038E-5</v>
      </c>
      <c r="FR14">
        <v>3.1648005574603597E-5</v>
      </c>
      <c r="FS14">
        <v>3.165733346910234E-5</v>
      </c>
      <c r="FT14">
        <v>3.1660038946437301E-5</v>
      </c>
      <c r="FU14">
        <v>3.1664760754035471E-5</v>
      </c>
      <c r="FV14">
        <v>3.1526716394329414E-5</v>
      </c>
      <c r="FW14">
        <v>3.164484724670429E-5</v>
      </c>
      <c r="FX14">
        <v>3.1583849444797941E-5</v>
      </c>
      <c r="FY14">
        <v>3.1530248901252796E-5</v>
      </c>
      <c r="FZ14">
        <v>3.1596883786665074E-5</v>
      </c>
      <c r="GA14">
        <v>3.1532113686911971E-5</v>
      </c>
      <c r="GB14">
        <v>3.159217853048003E-5</v>
      </c>
      <c r="GC14">
        <v>3.1619830973739136E-5</v>
      </c>
      <c r="GD14">
        <v>3.1528375026303795E-5</v>
      </c>
      <c r="GE14">
        <v>3.1566364683265562E-5</v>
      </c>
      <c r="GF14">
        <v>3.1581596014394605E-5</v>
      </c>
      <c r="GG14">
        <v>3.1628268338122348E-5</v>
      </c>
      <c r="GH14">
        <v>3.1530777618086383E-5</v>
      </c>
      <c r="GI14">
        <v>3.1588186807958984E-5</v>
      </c>
      <c r="GJ14">
        <v>3.154618137396771E-5</v>
      </c>
      <c r="GK14">
        <v>3.1574600648084316E-5</v>
      </c>
      <c r="GL14">
        <v>3.1605013101610874E-5</v>
      </c>
      <c r="GM14">
        <v>3.1563277370204342E-5</v>
      </c>
      <c r="GN14">
        <v>3.1587287968677618E-5</v>
      </c>
      <c r="GO14">
        <v>3.1532974765850165E-5</v>
      </c>
      <c r="GP14">
        <v>3.1554363989649676E-5</v>
      </c>
      <c r="GQ14">
        <v>3.1573957584305081E-5</v>
      </c>
      <c r="GR14">
        <v>3.158814686620573E-5</v>
      </c>
    </row>
    <row r="15" spans="1:200" x14ac:dyDescent="0.25">
      <c r="A15">
        <v>1.4398641103629913E-6</v>
      </c>
      <c r="B15">
        <v>1.4405439751473333E-6</v>
      </c>
      <c r="C15">
        <v>1.438611008705931E-6</v>
      </c>
      <c r="D15">
        <v>1.4343926817080622E-6</v>
      </c>
      <c r="E15">
        <v>1.4340946522672987E-6</v>
      </c>
      <c r="F15">
        <v>1.4394201383348335E-6</v>
      </c>
      <c r="G15">
        <v>1.4362271020520196E-6</v>
      </c>
      <c r="H15">
        <v>1.4370476909366755E-6</v>
      </c>
      <c r="I15">
        <v>1.4404059774544287E-6</v>
      </c>
      <c r="J15">
        <v>4.2577654073582336E-6</v>
      </c>
      <c r="K15">
        <v>1.6298771288518152E-6</v>
      </c>
      <c r="L15">
        <v>3.3106586252895125E-6</v>
      </c>
      <c r="M15">
        <v>1.827746793544587E-6</v>
      </c>
      <c r="N15">
        <v>3.4090839465470042E-6</v>
      </c>
      <c r="O15">
        <v>4.1280886692085317E-6</v>
      </c>
      <c r="P15">
        <v>2.3875182490821813E-6</v>
      </c>
      <c r="Q15">
        <v>2.7946012945709931E-6</v>
      </c>
      <c r="R15">
        <v>3.8087624745844662E-6</v>
      </c>
      <c r="S15">
        <v>1.4438310302261927E-6</v>
      </c>
      <c r="T15">
        <v>2.7227719494624387E-6</v>
      </c>
      <c r="U15">
        <v>3.0531057644396463E-6</v>
      </c>
      <c r="V15">
        <v>3.5952084262525536E-6</v>
      </c>
      <c r="W15">
        <v>3.856925546896146E-6</v>
      </c>
      <c r="X15">
        <v>3.188914985947276E-6</v>
      </c>
      <c r="Y15">
        <v>2.5498772718716805E-6</v>
      </c>
      <c r="Z15">
        <v>3.6206873865856404E-6</v>
      </c>
      <c r="AA15">
        <v>2.5287186648147008E-6</v>
      </c>
      <c r="AB15">
        <v>2.1358596896169804E-6</v>
      </c>
      <c r="AC15">
        <v>1.9301294162418431E-6</v>
      </c>
      <c r="AD15">
        <v>2.1997506744378721E-6</v>
      </c>
      <c r="AE15">
        <v>3.4835830461582021E-6</v>
      </c>
      <c r="AF15">
        <v>3.0831809563151047E-6</v>
      </c>
      <c r="AG15">
        <v>2.0580186704890021E-6</v>
      </c>
      <c r="AH15">
        <v>2.8210382075726451E-6</v>
      </c>
      <c r="AI15">
        <v>2.9012078062495753E-6</v>
      </c>
      <c r="AJ15">
        <v>2.6135979629168986E-6</v>
      </c>
      <c r="AK15">
        <v>2.8168100552822034E-6</v>
      </c>
      <c r="AL15">
        <v>2.0587857757596444E-6</v>
      </c>
      <c r="AM15">
        <v>3.1409815734283535E-6</v>
      </c>
      <c r="AN15">
        <v>2.1170245176254802E-6</v>
      </c>
      <c r="AO15">
        <v>3.2564745577634863E-6</v>
      </c>
      <c r="AP15">
        <v>3.159883604968726E-6</v>
      </c>
      <c r="AQ15">
        <v>2.2628102574330134E-6</v>
      </c>
      <c r="AR15">
        <v>3.1608988254328063E-6</v>
      </c>
      <c r="AS15">
        <v>2.6129256283650917E-6</v>
      </c>
      <c r="AT15">
        <v>2.7459292323924164E-6</v>
      </c>
      <c r="AU15">
        <v>2.2648756704971462E-6</v>
      </c>
      <c r="AV15">
        <v>3.0843810686141086E-6</v>
      </c>
      <c r="AW15">
        <v>2.4173989202430364E-6</v>
      </c>
      <c r="AX15">
        <v>2.5669862013246084E-6</v>
      </c>
      <c r="AY15">
        <v>2.9734235954500976E-6</v>
      </c>
      <c r="AZ15">
        <v>2.6247206359482263E-6</v>
      </c>
      <c r="BA15">
        <v>2.2882200069585892E-6</v>
      </c>
      <c r="BB15">
        <v>2.4476231734329141E-6</v>
      </c>
      <c r="BC15">
        <v>2.8924930763803247E-6</v>
      </c>
      <c r="BD15">
        <v>2.2672642675240686E-6</v>
      </c>
      <c r="BE15">
        <v>2.4518744755252934E-6</v>
      </c>
      <c r="BF15">
        <v>2.7743992902976243E-6</v>
      </c>
      <c r="BG15">
        <v>2.6427361945263572E-6</v>
      </c>
      <c r="BH15">
        <v>2.7629131524680074E-6</v>
      </c>
      <c r="BI15">
        <v>2.9477131476935253E-6</v>
      </c>
      <c r="BJ15">
        <v>2.6869471218170541E-6</v>
      </c>
      <c r="BK15">
        <v>2.7682218409303895E-6</v>
      </c>
      <c r="BL15">
        <v>2.3493576543406803E-6</v>
      </c>
      <c r="BM15">
        <v>2.6765325662500427E-6</v>
      </c>
      <c r="BN15">
        <v>2.2779807479439536E-6</v>
      </c>
      <c r="BO15">
        <v>2.5176437685606788E-6</v>
      </c>
      <c r="BP15">
        <v>2.4444626470132901E-6</v>
      </c>
      <c r="BQ15">
        <v>2.3325779539640081E-6</v>
      </c>
      <c r="BR15">
        <v>2.7418881897014879E-6</v>
      </c>
      <c r="BS15">
        <v>2.7247991699626898E-6</v>
      </c>
      <c r="BT15">
        <v>2.4967519974866575E-6</v>
      </c>
      <c r="BU15">
        <v>2.7537337695088038E-6</v>
      </c>
      <c r="BV15">
        <v>2.3870951083821055E-6</v>
      </c>
      <c r="BW15">
        <v>2.7426270115864823E-6</v>
      </c>
      <c r="BX15">
        <v>2.6444233465838164E-6</v>
      </c>
      <c r="BY15">
        <v>2.5616417784814242E-6</v>
      </c>
      <c r="BZ15">
        <v>2.4034890113214088E-6</v>
      </c>
      <c r="CA15">
        <v>2.7422675756004068E-6</v>
      </c>
      <c r="CB15">
        <v>2.683285617485286E-6</v>
      </c>
      <c r="CC15">
        <v>2.7161954288572709E-6</v>
      </c>
      <c r="CD15">
        <v>2.5103763864183075E-6</v>
      </c>
      <c r="CE15">
        <v>2.442331560534388E-6</v>
      </c>
      <c r="CF15">
        <v>2.7226265071594697E-6</v>
      </c>
      <c r="CG15">
        <v>2.4106573629417115E-6</v>
      </c>
      <c r="CH15">
        <v>2.4486425278549937E-6</v>
      </c>
      <c r="CI15">
        <v>2.545338089416423E-6</v>
      </c>
      <c r="CJ15">
        <v>2.4138096801793711E-6</v>
      </c>
      <c r="CK15">
        <v>2.6570605655791219E-6</v>
      </c>
      <c r="CL15">
        <v>2.502505822246592E-6</v>
      </c>
      <c r="CM15">
        <v>2.5625102122060346E-6</v>
      </c>
      <c r="CN15">
        <v>2.4970355933583485E-6</v>
      </c>
      <c r="CO15">
        <v>2.5723607110423385E-6</v>
      </c>
      <c r="CP15">
        <v>2.6553941448426643E-6</v>
      </c>
      <c r="CQ15">
        <v>2.5841778874290418E-6</v>
      </c>
      <c r="CR15">
        <v>2.6165692973292446E-6</v>
      </c>
      <c r="CS15">
        <v>2.4957333856707455E-6</v>
      </c>
      <c r="CT15">
        <v>2.5645146552694307E-6</v>
      </c>
      <c r="CU15">
        <v>2.6344225659561504E-6</v>
      </c>
      <c r="CV15">
        <v>2.584974714698442E-6</v>
      </c>
      <c r="CW15">
        <v>2.5564486710518874E-6</v>
      </c>
      <c r="CX15">
        <v>2.6150786559746058E-6</v>
      </c>
      <c r="CY15">
        <v>2.6256709450895331E-6</v>
      </c>
      <c r="CZ15">
        <v>2.5904073255888543E-6</v>
      </c>
      <c r="DA15">
        <v>2.5692894577536114E-6</v>
      </c>
      <c r="DB15">
        <v>2.6228240105636803E-6</v>
      </c>
      <c r="DC15">
        <v>2.6108231750005505E-6</v>
      </c>
      <c r="DD15">
        <v>2.5693437861046212E-6</v>
      </c>
      <c r="DE15">
        <v>2.6253892134777131E-6</v>
      </c>
      <c r="DF15">
        <v>2.5665258642399159E-6</v>
      </c>
      <c r="DG15">
        <v>2.5624094597003204E-6</v>
      </c>
      <c r="DH15">
        <v>2.6245193710061038E-6</v>
      </c>
      <c r="DI15">
        <v>2.5848267481075116E-6</v>
      </c>
      <c r="DJ15">
        <v>2.5772412878527022E-6</v>
      </c>
      <c r="DK15">
        <v>2.5712687956778384E-6</v>
      </c>
      <c r="DL15">
        <v>2.624628661227795E-6</v>
      </c>
      <c r="DM15">
        <v>2.5774028637431096E-6</v>
      </c>
      <c r="DN15">
        <v>2.6063542598207088E-6</v>
      </c>
      <c r="DO15">
        <v>2.5639700927075468E-6</v>
      </c>
      <c r="DP15">
        <v>2.6146000577239273E-6</v>
      </c>
      <c r="DQ15">
        <v>2.6027630414862587E-6</v>
      </c>
      <c r="DR15">
        <v>2.599811558897311E-6</v>
      </c>
      <c r="DS15">
        <v>2.5699743122810844E-6</v>
      </c>
      <c r="DT15">
        <v>2.6229049334640427E-6</v>
      </c>
      <c r="DU15">
        <v>2.59067823298876E-6</v>
      </c>
      <c r="DV15">
        <v>2.5959385605026862E-6</v>
      </c>
      <c r="DW15">
        <v>2.5768169219010808E-6</v>
      </c>
      <c r="DX15">
        <v>2.5835257611242268E-6</v>
      </c>
      <c r="DY15">
        <v>2.612243398235943E-6</v>
      </c>
      <c r="DZ15">
        <v>2.6145403081625531E-6</v>
      </c>
      <c r="EA15">
        <v>2.5891418513082584E-6</v>
      </c>
      <c r="EB15">
        <v>2.6209247901511468E-6</v>
      </c>
      <c r="EC15">
        <v>2.5844837139206961E-6</v>
      </c>
      <c r="ED15">
        <v>2.5997060912388557E-6</v>
      </c>
      <c r="EE15">
        <v>2.6194437939416738E-6</v>
      </c>
      <c r="EF15">
        <v>2.5944495353432452E-6</v>
      </c>
      <c r="EG15">
        <v>2.5769061624645836E-6</v>
      </c>
      <c r="EH15">
        <v>2.5863480606805105E-6</v>
      </c>
      <c r="EI15">
        <v>2.5825049725575028E-6</v>
      </c>
      <c r="EJ15">
        <v>2.613305873488257E-6</v>
      </c>
      <c r="EK15">
        <v>2.6060777348044236E-6</v>
      </c>
      <c r="EL15">
        <v>2.5985425685233042E-6</v>
      </c>
      <c r="EM15">
        <v>2.6118281775694782E-6</v>
      </c>
      <c r="EN15">
        <v>2.6007543233677429E-6</v>
      </c>
      <c r="EO15">
        <v>2.6174775635541247E-6</v>
      </c>
      <c r="EP15">
        <v>2.6038993612398953E-6</v>
      </c>
      <c r="EQ15">
        <v>2.5936142981429461E-6</v>
      </c>
      <c r="ER15">
        <v>2.605890598874774E-6</v>
      </c>
      <c r="ES15">
        <v>2.5932081575233807E-6</v>
      </c>
      <c r="ET15">
        <v>2.6145810789522735E-6</v>
      </c>
      <c r="EU15">
        <v>2.6034530802617385E-6</v>
      </c>
      <c r="EV15">
        <v>2.6134660576280746E-6</v>
      </c>
      <c r="EW15">
        <v>2.615425940759191E-6</v>
      </c>
      <c r="EX15">
        <v>2.5988020405241209E-6</v>
      </c>
      <c r="EY15">
        <v>2.6120628867338331E-6</v>
      </c>
      <c r="EZ15">
        <v>2.6071719986250816E-6</v>
      </c>
      <c r="FA15">
        <v>2.5935905981339909E-6</v>
      </c>
      <c r="FB15">
        <v>2.5999608856091458E-6</v>
      </c>
      <c r="FC15">
        <v>2.6091011816504511E-6</v>
      </c>
      <c r="FD15">
        <v>2.6013807844507464E-6</v>
      </c>
      <c r="FE15">
        <v>2.6110970239029115E-6</v>
      </c>
      <c r="FF15">
        <v>2.6041459819421387E-6</v>
      </c>
      <c r="FG15">
        <v>2.5947140562152616E-6</v>
      </c>
      <c r="FH15">
        <v>2.605863588176697E-6</v>
      </c>
      <c r="FI15">
        <v>2.5971502101463981E-6</v>
      </c>
      <c r="FJ15">
        <v>2.599399978608011E-6</v>
      </c>
      <c r="FK15">
        <v>2.6041487053783075E-6</v>
      </c>
      <c r="FL15">
        <v>2.5966514235106259E-6</v>
      </c>
      <c r="FM15">
        <v>2.6082350271618074E-6</v>
      </c>
      <c r="FN15">
        <v>2.6107782185470935E-6</v>
      </c>
      <c r="FO15">
        <v>2.6045430806951259E-6</v>
      </c>
      <c r="FP15">
        <v>2.6045608153496292E-6</v>
      </c>
      <c r="FQ15">
        <v>2.6055457114285091E-6</v>
      </c>
      <c r="FR15">
        <v>2.6089639924490873E-6</v>
      </c>
      <c r="FS15">
        <v>2.6096474734669897E-6</v>
      </c>
      <c r="FT15">
        <v>2.6098831317703262E-6</v>
      </c>
      <c r="FU15">
        <v>2.6101559642733426E-6</v>
      </c>
      <c r="FV15">
        <v>2.600449604297935E-6</v>
      </c>
      <c r="FW15">
        <v>2.6088252829215489E-6</v>
      </c>
      <c r="FX15">
        <v>2.6044874679459183E-6</v>
      </c>
      <c r="FY15">
        <v>2.6007039974009277E-6</v>
      </c>
      <c r="FZ15">
        <v>2.6054569891283323E-6</v>
      </c>
      <c r="GA15">
        <v>2.6008578186933113E-6</v>
      </c>
      <c r="GB15">
        <v>2.6050689407732579E-6</v>
      </c>
      <c r="GC15">
        <v>2.6070476201225425E-6</v>
      </c>
      <c r="GD15">
        <v>2.6006323610776929E-6</v>
      </c>
      <c r="GE15">
        <v>2.6032731018105939E-6</v>
      </c>
      <c r="GF15">
        <v>2.6043382915165633E-6</v>
      </c>
      <c r="GG15">
        <v>2.6075997599090784E-6</v>
      </c>
      <c r="GH15">
        <v>2.6007773252352739E-6</v>
      </c>
      <c r="GI15">
        <v>2.6048060168188732E-6</v>
      </c>
      <c r="GJ15">
        <v>2.6018373726315768E-6</v>
      </c>
      <c r="GK15">
        <v>2.6038485838374523E-6</v>
      </c>
      <c r="GL15">
        <v>2.6059985331973826E-6</v>
      </c>
      <c r="GM15">
        <v>2.6030533311830471E-6</v>
      </c>
      <c r="GN15">
        <v>2.6047574210511719E-6</v>
      </c>
      <c r="GO15">
        <v>2.6009374639638189E-6</v>
      </c>
      <c r="GP15">
        <v>2.6024090432872062E-6</v>
      </c>
      <c r="GQ15">
        <v>2.6038072553336328E-6</v>
      </c>
      <c r="GR15">
        <v>2.604785652286935E-6</v>
      </c>
    </row>
    <row r="16" spans="1:200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1</v>
      </c>
      <c r="DC16">
        <v>1</v>
      </c>
      <c r="DD16">
        <v>1</v>
      </c>
      <c r="DE16">
        <v>1</v>
      </c>
      <c r="DF16">
        <v>1</v>
      </c>
      <c r="DG16">
        <v>1</v>
      </c>
      <c r="DH16">
        <v>1</v>
      </c>
      <c r="DI16">
        <v>1</v>
      </c>
      <c r="DJ16">
        <v>1</v>
      </c>
      <c r="DK16">
        <v>1</v>
      </c>
      <c r="DL16">
        <v>1</v>
      </c>
      <c r="DM16">
        <v>1</v>
      </c>
      <c r="DN16">
        <v>1</v>
      </c>
      <c r="DO16">
        <v>1</v>
      </c>
      <c r="DP16">
        <v>1</v>
      </c>
      <c r="DQ16">
        <v>1</v>
      </c>
      <c r="DR16">
        <v>1</v>
      </c>
      <c r="DS16">
        <v>1</v>
      </c>
      <c r="DT16">
        <v>1</v>
      </c>
      <c r="DU16">
        <v>1</v>
      </c>
      <c r="DV16">
        <v>1</v>
      </c>
      <c r="DW16">
        <v>1</v>
      </c>
      <c r="DX16">
        <v>1</v>
      </c>
      <c r="DY16">
        <v>1</v>
      </c>
      <c r="DZ16">
        <v>1</v>
      </c>
      <c r="EA16">
        <v>1</v>
      </c>
      <c r="EB16">
        <v>1</v>
      </c>
      <c r="EC16">
        <v>1</v>
      </c>
      <c r="ED16">
        <v>1</v>
      </c>
      <c r="EE16">
        <v>1</v>
      </c>
      <c r="EF16">
        <v>1</v>
      </c>
      <c r="EG16">
        <v>1</v>
      </c>
      <c r="EH16">
        <v>1</v>
      </c>
      <c r="EI16">
        <v>1</v>
      </c>
      <c r="EJ16">
        <v>1</v>
      </c>
      <c r="EK16">
        <v>1</v>
      </c>
      <c r="EL16">
        <v>1</v>
      </c>
      <c r="EM16">
        <v>1</v>
      </c>
      <c r="EN16">
        <v>1</v>
      </c>
      <c r="EO16">
        <v>1</v>
      </c>
      <c r="EP16">
        <v>1</v>
      </c>
      <c r="EQ16">
        <v>1</v>
      </c>
      <c r="ER16">
        <v>1</v>
      </c>
      <c r="ES16">
        <v>1</v>
      </c>
      <c r="ET16">
        <v>1</v>
      </c>
      <c r="EU16">
        <v>1</v>
      </c>
      <c r="EV16">
        <v>1</v>
      </c>
      <c r="EW16">
        <v>1</v>
      </c>
      <c r="EX16">
        <v>1</v>
      </c>
      <c r="EY16">
        <v>1</v>
      </c>
      <c r="EZ16">
        <v>1</v>
      </c>
      <c r="FA16">
        <v>1</v>
      </c>
      <c r="FB16">
        <v>1</v>
      </c>
      <c r="FC16">
        <v>1</v>
      </c>
      <c r="FD16">
        <v>1</v>
      </c>
      <c r="FE16">
        <v>1</v>
      </c>
      <c r="FF16">
        <v>1</v>
      </c>
      <c r="FG16">
        <v>1</v>
      </c>
      <c r="FH16">
        <v>1</v>
      </c>
      <c r="FI16">
        <v>1</v>
      </c>
      <c r="FJ16">
        <v>1</v>
      </c>
      <c r="FK16">
        <v>1</v>
      </c>
      <c r="FL16">
        <v>1</v>
      </c>
      <c r="FM16">
        <v>1</v>
      </c>
      <c r="FN16">
        <v>1</v>
      </c>
      <c r="FO16">
        <v>1</v>
      </c>
      <c r="FP16">
        <v>1</v>
      </c>
      <c r="FQ16">
        <v>1</v>
      </c>
      <c r="FR16">
        <v>1</v>
      </c>
      <c r="FS16">
        <v>1</v>
      </c>
      <c r="FT16">
        <v>1</v>
      </c>
      <c r="FU16">
        <v>1</v>
      </c>
      <c r="FV16">
        <v>1</v>
      </c>
      <c r="FW16">
        <v>1</v>
      </c>
      <c r="FX16">
        <v>1</v>
      </c>
      <c r="FY16">
        <v>1</v>
      </c>
      <c r="FZ16">
        <v>1</v>
      </c>
      <c r="GA16">
        <v>1</v>
      </c>
      <c r="GB16">
        <v>1</v>
      </c>
      <c r="GC16">
        <v>1</v>
      </c>
      <c r="GD16">
        <v>1</v>
      </c>
      <c r="GE16">
        <v>1</v>
      </c>
      <c r="GF16">
        <v>1</v>
      </c>
      <c r="GG16">
        <v>1</v>
      </c>
      <c r="GH16">
        <v>1</v>
      </c>
      <c r="GI16">
        <v>1</v>
      </c>
      <c r="GJ16">
        <v>1</v>
      </c>
      <c r="GK16">
        <v>1</v>
      </c>
      <c r="GL16">
        <v>1</v>
      </c>
      <c r="GM16">
        <v>1</v>
      </c>
      <c r="GN16">
        <v>1</v>
      </c>
      <c r="GO16">
        <v>1</v>
      </c>
      <c r="GP16">
        <v>1</v>
      </c>
      <c r="GQ16">
        <v>1</v>
      </c>
      <c r="GR16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6"/>
  <sheetViews>
    <sheetView workbookViewId="0">
      <selection activeCell="A2" sqref="A2:O16"/>
    </sheetView>
  </sheetViews>
  <sheetFormatPr defaultRowHeight="15" x14ac:dyDescent="0.25"/>
  <sheetData>
    <row r="1" spans="1:15" x14ac:dyDescent="0.25">
      <c r="A1" t="s">
        <v>8</v>
      </c>
    </row>
    <row r="2" spans="1:15" x14ac:dyDescent="0.25">
      <c r="A2">
        <f t="array" ref="A2:O16">MMULT('Matrix (R)^t'!$A$2:$GR$16,'Matrix (R)'!$B$2:$P$201)</f>
        <v>2.0215117025657596</v>
      </c>
      <c r="B2">
        <v>1.4903771796832624E-3</v>
      </c>
      <c r="C2">
        <v>5.1809885017594661E-4</v>
      </c>
      <c r="D2">
        <v>2.0784500591767858E-3</v>
      </c>
      <c r="E2">
        <v>5.469116819604123E-5</v>
      </c>
      <c r="F2">
        <v>2.4308431108707915E-3</v>
      </c>
      <c r="G2">
        <v>1.1494182430974692E-4</v>
      </c>
      <c r="H2">
        <v>5.0255768509808339E-3</v>
      </c>
      <c r="I2">
        <v>1.9680920772726087E-3</v>
      </c>
      <c r="J2">
        <v>8.1799746559035465E-5</v>
      </c>
      <c r="K2">
        <v>1.3120742326877242E-5</v>
      </c>
      <c r="L2">
        <v>2.6062441600253954E-4</v>
      </c>
      <c r="M2">
        <v>6.3966245084032562E-4</v>
      </c>
      <c r="N2">
        <v>5.2100755258585882E-5</v>
      </c>
      <c r="O2">
        <v>19.28263563584753</v>
      </c>
    </row>
    <row r="3" spans="1:15" x14ac:dyDescent="0.25">
      <c r="A3">
        <v>1.4903771796832624E-3</v>
      </c>
      <c r="B3">
        <v>1.1499924874483728E-6</v>
      </c>
      <c r="C3">
        <v>4.0737350558699276E-7</v>
      </c>
      <c r="D3">
        <v>1.5644193289432604E-6</v>
      </c>
      <c r="E3">
        <v>4.0582837056496394E-8</v>
      </c>
      <c r="F3">
        <v>1.9027882196351711E-6</v>
      </c>
      <c r="G3">
        <v>8.9675080087856891E-8</v>
      </c>
      <c r="H3">
        <v>3.9877960699745599E-6</v>
      </c>
      <c r="I3">
        <v>1.5313870662527692E-6</v>
      </c>
      <c r="J3">
        <v>6.4259265675842362E-8</v>
      </c>
      <c r="K3">
        <v>9.8280543961068177E-9</v>
      </c>
      <c r="L3">
        <v>1.9608217322455721E-7</v>
      </c>
      <c r="M3">
        <v>4.8296478030068654E-7</v>
      </c>
      <c r="N3">
        <v>3.9595920949051052E-8</v>
      </c>
      <c r="O3">
        <v>1.5103143024261577E-2</v>
      </c>
    </row>
    <row r="4" spans="1:15" x14ac:dyDescent="0.25">
      <c r="A4">
        <v>5.1809885017594661E-4</v>
      </c>
      <c r="B4">
        <v>4.0737350558699276E-7</v>
      </c>
      <c r="C4">
        <v>1.4555108641078782E-7</v>
      </c>
      <c r="D4">
        <v>5.4838801759306278E-7</v>
      </c>
      <c r="E4">
        <v>1.4144141326004258E-8</v>
      </c>
      <c r="F4">
        <v>6.7842163666253632E-7</v>
      </c>
      <c r="G4">
        <v>3.1924365342052593E-8</v>
      </c>
      <c r="H4">
        <v>1.4310982277851127E-6</v>
      </c>
      <c r="I4">
        <v>5.4451512556985164E-7</v>
      </c>
      <c r="J4">
        <v>2.2949368618418835E-8</v>
      </c>
      <c r="K4">
        <v>3.438320584578184E-9</v>
      </c>
      <c r="L4">
        <v>6.8721936951569258E-8</v>
      </c>
      <c r="M4">
        <v>1.6951534913904423E-7</v>
      </c>
      <c r="N4">
        <v>1.3935484449951575E-8</v>
      </c>
      <c r="O4">
        <v>5.3927002960301529E-3</v>
      </c>
    </row>
    <row r="5" spans="1:15" x14ac:dyDescent="0.25">
      <c r="A5">
        <v>2.0784500591767858E-3</v>
      </c>
      <c r="B5">
        <v>1.5644193289432604E-6</v>
      </c>
      <c r="C5">
        <v>5.4838801759306278E-7</v>
      </c>
      <c r="D5">
        <v>2.1573491692576374E-6</v>
      </c>
      <c r="E5">
        <v>5.6398492289008434E-8</v>
      </c>
      <c r="F5">
        <v>2.5679105824041961E-6</v>
      </c>
      <c r="G5">
        <v>1.212453956788049E-7</v>
      </c>
      <c r="H5">
        <v>5.3404905659722883E-6</v>
      </c>
      <c r="I5">
        <v>2.0735866914874086E-6</v>
      </c>
      <c r="J5">
        <v>8.6547440402165389E-8</v>
      </c>
      <c r="K5">
        <v>1.3588706608740254E-8</v>
      </c>
      <c r="L5">
        <v>2.7046366081625922E-7</v>
      </c>
      <c r="M5">
        <v>6.6488453389424899E-7</v>
      </c>
      <c r="N5">
        <v>5.4316440054843778E-8</v>
      </c>
      <c r="O5">
        <v>2.036759727838296E-2</v>
      </c>
    </row>
    <row r="6" spans="1:15" x14ac:dyDescent="0.25">
      <c r="A6">
        <v>5.469116819604123E-5</v>
      </c>
      <c r="B6">
        <v>4.0582837056496394E-8</v>
      </c>
      <c r="C6">
        <v>1.4144141326004258E-8</v>
      </c>
      <c r="D6">
        <v>5.6398492289008434E-8</v>
      </c>
      <c r="E6">
        <v>1.4810194414337655E-9</v>
      </c>
      <c r="F6">
        <v>6.6322133287303751E-8</v>
      </c>
      <c r="G6">
        <v>3.1346107030816262E-9</v>
      </c>
      <c r="H6">
        <v>1.3736533151581275E-7</v>
      </c>
      <c r="I6">
        <v>5.3652898563806701E-8</v>
      </c>
      <c r="J6">
        <v>2.2328662401658941E-9</v>
      </c>
      <c r="K6">
        <v>3.5578390629423968E-10</v>
      </c>
      <c r="L6">
        <v>7.0715711596544676E-9</v>
      </c>
      <c r="M6">
        <v>1.7364841726454442E-8</v>
      </c>
      <c r="N6">
        <v>1.4156848004096166E-9</v>
      </c>
      <c r="O6">
        <v>5.2605468303182617E-4</v>
      </c>
    </row>
    <row r="7" spans="1:15" x14ac:dyDescent="0.25">
      <c r="A7">
        <v>2.4308431108707915E-3</v>
      </c>
      <c r="B7">
        <v>1.9027882196351711E-6</v>
      </c>
      <c r="C7">
        <v>6.7842163666253632E-7</v>
      </c>
      <c r="D7">
        <v>2.5679105824041961E-6</v>
      </c>
      <c r="E7">
        <v>6.6322133287303751E-8</v>
      </c>
      <c r="F7">
        <v>3.1638072503667309E-6</v>
      </c>
      <c r="G7">
        <v>1.4893402132748472E-7</v>
      </c>
      <c r="H7">
        <v>6.6631105178400743E-6</v>
      </c>
      <c r="I7">
        <v>2.5410354484208743E-6</v>
      </c>
      <c r="J7">
        <v>1.0697973061575942E-7</v>
      </c>
      <c r="K7">
        <v>1.6107961915043643E-8</v>
      </c>
      <c r="L7">
        <v>3.2181446104656466E-7</v>
      </c>
      <c r="M7">
        <v>7.9353769671188424E-7</v>
      </c>
      <c r="N7">
        <v>6.5192939751207022E-8</v>
      </c>
      <c r="O7">
        <v>2.5137843184561252E-2</v>
      </c>
    </row>
    <row r="8" spans="1:15" x14ac:dyDescent="0.25">
      <c r="A8">
        <v>1.1494182430974692E-4</v>
      </c>
      <c r="B8">
        <v>8.9675080087856891E-8</v>
      </c>
      <c r="C8">
        <v>3.1924365342052593E-8</v>
      </c>
      <c r="D8">
        <v>1.212453956788049E-7</v>
      </c>
      <c r="E8">
        <v>3.1346107030816262E-9</v>
      </c>
      <c r="F8">
        <v>1.4893402132748472E-7</v>
      </c>
      <c r="G8">
        <v>7.0128620052255079E-9</v>
      </c>
      <c r="H8">
        <v>3.1329996564862121E-7</v>
      </c>
      <c r="I8">
        <v>1.196752869858072E-7</v>
      </c>
      <c r="J8">
        <v>5.0345120220363554E-9</v>
      </c>
      <c r="K8">
        <v>7.6081121166205752E-10</v>
      </c>
      <c r="L8">
        <v>1.5195142638398433E-8</v>
      </c>
      <c r="M8">
        <v>3.7458941772108988E-8</v>
      </c>
      <c r="N8">
        <v>3.075954647166323E-9</v>
      </c>
      <c r="O8">
        <v>1.183031611542989E-3</v>
      </c>
    </row>
    <row r="9" spans="1:15" x14ac:dyDescent="0.25">
      <c r="A9">
        <v>5.0255768509808339E-3</v>
      </c>
      <c r="B9">
        <v>3.9877960699745599E-6</v>
      </c>
      <c r="C9">
        <v>1.4310982277851127E-6</v>
      </c>
      <c r="D9">
        <v>5.3404905659722883E-6</v>
      </c>
      <c r="E9">
        <v>1.3736533151581275E-7</v>
      </c>
      <c r="F9">
        <v>6.6631105178400743E-6</v>
      </c>
      <c r="G9">
        <v>3.1329996564862121E-7</v>
      </c>
      <c r="H9">
        <v>1.4103773734242228E-5</v>
      </c>
      <c r="I9">
        <v>5.3404519568979139E-6</v>
      </c>
      <c r="J9">
        <v>2.2559335410342247E-7</v>
      </c>
      <c r="K9">
        <v>3.3452558904209398E-8</v>
      </c>
      <c r="L9">
        <v>6.6919316106851507E-7</v>
      </c>
      <c r="M9">
        <v>1.6518609635383868E-6</v>
      </c>
      <c r="N9">
        <v>1.3597491293480139E-7</v>
      </c>
      <c r="O9">
        <v>5.3020130144248341E-2</v>
      </c>
    </row>
    <row r="10" spans="1:15" x14ac:dyDescent="0.25">
      <c r="A10">
        <v>1.9680920772726087E-3</v>
      </c>
      <c r="B10">
        <v>1.5313870662527692E-6</v>
      </c>
      <c r="C10">
        <v>5.4451512556985164E-7</v>
      </c>
      <c r="D10">
        <v>2.0735866914874086E-6</v>
      </c>
      <c r="E10">
        <v>5.3652898563806701E-8</v>
      </c>
      <c r="F10">
        <v>2.5410354484208743E-6</v>
      </c>
      <c r="G10">
        <v>1.196752869858072E-7</v>
      </c>
      <c r="H10">
        <v>5.3404519568979139E-6</v>
      </c>
      <c r="I10">
        <v>2.0426228251237221E-6</v>
      </c>
      <c r="J10">
        <v>8.5875936569583878E-8</v>
      </c>
      <c r="K10">
        <v>1.3015305966265402E-8</v>
      </c>
      <c r="L10">
        <v>2.598798028300035E-7</v>
      </c>
      <c r="M10">
        <v>6.4052062279682528E-7</v>
      </c>
      <c r="N10">
        <v>5.2576542910572066E-8</v>
      </c>
      <c r="O10">
        <v>2.0180115181102142E-2</v>
      </c>
    </row>
    <row r="11" spans="1:15" x14ac:dyDescent="0.25">
      <c r="A11">
        <v>8.1799746559035465E-5</v>
      </c>
      <c r="B11">
        <v>6.4259265675842362E-8</v>
      </c>
      <c r="C11">
        <v>2.2949368618418835E-8</v>
      </c>
      <c r="D11">
        <v>8.6547440402165389E-8</v>
      </c>
      <c r="E11">
        <v>2.2328662401658941E-9</v>
      </c>
      <c r="F11">
        <v>1.0697973061575942E-7</v>
      </c>
      <c r="G11">
        <v>5.0345120220363554E-9</v>
      </c>
      <c r="H11">
        <v>2.2559335410342247E-7</v>
      </c>
      <c r="I11">
        <v>8.5875936569583878E-8</v>
      </c>
      <c r="J11">
        <v>3.618558911606761E-9</v>
      </c>
      <c r="K11">
        <v>5.4269247151133214E-10</v>
      </c>
      <c r="L11">
        <v>1.0845895044179526E-8</v>
      </c>
      <c r="M11">
        <v>2.6751507462833012E-8</v>
      </c>
      <c r="N11">
        <v>2.1988930491832305E-9</v>
      </c>
      <c r="O11">
        <v>8.5029050943006125E-4</v>
      </c>
    </row>
    <row r="12" spans="1:15" x14ac:dyDescent="0.25">
      <c r="A12">
        <v>1.3120742326877242E-5</v>
      </c>
      <c r="B12">
        <v>9.8280543961068177E-9</v>
      </c>
      <c r="C12">
        <v>3.438320584578184E-9</v>
      </c>
      <c r="D12">
        <v>1.3588706608740254E-8</v>
      </c>
      <c r="E12">
        <v>3.5578390629423968E-10</v>
      </c>
      <c r="F12">
        <v>1.6107961915043643E-8</v>
      </c>
      <c r="G12">
        <v>7.6081121166205752E-10</v>
      </c>
      <c r="H12">
        <v>3.3452558904209398E-8</v>
      </c>
      <c r="I12">
        <v>1.3015305966265402E-8</v>
      </c>
      <c r="J12">
        <v>5.4269247151133214E-10</v>
      </c>
      <c r="K12">
        <v>8.563684121731669E-11</v>
      </c>
      <c r="L12">
        <v>1.703676298324339E-9</v>
      </c>
      <c r="M12">
        <v>4.1865927658600407E-9</v>
      </c>
      <c r="N12">
        <v>3.4177697422660019E-10</v>
      </c>
      <c r="O12">
        <v>1.2775980299052701E-4</v>
      </c>
    </row>
    <row r="13" spans="1:15" x14ac:dyDescent="0.25">
      <c r="A13">
        <v>2.6062441600253954E-4</v>
      </c>
      <c r="B13">
        <v>1.9608217322455721E-7</v>
      </c>
      <c r="C13">
        <v>6.8721936951569258E-8</v>
      </c>
      <c r="D13">
        <v>2.7046366081625922E-7</v>
      </c>
      <c r="E13">
        <v>7.0715711596544676E-9</v>
      </c>
      <c r="F13">
        <v>3.2181446104656466E-7</v>
      </c>
      <c r="G13">
        <v>1.5195142638398433E-8</v>
      </c>
      <c r="H13">
        <v>6.6919316106851507E-7</v>
      </c>
      <c r="I13">
        <v>2.598798028300035E-7</v>
      </c>
      <c r="J13">
        <v>1.0845895044179526E-8</v>
      </c>
      <c r="K13">
        <v>1.703676298324339E-9</v>
      </c>
      <c r="L13">
        <v>3.3907776866946066E-8</v>
      </c>
      <c r="M13">
        <v>8.3353141452486139E-8</v>
      </c>
      <c r="N13">
        <v>6.8089368464472441E-9</v>
      </c>
      <c r="O13">
        <v>2.5524959543475919E-3</v>
      </c>
    </row>
    <row r="14" spans="1:15" x14ac:dyDescent="0.25">
      <c r="A14">
        <v>6.3966245084032562E-4</v>
      </c>
      <c r="B14">
        <v>4.8296478030068654E-7</v>
      </c>
      <c r="C14">
        <v>1.6951534913904423E-7</v>
      </c>
      <c r="D14">
        <v>6.6488453389424899E-7</v>
      </c>
      <c r="E14">
        <v>1.7364841726454442E-8</v>
      </c>
      <c r="F14">
        <v>7.9353769671188424E-7</v>
      </c>
      <c r="G14">
        <v>3.7458941772108988E-8</v>
      </c>
      <c r="H14">
        <v>1.6518609635383868E-6</v>
      </c>
      <c r="I14">
        <v>6.4052062279682528E-7</v>
      </c>
      <c r="J14">
        <v>2.6751507462833012E-8</v>
      </c>
      <c r="K14">
        <v>4.1865927658600407E-9</v>
      </c>
      <c r="L14">
        <v>8.3353141452486139E-8</v>
      </c>
      <c r="M14">
        <v>2.0495825777421192E-7</v>
      </c>
      <c r="N14">
        <v>1.6751092498639411E-8</v>
      </c>
      <c r="O14">
        <v>6.2942933828117574E-3</v>
      </c>
    </row>
    <row r="15" spans="1:15" x14ac:dyDescent="0.25">
      <c r="A15">
        <v>5.2100755258585882E-5</v>
      </c>
      <c r="B15">
        <v>3.9595920949051052E-8</v>
      </c>
      <c r="C15">
        <v>1.3935484449951575E-8</v>
      </c>
      <c r="D15">
        <v>5.4316440054843778E-8</v>
      </c>
      <c r="E15">
        <v>1.4156848004096166E-9</v>
      </c>
      <c r="F15">
        <v>6.5192939751207022E-8</v>
      </c>
      <c r="G15">
        <v>3.075954647166323E-9</v>
      </c>
      <c r="H15">
        <v>1.3597491293480139E-7</v>
      </c>
      <c r="I15">
        <v>5.2576542910572066E-8</v>
      </c>
      <c r="J15">
        <v>2.1988930491832305E-9</v>
      </c>
      <c r="K15">
        <v>3.4177697422660019E-10</v>
      </c>
      <c r="L15">
        <v>6.8089368464472441E-9</v>
      </c>
      <c r="M15">
        <v>1.6751092498639411E-8</v>
      </c>
      <c r="N15">
        <v>1.3703481505045384E-9</v>
      </c>
      <c r="O15">
        <v>5.1716059577467353E-4</v>
      </c>
    </row>
    <row r="16" spans="1:15" x14ac:dyDescent="0.25">
      <c r="A16">
        <v>19.28263563584753</v>
      </c>
      <c r="B16">
        <v>1.5103143024261577E-2</v>
      </c>
      <c r="C16">
        <v>5.3927002960301529E-3</v>
      </c>
      <c r="D16">
        <v>2.036759727838296E-2</v>
      </c>
      <c r="E16">
        <v>5.2605468303182617E-4</v>
      </c>
      <c r="F16">
        <v>2.5137843184561252E-2</v>
      </c>
      <c r="G16">
        <v>1.183031611542989E-3</v>
      </c>
      <c r="H16">
        <v>5.3020130144248341E-2</v>
      </c>
      <c r="I16">
        <v>2.0180115181102142E-2</v>
      </c>
      <c r="J16">
        <v>8.5029050943006125E-4</v>
      </c>
      <c r="K16">
        <v>1.2775980299052701E-4</v>
      </c>
      <c r="L16">
        <v>2.5524959543475919E-3</v>
      </c>
      <c r="M16">
        <v>6.2942933828117574E-3</v>
      </c>
      <c r="N16">
        <v>5.1716059577467353E-4</v>
      </c>
      <c r="O16">
        <v>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16"/>
  <sheetViews>
    <sheetView workbookViewId="0">
      <selection activeCell="A2" sqref="A2:O16"/>
    </sheetView>
  </sheetViews>
  <sheetFormatPr defaultRowHeight="15" x14ac:dyDescent="0.25"/>
  <sheetData>
    <row r="1" spans="1:15" x14ac:dyDescent="0.25">
      <c r="A1" t="s">
        <v>9</v>
      </c>
    </row>
    <row r="2" spans="1:15" x14ac:dyDescent="0.25">
      <c r="A2">
        <f t="array" ref="A2:O16">MINVERSE('Matrix (R)^t.(R)'!$A$2:$O$16)</f>
        <v>170665826.85486382</v>
      </c>
      <c r="B2">
        <v>-585957029054.38403</v>
      </c>
      <c r="C2">
        <v>-76570824353.658035</v>
      </c>
      <c r="D2">
        <v>-1632224624880.1108</v>
      </c>
      <c r="E2">
        <v>-10734690681596.922</v>
      </c>
      <c r="F2">
        <v>16428767869.260042</v>
      </c>
      <c r="G2">
        <v>2439903919098.6641</v>
      </c>
      <c r="H2">
        <v>-11624475224.158762</v>
      </c>
      <c r="I2">
        <v>-77251971311.464005</v>
      </c>
      <c r="J2">
        <v>2433856289547.583</v>
      </c>
      <c r="K2">
        <v>30774195267476.961</v>
      </c>
      <c r="L2">
        <v>10341245175734.102</v>
      </c>
      <c r="M2">
        <v>-602676984658.35779</v>
      </c>
      <c r="N2">
        <v>29395869034444.426</v>
      </c>
      <c r="O2">
        <v>-334803.88701777428</v>
      </c>
    </row>
    <row r="3" spans="1:15" x14ac:dyDescent="0.25">
      <c r="A3">
        <v>-585956418814.36182</v>
      </c>
      <c r="B3">
        <v>3224228240575640.5</v>
      </c>
      <c r="C3">
        <v>-1718629385623031.3</v>
      </c>
      <c r="D3">
        <v>6964156826873117</v>
      </c>
      <c r="E3">
        <v>4.2476923705610384E+16</v>
      </c>
      <c r="F3">
        <v>-480143321410371.81</v>
      </c>
      <c r="G3">
        <v>-1.0136437521103736E+16</v>
      </c>
      <c r="H3">
        <v>221379124232032.13</v>
      </c>
      <c r="I3">
        <v>491832019306285</v>
      </c>
      <c r="J3">
        <v>-8073521541626332</v>
      </c>
      <c r="K3">
        <v>-9.5533662415130128E+16</v>
      </c>
      <c r="L3">
        <v>-4.8808562852644928E+16</v>
      </c>
      <c r="M3">
        <v>2393662129020362.5</v>
      </c>
      <c r="N3">
        <v>-1.1600880251796677E+17</v>
      </c>
      <c r="O3">
        <v>-6680614369.1326075</v>
      </c>
    </row>
    <row r="4" spans="1:15" x14ac:dyDescent="0.25">
      <c r="A4">
        <v>-76571934397.98587</v>
      </c>
      <c r="B4">
        <v>-1718625217256321.3</v>
      </c>
      <c r="C4">
        <v>4043213565883936.5</v>
      </c>
      <c r="D4">
        <v>-1546953534275649.8</v>
      </c>
      <c r="E4">
        <v>-5044348696057956</v>
      </c>
      <c r="F4">
        <v>847544061472380.88</v>
      </c>
      <c r="G4">
        <v>3700876304655959.5</v>
      </c>
      <c r="H4">
        <v>-311887716530986.81</v>
      </c>
      <c r="I4">
        <v>-509090844443730.25</v>
      </c>
      <c r="J4">
        <v>-8646201332808040</v>
      </c>
      <c r="K4">
        <v>-2.4233912729599356E+16</v>
      </c>
      <c r="L4">
        <v>1.7631835979270388E+16</v>
      </c>
      <c r="M4">
        <v>-298882059787395.56</v>
      </c>
      <c r="N4">
        <v>1.0214681147898436E+16</v>
      </c>
      <c r="O4">
        <v>14790657444.792742</v>
      </c>
    </row>
    <row r="5" spans="1:15" x14ac:dyDescent="0.25">
      <c r="A5">
        <v>-1632224148319.845</v>
      </c>
      <c r="B5">
        <v>6964161567934074</v>
      </c>
      <c r="C5">
        <v>-1546965381538422.3</v>
      </c>
      <c r="D5">
        <v>1.783330700631035E+16</v>
      </c>
      <c r="E5">
        <v>9.9959757029031696E+16</v>
      </c>
      <c r="F5">
        <v>-454780262781418.56</v>
      </c>
      <c r="G5">
        <v>-2.5880460251509688E+16</v>
      </c>
      <c r="H5">
        <v>261271024595322.13</v>
      </c>
      <c r="I5">
        <v>976115844633530.75</v>
      </c>
      <c r="J5">
        <v>-2.1232194047980996E+16</v>
      </c>
      <c r="K5">
        <v>-2.1009858092668867E+17</v>
      </c>
      <c r="L5">
        <v>-1.1792381897278912E+17</v>
      </c>
      <c r="M5">
        <v>5889269486692263</v>
      </c>
      <c r="N5">
        <v>-3.1598003966595526E+17</v>
      </c>
      <c r="O5">
        <v>-2162505340.4459591</v>
      </c>
    </row>
    <row r="6" spans="1:15" x14ac:dyDescent="0.25">
      <c r="A6">
        <v>-10734684475114.342</v>
      </c>
      <c r="B6">
        <v>4.247693283113536E+16</v>
      </c>
      <c r="C6">
        <v>-5044408237469598</v>
      </c>
      <c r="D6">
        <v>9.995971562311576E+16</v>
      </c>
      <c r="E6">
        <v>8.6814130069508531E+17</v>
      </c>
      <c r="F6">
        <v>-6157064188015594</v>
      </c>
      <c r="G6">
        <v>-1.3687152796287114E+17</v>
      </c>
      <c r="H6">
        <v>2816998972992191</v>
      </c>
      <c r="I6">
        <v>6390863966436255</v>
      </c>
      <c r="J6">
        <v>-2.0983381910641011E+17</v>
      </c>
      <c r="K6">
        <v>-3.2780771850297559E+18</v>
      </c>
      <c r="L6">
        <v>-6.6409591415786099E+17</v>
      </c>
      <c r="M6">
        <v>4.5596761192834352E+16</v>
      </c>
      <c r="N6">
        <v>-1.6189560127684864E+18</v>
      </c>
      <c r="O6">
        <v>-95031978403.277756</v>
      </c>
    </row>
    <row r="7" spans="1:15" x14ac:dyDescent="0.25">
      <c r="A7">
        <v>16428458565.539562</v>
      </c>
      <c r="B7">
        <v>-480142117487954.88</v>
      </c>
      <c r="C7">
        <v>847543999271944.75</v>
      </c>
      <c r="D7">
        <v>-454776953825539.38</v>
      </c>
      <c r="E7">
        <v>-6157046578889743</v>
      </c>
      <c r="F7">
        <v>320528483312162.31</v>
      </c>
      <c r="G7">
        <v>2790880794232565</v>
      </c>
      <c r="H7">
        <v>-84833331810986.484</v>
      </c>
      <c r="I7">
        <v>-243546714673878.53</v>
      </c>
      <c r="J7">
        <v>-3265650739789844</v>
      </c>
      <c r="K7">
        <v>3.5472235419520584E+16</v>
      </c>
      <c r="L7">
        <v>3904205076555537</v>
      </c>
      <c r="M7">
        <v>-296027451625224.31</v>
      </c>
      <c r="N7">
        <v>4130567653916183</v>
      </c>
      <c r="O7">
        <v>4630163020.3869066</v>
      </c>
    </row>
    <row r="8" spans="1:15" x14ac:dyDescent="0.25">
      <c r="A8">
        <v>2439903038374.9736</v>
      </c>
      <c r="B8">
        <v>-1.0136443078878098E+16</v>
      </c>
      <c r="C8">
        <v>3700892477408870.5</v>
      </c>
      <c r="D8">
        <v>-2.5880458827313648E+16</v>
      </c>
      <c r="E8">
        <v>-1.3687155203129757E+17</v>
      </c>
      <c r="F8">
        <v>2790884891324825.5</v>
      </c>
      <c r="G8">
        <v>1.0298260073401272E+17</v>
      </c>
      <c r="H8">
        <v>-48936388287330.477</v>
      </c>
      <c r="I8">
        <v>-4850796477873103</v>
      </c>
      <c r="J8">
        <v>-7.8764133261211696E+16</v>
      </c>
      <c r="K8">
        <v>4.9492993225659629E+17</v>
      </c>
      <c r="L8">
        <v>1.4608474855394691E+17</v>
      </c>
      <c r="M8">
        <v>-8336719786935537</v>
      </c>
      <c r="N8">
        <v>5.3757433715608666E+17</v>
      </c>
      <c r="O8">
        <v>-4859875508.0055685</v>
      </c>
    </row>
    <row r="9" spans="1:15" x14ac:dyDescent="0.25">
      <c r="A9">
        <v>-11624359547.769732</v>
      </c>
      <c r="B9">
        <v>221378717138399.34</v>
      </c>
      <c r="C9">
        <v>-311887769987108.13</v>
      </c>
      <c r="D9">
        <v>261269802452863.5</v>
      </c>
      <c r="E9">
        <v>2816993161999901</v>
      </c>
      <c r="F9">
        <v>-84833360417869.813</v>
      </c>
      <c r="G9">
        <v>-48934886744640.813</v>
      </c>
      <c r="H9">
        <v>39781374183932.586</v>
      </c>
      <c r="I9">
        <v>36759688450210.141</v>
      </c>
      <c r="J9">
        <v>-830628026548840.25</v>
      </c>
      <c r="K9">
        <v>-1.0392447647261848E+16</v>
      </c>
      <c r="L9">
        <v>-2494028725240290</v>
      </c>
      <c r="M9">
        <v>139519857157115.13</v>
      </c>
      <c r="N9">
        <v>-1925431473980941.5</v>
      </c>
      <c r="O9">
        <v>-1918998937.7947297</v>
      </c>
    </row>
    <row r="10" spans="1:15" x14ac:dyDescent="0.25">
      <c r="A10">
        <v>-77251823017.868408</v>
      </c>
      <c r="B10">
        <v>491831711554279.81</v>
      </c>
      <c r="C10">
        <v>-509091306668827.88</v>
      </c>
      <c r="D10">
        <v>976114509616236.5</v>
      </c>
      <c r="E10">
        <v>6390857526418193</v>
      </c>
      <c r="F10">
        <v>-243546834049275.94</v>
      </c>
      <c r="G10">
        <v>-4850794912892276</v>
      </c>
      <c r="H10">
        <v>36759720424814.055</v>
      </c>
      <c r="I10">
        <v>296181912035730.38</v>
      </c>
      <c r="J10">
        <v>4732770209203881</v>
      </c>
      <c r="K10">
        <v>-3.3392101165081848E+16</v>
      </c>
      <c r="L10">
        <v>-5698752967836266</v>
      </c>
      <c r="M10">
        <v>378328187047150.44</v>
      </c>
      <c r="N10">
        <v>-1.8754933153697644E+16</v>
      </c>
      <c r="O10">
        <v>-1976874470.2318804</v>
      </c>
    </row>
    <row r="11" spans="1:15" x14ac:dyDescent="0.25">
      <c r="A11">
        <v>2433856913269.5645</v>
      </c>
      <c r="B11">
        <v>-8073532394966628</v>
      </c>
      <c r="C11">
        <v>-8646185818310613</v>
      </c>
      <c r="D11">
        <v>-2.1232205525364896E+16</v>
      </c>
      <c r="E11">
        <v>-2.0983397046239325E+17</v>
      </c>
      <c r="F11">
        <v>-3265645562993134</v>
      </c>
      <c r="G11">
        <v>-7.8764107822618752E+16</v>
      </c>
      <c r="H11">
        <v>-830629883560339.88</v>
      </c>
      <c r="I11">
        <v>4732767279980594</v>
      </c>
      <c r="J11">
        <v>2.6179195137095734E+17</v>
      </c>
      <c r="K11">
        <v>5.775349387385079E+17</v>
      </c>
      <c r="L11">
        <v>1.6639908757460141E+17</v>
      </c>
      <c r="M11">
        <v>-1.0803832200661572E+16</v>
      </c>
      <c r="N11">
        <v>2.5456912290181728E+17</v>
      </c>
      <c r="O11">
        <v>17497117165.967052</v>
      </c>
    </row>
    <row r="12" spans="1:15" x14ac:dyDescent="0.25">
      <c r="A12">
        <v>30774174528745.926</v>
      </c>
      <c r="B12">
        <v>-9.5533633868482896E+16</v>
      </c>
      <c r="C12">
        <v>-2.423381744743676E+16</v>
      </c>
      <c r="D12">
        <v>-2.10098399804164E+17</v>
      </c>
      <c r="E12">
        <v>-3.2780764880544036E+18</v>
      </c>
      <c r="F12">
        <v>3.5472266796170044E+16</v>
      </c>
      <c r="G12">
        <v>4.9492989101879968E+17</v>
      </c>
      <c r="H12">
        <v>-1.0392454789123814E+16</v>
      </c>
      <c r="I12">
        <v>-3.3392114219827692E+16</v>
      </c>
      <c r="J12">
        <v>5.7753426904012019E+17</v>
      </c>
      <c r="K12">
        <v>1.9312269410675589E+19</v>
      </c>
      <c r="L12">
        <v>1.1994585819705905E+18</v>
      </c>
      <c r="M12">
        <v>-1.6183094563188266E+17</v>
      </c>
      <c r="N12">
        <v>3.1237514683259761E+18</v>
      </c>
      <c r="O12">
        <v>572746143382.98755</v>
      </c>
    </row>
    <row r="13" spans="1:15" x14ac:dyDescent="0.25">
      <c r="A13">
        <v>10341239458371.641</v>
      </c>
      <c r="B13">
        <v>-4.8808583464568528E+16</v>
      </c>
      <c r="C13">
        <v>1.7631912268220304E+16</v>
      </c>
      <c r="D13">
        <v>-1.1792379020949221E+17</v>
      </c>
      <c r="E13">
        <v>-6.6409604859651738E+17</v>
      </c>
      <c r="F13">
        <v>3904226734435716.5</v>
      </c>
      <c r="G13">
        <v>1.4608471809696221E+17</v>
      </c>
      <c r="H13">
        <v>-2494036545840177.5</v>
      </c>
      <c r="I13">
        <v>-5698760522294812</v>
      </c>
      <c r="J13">
        <v>1.6639898040254803E+17</v>
      </c>
      <c r="K13">
        <v>1.1994596103502461E+18</v>
      </c>
      <c r="L13">
        <v>8.1103379315286502E+17</v>
      </c>
      <c r="M13">
        <v>-3.873297772501612E+16</v>
      </c>
      <c r="N13">
        <v>2.0100804719875981E+18</v>
      </c>
      <c r="O13">
        <v>47444477960.164024</v>
      </c>
    </row>
    <row r="14" spans="1:15" x14ac:dyDescent="0.25">
      <c r="A14">
        <v>-602676713842.86609</v>
      </c>
      <c r="B14">
        <v>2393663107960499</v>
      </c>
      <c r="C14">
        <v>-298885710663673.19</v>
      </c>
      <c r="D14">
        <v>5889268134780974</v>
      </c>
      <c r="E14">
        <v>4.559676710189944E+16</v>
      </c>
      <c r="F14">
        <v>-296028510173777.13</v>
      </c>
      <c r="G14">
        <v>-8336719470213099</v>
      </c>
      <c r="H14">
        <v>139520221090988.64</v>
      </c>
      <c r="I14">
        <v>378328603139374.19</v>
      </c>
      <c r="J14">
        <v>-1.0803825179122684E+16</v>
      </c>
      <c r="K14">
        <v>-1.6183099528563709E+17</v>
      </c>
      <c r="L14">
        <v>-3.8732977352115216E+16</v>
      </c>
      <c r="M14">
        <v>2509311707697250.5</v>
      </c>
      <c r="N14">
        <v>-9.8231535554687664E+16</v>
      </c>
      <c r="O14">
        <v>-4243294526.8040671</v>
      </c>
    </row>
    <row r="15" spans="1:15" x14ac:dyDescent="0.25">
      <c r="A15">
        <v>29395868298944.242</v>
      </c>
      <c r="B15">
        <v>-1.1600891995905952E+17</v>
      </c>
      <c r="C15">
        <v>1.0214898989614432E+16</v>
      </c>
      <c r="D15">
        <v>-3.1598012709829485E+17</v>
      </c>
      <c r="E15">
        <v>-1.6189571788959928E+18</v>
      </c>
      <c r="F15">
        <v>4130627085967908.5</v>
      </c>
      <c r="G15">
        <v>5.3757447053597894E+17</v>
      </c>
      <c r="H15">
        <v>-1925454190081041.3</v>
      </c>
      <c r="I15">
        <v>-1.8754960186186564E+16</v>
      </c>
      <c r="J15">
        <v>2.5456903448326259E+17</v>
      </c>
      <c r="K15">
        <v>3.1237551771440558E+18</v>
      </c>
      <c r="L15">
        <v>2.0100815703647956E+18</v>
      </c>
      <c r="M15">
        <v>-9.8231585833225168E+16</v>
      </c>
      <c r="N15">
        <v>5.8979005408699587E+18</v>
      </c>
      <c r="O15">
        <v>-98871833276.581406</v>
      </c>
    </row>
    <row r="16" spans="1:15" x14ac:dyDescent="0.25">
      <c r="A16">
        <v>-334809.49598778301</v>
      </c>
      <c r="B16">
        <v>-6680590385.2569981</v>
      </c>
      <c r="C16">
        <v>14790652415.417974</v>
      </c>
      <c r="D16">
        <v>-2162442900.492661</v>
      </c>
      <c r="E16">
        <v>-95031650210.107025</v>
      </c>
      <c r="F16">
        <v>4630162299.337141</v>
      </c>
      <c r="G16">
        <v>-4859951286.5138121</v>
      </c>
      <c r="H16">
        <v>-1918998100.1084261</v>
      </c>
      <c r="I16">
        <v>-1976872029.0843816</v>
      </c>
      <c r="J16">
        <v>17497025611.34396</v>
      </c>
      <c r="K16">
        <v>572745636919.17798</v>
      </c>
      <c r="L16">
        <v>47444058686.971939</v>
      </c>
      <c r="M16">
        <v>-4243274874.2530408</v>
      </c>
      <c r="N16">
        <v>-98872931984.737656</v>
      </c>
      <c r="O16">
        <v>106568.01560512958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GR16"/>
  <sheetViews>
    <sheetView workbookViewId="0">
      <selection activeCell="A2" sqref="A2:GR16"/>
    </sheetView>
  </sheetViews>
  <sheetFormatPr defaultRowHeight="15" x14ac:dyDescent="0.25"/>
  <sheetData>
    <row r="1" spans="1:200" x14ac:dyDescent="0.25">
      <c r="A1" t="s">
        <v>10</v>
      </c>
    </row>
    <row r="2" spans="1:200" x14ac:dyDescent="0.25">
      <c r="A2">
        <f t="array" ref="A2:GR16">MMULT('Matrix ((R)^t.(R))^(-1)'!$A$2:$O$16,'Matrix (R)^t'!$A$2:$GR$16)</f>
        <v>1963.6391149061965</v>
      </c>
      <c r="B2">
        <v>640.39982133090962</v>
      </c>
      <c r="C2">
        <v>291.20095670700539</v>
      </c>
      <c r="D2">
        <v>-1729.2279617664171</v>
      </c>
      <c r="E2">
        <v>1849.4568284425186</v>
      </c>
      <c r="F2">
        <v>-1227.6812347945524</v>
      </c>
      <c r="G2">
        <v>-1481.2793119725538</v>
      </c>
      <c r="H2">
        <v>-30.785444381530397</v>
      </c>
      <c r="I2">
        <v>2317.2534007850336</v>
      </c>
      <c r="J2">
        <v>-2622.2497380551649</v>
      </c>
      <c r="K2">
        <v>1052.5319086211966</v>
      </c>
      <c r="L2">
        <v>-3223.258565398748</v>
      </c>
      <c r="M2">
        <v>1186.5764398548054</v>
      </c>
      <c r="N2">
        <v>1706.1581422063755</v>
      </c>
      <c r="O2">
        <v>6551.4314172092127</v>
      </c>
      <c r="P2">
        <v>63.905116108362563</v>
      </c>
      <c r="Q2">
        <v>1827.5476260009455</v>
      </c>
      <c r="R2">
        <v>85.605227601830848</v>
      </c>
      <c r="S2">
        <v>-3048.8833344456507</v>
      </c>
      <c r="T2">
        <v>2887.2454535338329</v>
      </c>
      <c r="U2">
        <v>883.82678168744314</v>
      </c>
      <c r="V2">
        <v>-1781.4690252718283</v>
      </c>
      <c r="W2">
        <v>-4564.2003464576555</v>
      </c>
      <c r="X2">
        <v>592.02221859723795</v>
      </c>
      <c r="Y2">
        <v>300.21778015524615</v>
      </c>
      <c r="Z2">
        <v>-2254.3967269834829</v>
      </c>
      <c r="AA2">
        <v>-51.8623092797352</v>
      </c>
      <c r="AB2">
        <v>1471.0790064233588</v>
      </c>
      <c r="AC2">
        <v>814.87402275681961</v>
      </c>
      <c r="AD2">
        <v>-1759.7561002474977</v>
      </c>
      <c r="AE2">
        <v>1203.7126273784088</v>
      </c>
      <c r="AF2">
        <v>-1125.5850699123694</v>
      </c>
      <c r="AG2">
        <v>-448.35076502233278</v>
      </c>
      <c r="AH2">
        <v>1643.2307259562658</v>
      </c>
      <c r="AI2">
        <v>1338.812346411054</v>
      </c>
      <c r="AJ2">
        <v>555.95936386019457</v>
      </c>
      <c r="AK2">
        <v>-586.23395182460081</v>
      </c>
      <c r="AL2">
        <v>371.17387507588137</v>
      </c>
      <c r="AM2">
        <v>-414.66886085539591</v>
      </c>
      <c r="AN2">
        <v>-450.28060086339246</v>
      </c>
      <c r="AO2">
        <v>862.86301073164213</v>
      </c>
      <c r="AP2">
        <v>938.7187227132963</v>
      </c>
      <c r="AQ2">
        <v>-586.29261771857273</v>
      </c>
      <c r="AR2">
        <v>-614.41299946873914</v>
      </c>
      <c r="AS2">
        <v>1053.2170325043844</v>
      </c>
      <c r="AT2">
        <v>228.52656160027254</v>
      </c>
      <c r="AU2">
        <v>-42.091868775780313</v>
      </c>
      <c r="AV2">
        <v>1168.4255431565689</v>
      </c>
      <c r="AW2">
        <v>-979.8486758050276</v>
      </c>
      <c r="AX2">
        <v>-542.80560723214876</v>
      </c>
      <c r="AY2">
        <v>858.75385938317049</v>
      </c>
      <c r="AZ2">
        <v>-1147.7405217018677</v>
      </c>
      <c r="BA2">
        <v>-536.56085609912407</v>
      </c>
      <c r="BB2">
        <v>-339.51752488582861</v>
      </c>
      <c r="BC2">
        <v>1633.304778141086</v>
      </c>
      <c r="BD2">
        <v>-416.41534438997041</v>
      </c>
      <c r="BE2">
        <v>-162.380765127833</v>
      </c>
      <c r="BF2">
        <v>-24.173882278497331</v>
      </c>
      <c r="BG2">
        <v>-84.261053311522119</v>
      </c>
      <c r="BH2">
        <v>1051.197220650618</v>
      </c>
      <c r="BI2">
        <v>719.19671241671313</v>
      </c>
      <c r="BJ2">
        <v>523.21009877056349</v>
      </c>
      <c r="BK2">
        <v>578.93733428150881</v>
      </c>
      <c r="BL2">
        <v>-922.68368000059854</v>
      </c>
      <c r="BM2">
        <v>911.66807640821207</v>
      </c>
      <c r="BN2">
        <v>190.53894443542231</v>
      </c>
      <c r="BO2">
        <v>-84.906551587278955</v>
      </c>
      <c r="BP2">
        <v>-897.98308198421728</v>
      </c>
      <c r="BQ2">
        <v>-276.03021919995081</v>
      </c>
      <c r="BR2">
        <v>22.374198597972281</v>
      </c>
      <c r="BS2">
        <v>224.91337348253001</v>
      </c>
      <c r="BT2">
        <v>515.84246033162344</v>
      </c>
      <c r="BU2">
        <v>-172.55906625359785</v>
      </c>
      <c r="BV2">
        <v>145.09980386227835</v>
      </c>
      <c r="BW2">
        <v>88.176701468531974</v>
      </c>
      <c r="BX2">
        <v>157.29488822550047</v>
      </c>
      <c r="BY2">
        <v>69.988392708008178</v>
      </c>
      <c r="BZ2">
        <v>-60.195845830137841</v>
      </c>
      <c r="CA2">
        <v>-495.5962342050625</v>
      </c>
      <c r="CB2">
        <v>121.35330112010706</v>
      </c>
      <c r="CC2">
        <v>-157.58539040654432</v>
      </c>
      <c r="CD2">
        <v>-316.87378630309831</v>
      </c>
      <c r="CE2">
        <v>-387.83111422031652</v>
      </c>
      <c r="CF2">
        <v>608.10305429727305</v>
      </c>
      <c r="CG2">
        <v>-576.52156825631391</v>
      </c>
      <c r="CH2">
        <v>-167.63801963895094</v>
      </c>
      <c r="CI2">
        <v>-196.65798709064256</v>
      </c>
      <c r="CJ2">
        <v>-442.77557127445471</v>
      </c>
      <c r="CK2">
        <v>-563.43222466378938</v>
      </c>
      <c r="CL2">
        <v>-4.8783807781292126</v>
      </c>
      <c r="CM2">
        <v>-377.918577897246</v>
      </c>
      <c r="CN2">
        <v>-38.311669248039834</v>
      </c>
      <c r="CO2">
        <v>6.054559004609473</v>
      </c>
      <c r="CP2">
        <v>1.4346253249095753</v>
      </c>
      <c r="CQ2">
        <v>-76.923711317474954</v>
      </c>
      <c r="CR2">
        <v>-85.633263709838502</v>
      </c>
      <c r="CS2">
        <v>-250.39126405387651</v>
      </c>
      <c r="CT2">
        <v>-339.33236298232805</v>
      </c>
      <c r="CU2">
        <v>-221.48925569921266</v>
      </c>
      <c r="CV2">
        <v>-264.02662726014387</v>
      </c>
      <c r="CW2">
        <v>-230.09539421170484</v>
      </c>
      <c r="CX2">
        <v>8.2945903661893681</v>
      </c>
      <c r="CY2">
        <v>-109.35580683022272</v>
      </c>
      <c r="CZ2">
        <v>-175.84023002057802</v>
      </c>
      <c r="DA2">
        <v>-77.640546667273156</v>
      </c>
      <c r="DB2">
        <v>93.861367208068259</v>
      </c>
      <c r="DC2">
        <v>-222.16563591628801</v>
      </c>
      <c r="DD2">
        <v>-230.33922969072592</v>
      </c>
      <c r="DE2">
        <v>79.112182078068145</v>
      </c>
      <c r="DF2">
        <v>-108.80303746729624</v>
      </c>
      <c r="DG2">
        <v>-95.546928572352044</v>
      </c>
      <c r="DH2">
        <v>60.175445404951461</v>
      </c>
      <c r="DI2">
        <v>-24.255800503189676</v>
      </c>
      <c r="DJ2">
        <v>2.8084740015910938</v>
      </c>
      <c r="DK2">
        <v>-63.355737152392976</v>
      </c>
      <c r="DL2">
        <v>-82.008617597515695</v>
      </c>
      <c r="DM2">
        <v>-92.57770958810579</v>
      </c>
      <c r="DN2">
        <v>-46.075452240998857</v>
      </c>
      <c r="DO2">
        <v>-50.559232878382318</v>
      </c>
      <c r="DP2">
        <v>-11.490689488942735</v>
      </c>
      <c r="DQ2">
        <v>-62.090111228520982</v>
      </c>
      <c r="DR2">
        <v>-22.015072139794938</v>
      </c>
      <c r="DS2">
        <v>-166.6070852157427</v>
      </c>
      <c r="DT2">
        <v>-28.805228891666047</v>
      </c>
      <c r="DU2">
        <v>-93.450351315434091</v>
      </c>
      <c r="DV2">
        <v>-67.673082518274896</v>
      </c>
      <c r="DW2">
        <v>-38.15650946169626</v>
      </c>
      <c r="DX2">
        <v>-52.671858089859597</v>
      </c>
      <c r="DY2">
        <v>-45.281769784982316</v>
      </c>
      <c r="DZ2">
        <v>38.553796989028342</v>
      </c>
      <c r="EA2">
        <v>-12.718050646479242</v>
      </c>
      <c r="EB2">
        <v>-21.605117025668733</v>
      </c>
      <c r="EC2">
        <v>-74.28077666729223</v>
      </c>
      <c r="ED2">
        <v>-35.065043332870118</v>
      </c>
      <c r="EE2">
        <v>-71.708812999422662</v>
      </c>
      <c r="EF2">
        <v>-50.288627835805528</v>
      </c>
      <c r="EG2">
        <v>-54.827681290800683</v>
      </c>
      <c r="EH2">
        <v>-77.715725990827195</v>
      </c>
      <c r="EI2">
        <v>-83.152920785243623</v>
      </c>
      <c r="EJ2">
        <v>-24.603912371094339</v>
      </c>
      <c r="EK2">
        <v>9.9665460857795551</v>
      </c>
      <c r="EL2">
        <v>-48.381555410916917</v>
      </c>
      <c r="EM2">
        <v>-26.88767169683706</v>
      </c>
      <c r="EN2">
        <v>-27.391949224169366</v>
      </c>
      <c r="EO2">
        <v>-8.9428603228880093</v>
      </c>
      <c r="EP2">
        <v>-29.492814111406915</v>
      </c>
      <c r="EQ2">
        <v>-51.971407952602021</v>
      </c>
      <c r="ER2">
        <v>-24.371006133849733</v>
      </c>
      <c r="ES2">
        <v>-88.50922501354944</v>
      </c>
      <c r="ET2">
        <v>-2.549923422629945</v>
      </c>
      <c r="EU2">
        <v>-22.523801761562936</v>
      </c>
      <c r="EV2">
        <v>-30.650316509301774</v>
      </c>
      <c r="EW2">
        <v>-18.759905102546327</v>
      </c>
      <c r="EX2">
        <v>-60.926747652585618</v>
      </c>
      <c r="EY2">
        <v>-31.855701210792176</v>
      </c>
      <c r="EZ2">
        <v>-48.223315569455735</v>
      </c>
      <c r="FA2">
        <v>-53.207342806155793</v>
      </c>
      <c r="FB2">
        <v>-29.747200506622903</v>
      </c>
      <c r="FC2">
        <v>-45.700944128329866</v>
      </c>
      <c r="FD2">
        <v>-53.666952061350457</v>
      </c>
      <c r="FE2">
        <v>-49.803675162489526</v>
      </c>
      <c r="FF2">
        <v>-14.696758526260965</v>
      </c>
      <c r="FG2">
        <v>-63.561809140141122</v>
      </c>
      <c r="FH2">
        <v>-45.789171340758912</v>
      </c>
      <c r="FI2">
        <v>-44.584913867409341</v>
      </c>
      <c r="FJ2">
        <v>-33.865248816902749</v>
      </c>
      <c r="FK2">
        <v>-50.249787109787576</v>
      </c>
      <c r="FL2">
        <v>-54.719937789137475</v>
      </c>
      <c r="FM2">
        <v>-24.985090467031114</v>
      </c>
      <c r="FN2">
        <v>-19.887486549909227</v>
      </c>
      <c r="FO2">
        <v>-54.122080343659036</v>
      </c>
      <c r="FP2">
        <v>-28.255679833586328</v>
      </c>
      <c r="FQ2">
        <v>-33.57325439422857</v>
      </c>
      <c r="FR2">
        <v>-40.601113664801233</v>
      </c>
      <c r="FS2">
        <v>-31.382390695507638</v>
      </c>
      <c r="FT2">
        <v>-22.344485836918466</v>
      </c>
      <c r="FU2">
        <v>-36.657303961808793</v>
      </c>
      <c r="FV2">
        <v>-50.010361838038079</v>
      </c>
      <c r="FW2">
        <v>-22.191574337775819</v>
      </c>
      <c r="FX2">
        <v>-41.496473642881028</v>
      </c>
      <c r="FY2">
        <v>-48.065917464788072</v>
      </c>
      <c r="FZ2">
        <v>-27.588231104309671</v>
      </c>
      <c r="GA2">
        <v>-43.175673204357736</v>
      </c>
      <c r="GB2">
        <v>-39.768310802872293</v>
      </c>
      <c r="GC2">
        <v>-29.293268683250062</v>
      </c>
      <c r="GD2">
        <v>-34.312739196117036</v>
      </c>
      <c r="GE2">
        <v>-33.508015560801141</v>
      </c>
      <c r="GF2">
        <v>-41.512912276084535</v>
      </c>
      <c r="GG2">
        <v>-36.096464115078561</v>
      </c>
      <c r="GH2">
        <v>-36.850376146729104</v>
      </c>
      <c r="GI2">
        <v>-36.56642307608854</v>
      </c>
      <c r="GJ2">
        <v>-41.126334416563623</v>
      </c>
      <c r="GK2">
        <v>-36.302171873743646</v>
      </c>
      <c r="GL2">
        <v>-33.218782084877603</v>
      </c>
      <c r="GM2">
        <v>-39.013906362350099</v>
      </c>
      <c r="GN2">
        <v>-31.352850842173211</v>
      </c>
      <c r="GO2">
        <v>-37.492066117818467</v>
      </c>
      <c r="GP2">
        <v>-44.624861645395868</v>
      </c>
      <c r="GQ2">
        <v>-36.314103009994142</v>
      </c>
      <c r="GR2">
        <v>-39.428924503619783</v>
      </c>
    </row>
    <row r="3" spans="1:200" x14ac:dyDescent="0.25">
      <c r="A3">
        <v>-17896409.942299843</v>
      </c>
      <c r="B3">
        <v>5625765.2377233505</v>
      </c>
      <c r="C3">
        <v>4872160.5118322372</v>
      </c>
      <c r="D3">
        <v>-2561348.0586938858</v>
      </c>
      <c r="E3">
        <v>-11014639.641854286</v>
      </c>
      <c r="F3">
        <v>8242783.6806249619</v>
      </c>
      <c r="G3">
        <v>8892938.6407690048</v>
      </c>
      <c r="H3">
        <v>-6123397.4758081436</v>
      </c>
      <c r="I3">
        <v>8001706.5099401474</v>
      </c>
      <c r="J3">
        <v>11316516.89473629</v>
      </c>
      <c r="K3">
        <v>-707686.67896366119</v>
      </c>
      <c r="L3">
        <v>14124416.541586876</v>
      </c>
      <c r="M3">
        <v>-8967221.7418298721</v>
      </c>
      <c r="N3">
        <v>-7247511.1098413467</v>
      </c>
      <c r="O3">
        <v>-23308408.546730995</v>
      </c>
      <c r="P3">
        <v>1423738.8215551376</v>
      </c>
      <c r="Q3">
        <v>-7690721.5057153702</v>
      </c>
      <c r="R3">
        <v>4376508.2076025009</v>
      </c>
      <c r="S3">
        <v>7743228.665060997</v>
      </c>
      <c r="T3">
        <v>-11994410.466347694</v>
      </c>
      <c r="U3">
        <v>3899104.6043310165</v>
      </c>
      <c r="V3">
        <v>-4712208.6188745499</v>
      </c>
      <c r="W3">
        <v>13642250.289450645</v>
      </c>
      <c r="X3">
        <v>2730788.3650121689</v>
      </c>
      <c r="Y3">
        <v>336904.69234371185</v>
      </c>
      <c r="Z3">
        <v>12199250.695212364</v>
      </c>
      <c r="AA3">
        <v>3602726.7975683212</v>
      </c>
      <c r="AB3">
        <v>-11255269.134407997</v>
      </c>
      <c r="AC3">
        <v>-3209072.6480493546</v>
      </c>
      <c r="AD3">
        <v>4307493.9285802841</v>
      </c>
      <c r="AE3">
        <v>-12864184.072548866</v>
      </c>
      <c r="AF3">
        <v>2904883.2997045517</v>
      </c>
      <c r="AG3">
        <v>3320698.4350805283</v>
      </c>
      <c r="AH3">
        <v>-1899587.3335962296</v>
      </c>
      <c r="AI3">
        <v>-2409020.4479150772</v>
      </c>
      <c r="AJ3">
        <v>-481634.83567142487</v>
      </c>
      <c r="AK3">
        <v>1472017.0859594345</v>
      </c>
      <c r="AL3">
        <v>-3479145.0025415421</v>
      </c>
      <c r="AM3">
        <v>-2762765.4471216202</v>
      </c>
      <c r="AN3">
        <v>-422057.85089969635</v>
      </c>
      <c r="AO3">
        <v>-5832475.3934106827</v>
      </c>
      <c r="AP3">
        <v>-3725794.0418481827</v>
      </c>
      <c r="AQ3">
        <v>1820360.6231603622</v>
      </c>
      <c r="AR3">
        <v>5046163.416220665</v>
      </c>
      <c r="AS3">
        <v>-3429260.0213403702</v>
      </c>
      <c r="AT3">
        <v>-404724.96518802643</v>
      </c>
      <c r="AU3">
        <v>-3173525.3437891006</v>
      </c>
      <c r="AV3">
        <v>-7690161.4315576553</v>
      </c>
      <c r="AW3">
        <v>3576162.9731664658</v>
      </c>
      <c r="AX3">
        <v>4236342.2370214462</v>
      </c>
      <c r="AY3">
        <v>-467718.29770755768</v>
      </c>
      <c r="AZ3">
        <v>5205007.5578222275</v>
      </c>
      <c r="BA3">
        <v>3158824.600028038</v>
      </c>
      <c r="BB3">
        <v>1044708.2513647079</v>
      </c>
      <c r="BC3">
        <v>-7748698.5875024796</v>
      </c>
      <c r="BD3">
        <v>-1047816.4255151749</v>
      </c>
      <c r="BE3">
        <v>107462.69441890717</v>
      </c>
      <c r="BF3">
        <v>294479.47334957123</v>
      </c>
      <c r="BG3">
        <v>1655101.0770483017</v>
      </c>
      <c r="BH3">
        <v>-3296060.4391260147</v>
      </c>
      <c r="BI3">
        <v>-2208730.7452173233</v>
      </c>
      <c r="BJ3">
        <v>-2081150.0721826553</v>
      </c>
      <c r="BK3">
        <v>-2980502.2062158585</v>
      </c>
      <c r="BL3">
        <v>2867247.2874059677</v>
      </c>
      <c r="BM3">
        <v>-3657591.7159814835</v>
      </c>
      <c r="BN3">
        <v>-2462673.2639856339</v>
      </c>
      <c r="BO3">
        <v>231085.96224117279</v>
      </c>
      <c r="BP3">
        <v>2385410.5204076767</v>
      </c>
      <c r="BQ3">
        <v>-202378.1079492569</v>
      </c>
      <c r="BR3">
        <v>427166.61360836029</v>
      </c>
      <c r="BS3">
        <v>-783998.39695072174</v>
      </c>
      <c r="BT3">
        <v>-2825848.1995019913</v>
      </c>
      <c r="BU3">
        <v>1119687.7715673447</v>
      </c>
      <c r="BV3">
        <v>-1519346.6030664444</v>
      </c>
      <c r="BW3">
        <v>469335.89223384857</v>
      </c>
      <c r="BX3">
        <v>-202480.14450931549</v>
      </c>
      <c r="BY3">
        <v>-868916.38004398346</v>
      </c>
      <c r="BZ3">
        <v>-789761.51651859283</v>
      </c>
      <c r="CA3">
        <v>3245821.4160375595</v>
      </c>
      <c r="CB3">
        <v>110912.28932857513</v>
      </c>
      <c r="CC3">
        <v>1424311.6543188095</v>
      </c>
      <c r="CD3">
        <v>1284190.3313817978</v>
      </c>
      <c r="CE3">
        <v>928501.4154882431</v>
      </c>
      <c r="CF3">
        <v>-2373789.5746240616</v>
      </c>
      <c r="CG3">
        <v>1229496.7248754501</v>
      </c>
      <c r="CH3">
        <v>1844.474326133728</v>
      </c>
      <c r="CI3">
        <v>569847.96303462982</v>
      </c>
      <c r="CJ3">
        <v>784558.50374507904</v>
      </c>
      <c r="CK3">
        <v>3317519.976401329</v>
      </c>
      <c r="CL3">
        <v>-377269.80429935455</v>
      </c>
      <c r="CM3">
        <v>1402060.845908165</v>
      </c>
      <c r="CN3">
        <v>-154603.2715845108</v>
      </c>
      <c r="CO3">
        <v>-64745.817177772522</v>
      </c>
      <c r="CP3">
        <v>294821.89186763763</v>
      </c>
      <c r="CQ3">
        <v>-25717.426369667053</v>
      </c>
      <c r="CR3">
        <v>572006.29176998138</v>
      </c>
      <c r="CS3">
        <v>450334.49471187592</v>
      </c>
      <c r="CT3">
        <v>1405904.6228246689</v>
      </c>
      <c r="CU3">
        <v>1232118.5945043564</v>
      </c>
      <c r="CV3">
        <v>1236211.3402929306</v>
      </c>
      <c r="CW3">
        <v>669033.48195552826</v>
      </c>
      <c r="CX3">
        <v>-21775.564248085022</v>
      </c>
      <c r="CY3">
        <v>638831.12752437592</v>
      </c>
      <c r="CZ3">
        <v>713159.4594335556</v>
      </c>
      <c r="DA3">
        <v>1557.3833227157593</v>
      </c>
      <c r="DB3">
        <v>-190619.4786157608</v>
      </c>
      <c r="DC3">
        <v>1061686.6214208603</v>
      </c>
      <c r="DD3">
        <v>777361.1723241806</v>
      </c>
      <c r="DE3">
        <v>-157084.0782251358</v>
      </c>
      <c r="DF3">
        <v>333663.44649410248</v>
      </c>
      <c r="DG3">
        <v>387389.5434179306</v>
      </c>
      <c r="DH3">
        <v>95259.155234336853</v>
      </c>
      <c r="DI3">
        <v>191972.51290035248</v>
      </c>
      <c r="DJ3">
        <v>-216876.76102542877</v>
      </c>
      <c r="DK3">
        <v>164388.7856054306</v>
      </c>
      <c r="DL3">
        <v>579542.9565038681</v>
      </c>
      <c r="DM3">
        <v>177860.35604000092</v>
      </c>
      <c r="DN3">
        <v>321272.25527095795</v>
      </c>
      <c r="DO3">
        <v>34081.067160606384</v>
      </c>
      <c r="DP3">
        <v>221650.68373775482</v>
      </c>
      <c r="DQ3">
        <v>359715.48396968842</v>
      </c>
      <c r="DR3">
        <v>164303.0213842392</v>
      </c>
      <c r="DS3">
        <v>649389.77358150482</v>
      </c>
      <c r="DT3">
        <v>315426.81349849701</v>
      </c>
      <c r="DU3">
        <v>575003.21407222748</v>
      </c>
      <c r="DV3">
        <v>305853.34590816498</v>
      </c>
      <c r="DW3">
        <v>125636.33028316498</v>
      </c>
      <c r="DX3">
        <v>159952.87221431732</v>
      </c>
      <c r="DY3">
        <v>344116.7704076767</v>
      </c>
      <c r="DZ3">
        <v>20978.508933067322</v>
      </c>
      <c r="EA3">
        <v>-31537.840004920959</v>
      </c>
      <c r="EB3">
        <v>257674.26082515717</v>
      </c>
      <c r="EC3">
        <v>292298.11391353607</v>
      </c>
      <c r="ED3">
        <v>282640.83455562592</v>
      </c>
      <c r="EE3">
        <v>462334.17403316498</v>
      </c>
      <c r="EF3">
        <v>206102.69960689545</v>
      </c>
      <c r="EG3">
        <v>169479.7899389267</v>
      </c>
      <c r="EH3">
        <v>291728.21346187592</v>
      </c>
      <c r="EI3">
        <v>331937.6742773056</v>
      </c>
      <c r="EJ3">
        <v>224273.24178218842</v>
      </c>
      <c r="EK3">
        <v>17429.023947715759</v>
      </c>
      <c r="EL3">
        <v>259937.21443843842</v>
      </c>
      <c r="EM3">
        <v>258731.50746822357</v>
      </c>
      <c r="EN3">
        <v>152874.39156246185</v>
      </c>
      <c r="EO3">
        <v>166754.01589107513</v>
      </c>
      <c r="EP3">
        <v>185239.06606197357</v>
      </c>
      <c r="EQ3">
        <v>300884.82332515717</v>
      </c>
      <c r="ER3">
        <v>151967.18819332123</v>
      </c>
      <c r="ES3">
        <v>403060.62380123138</v>
      </c>
      <c r="ET3">
        <v>109850.35707759857</v>
      </c>
      <c r="EU3">
        <v>151048.70937252045</v>
      </c>
      <c r="EV3">
        <v>251238.94118404388</v>
      </c>
      <c r="EW3">
        <v>220625.08864498138</v>
      </c>
      <c r="EX3">
        <v>253032.58168697357</v>
      </c>
      <c r="EY3">
        <v>272783.83284664154</v>
      </c>
      <c r="EZ3">
        <v>291141.81484127045</v>
      </c>
      <c r="FA3">
        <v>244897.64076900482</v>
      </c>
      <c r="FB3">
        <v>172561.89076900482</v>
      </c>
      <c r="FC3">
        <v>262080.94747066498</v>
      </c>
      <c r="FD3">
        <v>285682.29201412201</v>
      </c>
      <c r="FE3">
        <v>321893.21303462982</v>
      </c>
      <c r="FF3">
        <v>144069.73732662201</v>
      </c>
      <c r="FG3">
        <v>294604.56856441498</v>
      </c>
      <c r="FH3">
        <v>273930.91731929779</v>
      </c>
      <c r="FI3">
        <v>229246.36574459076</v>
      </c>
      <c r="FJ3">
        <v>193230.90785884857</v>
      </c>
      <c r="FK3">
        <v>290878.86983394623</v>
      </c>
      <c r="FL3">
        <v>253900.39180660248</v>
      </c>
      <c r="FM3">
        <v>197617.86238765717</v>
      </c>
      <c r="FN3">
        <v>195793.97084712982</v>
      </c>
      <c r="FO3">
        <v>321278.49452877045</v>
      </c>
      <c r="FP3">
        <v>190238.46047115326</v>
      </c>
      <c r="FQ3">
        <v>226184.87129878998</v>
      </c>
      <c r="FR3">
        <v>294061.55953121185</v>
      </c>
      <c r="FS3">
        <v>241769.51668453217</v>
      </c>
      <c r="FT3">
        <v>214793.7704076767</v>
      </c>
      <c r="FU3">
        <v>272305.54036617279</v>
      </c>
      <c r="FV3">
        <v>256008.11617183685</v>
      </c>
      <c r="FW3">
        <v>208631.29848384857</v>
      </c>
      <c r="FX3">
        <v>265868.27345943451</v>
      </c>
      <c r="FY3">
        <v>262414.03511714935</v>
      </c>
      <c r="FZ3">
        <v>191577.90798091888</v>
      </c>
      <c r="GA3">
        <v>240051.25008296967</v>
      </c>
      <c r="GB3">
        <v>263613.5057592392</v>
      </c>
      <c r="GC3">
        <v>226111.40608882904</v>
      </c>
      <c r="GD3">
        <v>193392.8793554306</v>
      </c>
      <c r="GE3">
        <v>208817.69692134857</v>
      </c>
      <c r="GF3">
        <v>255001.65785884857</v>
      </c>
      <c r="GG3">
        <v>247003.70015621185</v>
      </c>
      <c r="GH3">
        <v>212666.75057125092</v>
      </c>
      <c r="GI3">
        <v>237943.69148921967</v>
      </c>
      <c r="GJ3">
        <v>234906.55977535248</v>
      </c>
      <c r="GK3">
        <v>235186.63350582123</v>
      </c>
      <c r="GL3">
        <v>222998.73659420013</v>
      </c>
      <c r="GM3">
        <v>243344.98604488373</v>
      </c>
      <c r="GN3">
        <v>221715.81191158295</v>
      </c>
      <c r="GO3">
        <v>208666.59279537201</v>
      </c>
      <c r="GP3">
        <v>265841.68324947357</v>
      </c>
      <c r="GQ3">
        <v>222164.3959569931</v>
      </c>
      <c r="GR3">
        <v>250337.26387691498</v>
      </c>
    </row>
    <row r="4" spans="1:200" x14ac:dyDescent="0.25">
      <c r="A4">
        <v>15978748.524206161</v>
      </c>
      <c r="B4">
        <v>-10870647.230482101</v>
      </c>
      <c r="C4">
        <v>-4595823.4713287354</v>
      </c>
      <c r="D4">
        <v>21957692.388696671</v>
      </c>
      <c r="E4">
        <v>4221424.3756313324</v>
      </c>
      <c r="F4">
        <v>-7109149.8361320496</v>
      </c>
      <c r="G4">
        <v>-3801703.2449932098</v>
      </c>
      <c r="H4">
        <v>11456216.619085312</v>
      </c>
      <c r="I4">
        <v>-33143223.93362236</v>
      </c>
      <c r="J4">
        <v>-1831121.6344661713</v>
      </c>
      <c r="K4">
        <v>-11797490.68434906</v>
      </c>
      <c r="L4">
        <v>5459630.8960323334</v>
      </c>
      <c r="M4">
        <v>-789790.02894020081</v>
      </c>
      <c r="N4">
        <v>-3801062.6003170013</v>
      </c>
      <c r="O4">
        <v>5052181.1401309967</v>
      </c>
      <c r="P4">
        <v>-1458520.6321239471</v>
      </c>
      <c r="Q4">
        <v>-2526414.8236026764</v>
      </c>
      <c r="R4">
        <v>-8736779.4461193085</v>
      </c>
      <c r="S4">
        <v>8812290.5404186249</v>
      </c>
      <c r="T4">
        <v>3556740.4373035431</v>
      </c>
      <c r="U4">
        <v>-9404977.2975978851</v>
      </c>
      <c r="V4">
        <v>12820914.738061905</v>
      </c>
      <c r="W4">
        <v>-1137073.9664516449</v>
      </c>
      <c r="X4">
        <v>-10340877.862764359</v>
      </c>
      <c r="Y4">
        <v>1647851.6765727997</v>
      </c>
      <c r="Z4">
        <v>-12102261.798521042</v>
      </c>
      <c r="AA4">
        <v>-4555381.8882541656</v>
      </c>
      <c r="AB4">
        <v>8667021.0379199982</v>
      </c>
      <c r="AC4">
        <v>1134405.4403553009</v>
      </c>
      <c r="AD4">
        <v>1815301.5776081085</v>
      </c>
      <c r="AE4">
        <v>15052691.933763504</v>
      </c>
      <c r="AF4">
        <v>6041558.3531360626</v>
      </c>
      <c r="AG4">
        <v>17885.889356613159</v>
      </c>
      <c r="AH4">
        <v>-13281061.096723557</v>
      </c>
      <c r="AI4">
        <v>-970086.60803031921</v>
      </c>
      <c r="AJ4">
        <v>-6792377.9762821198</v>
      </c>
      <c r="AK4">
        <v>560048.09126853943</v>
      </c>
      <c r="AL4">
        <v>93159.860441207886</v>
      </c>
      <c r="AM4">
        <v>9474139.9102840424</v>
      </c>
      <c r="AN4">
        <v>1046585.3366260529</v>
      </c>
      <c r="AO4">
        <v>1724599.9404888153</v>
      </c>
      <c r="AP4">
        <v>34630.550020217896</v>
      </c>
      <c r="AQ4">
        <v>2182223.1041507721</v>
      </c>
      <c r="AR4">
        <v>-5964724.7050266266</v>
      </c>
      <c r="AS4">
        <v>1709775.5760593414</v>
      </c>
      <c r="AT4">
        <v>168915.94049263</v>
      </c>
      <c r="AU4">
        <v>2171868.4789638519</v>
      </c>
      <c r="AV4">
        <v>7207826.5576305389</v>
      </c>
      <c r="AW4">
        <v>-318575.8784236908</v>
      </c>
      <c r="AX4">
        <v>-2059011.4172382355</v>
      </c>
      <c r="AY4">
        <v>-4500729.2880954742</v>
      </c>
      <c r="AZ4">
        <v>-3685945.3579998016</v>
      </c>
      <c r="BA4">
        <v>-1959797.8963680267</v>
      </c>
      <c r="BB4">
        <v>-1816735.8038387299</v>
      </c>
      <c r="BC4">
        <v>5078039.2306804657</v>
      </c>
      <c r="BD4">
        <v>2265912.3077640533</v>
      </c>
      <c r="BE4">
        <v>2560933.9943447113</v>
      </c>
      <c r="BF4">
        <v>975424.20088005066</v>
      </c>
      <c r="BG4">
        <v>-3537534.8380413055</v>
      </c>
      <c r="BH4">
        <v>-943602.98755455017</v>
      </c>
      <c r="BI4">
        <v>-1272470.8865871429</v>
      </c>
      <c r="BJ4">
        <v>467056.54134559631</v>
      </c>
      <c r="BK4">
        <v>3540356.5173549652</v>
      </c>
      <c r="BL4">
        <v>-1153810.6950588226</v>
      </c>
      <c r="BM4">
        <v>200742.76233100891</v>
      </c>
      <c r="BN4">
        <v>2198121.9426670074</v>
      </c>
      <c r="BO4">
        <v>730265.42053031921</v>
      </c>
      <c r="BP4">
        <v>766624.44428062439</v>
      </c>
      <c r="BQ4">
        <v>2165953.9322376251</v>
      </c>
      <c r="BR4">
        <v>83918.366708755493</v>
      </c>
      <c r="BS4">
        <v>246764.79050254822</v>
      </c>
      <c r="BT4">
        <v>2765315.7817211151</v>
      </c>
      <c r="BU4">
        <v>307233.60268974304</v>
      </c>
      <c r="BV4">
        <v>2291502.2011203766</v>
      </c>
      <c r="BW4">
        <v>-1810624.9641170502</v>
      </c>
      <c r="BX4">
        <v>-28269.143789291382</v>
      </c>
      <c r="BY4">
        <v>930351.12366676331</v>
      </c>
      <c r="BZ4">
        <v>1955794.9650325775</v>
      </c>
      <c r="CA4">
        <v>-2412774.7749118805</v>
      </c>
      <c r="CB4">
        <v>-434509.90942955017</v>
      </c>
      <c r="CC4">
        <v>-733455.28990745544</v>
      </c>
      <c r="CD4">
        <v>-1059930.9646816254</v>
      </c>
      <c r="CE4">
        <v>840891.35120201111</v>
      </c>
      <c r="CF4">
        <v>1172391.1064243317</v>
      </c>
      <c r="CG4">
        <v>1483345.6380329132</v>
      </c>
      <c r="CH4">
        <v>1207208.4155254364</v>
      </c>
      <c r="CI4">
        <v>928394.57240486145</v>
      </c>
      <c r="CJ4">
        <v>1150335.1451473236</v>
      </c>
      <c r="CK4">
        <v>-2740011.3044910431</v>
      </c>
      <c r="CL4">
        <v>727363.83646583557</v>
      </c>
      <c r="CM4">
        <v>-71588.350076675415</v>
      </c>
      <c r="CN4">
        <v>636292.52108192444</v>
      </c>
      <c r="CO4">
        <v>413383.47424888611</v>
      </c>
      <c r="CP4">
        <v>-512859.25123786926</v>
      </c>
      <c r="CQ4">
        <v>625036.35594749451</v>
      </c>
      <c r="CR4">
        <v>57827.886873245239</v>
      </c>
      <c r="CS4">
        <v>812735.15941429138</v>
      </c>
      <c r="CT4">
        <v>-188338.56302452087</v>
      </c>
      <c r="CU4">
        <v>-228850.96567726135</v>
      </c>
      <c r="CV4">
        <v>-697770.4611415863</v>
      </c>
      <c r="CW4">
        <v>385817.65665626526</v>
      </c>
      <c r="CX4">
        <v>546917.45601463318</v>
      </c>
      <c r="CY4">
        <v>-67777.362813949585</v>
      </c>
      <c r="CZ4">
        <v>140034.99679374695</v>
      </c>
      <c r="DA4">
        <v>654470.61652565002</v>
      </c>
      <c r="DB4">
        <v>-108811.13466835022</v>
      </c>
      <c r="DC4">
        <v>-393321.96224021912</v>
      </c>
      <c r="DD4">
        <v>161565.2128276825</v>
      </c>
      <c r="DE4">
        <v>-183696.24926948547</v>
      </c>
      <c r="DF4">
        <v>-26307.868944168091</v>
      </c>
      <c r="DG4">
        <v>-153042.35671043396</v>
      </c>
      <c r="DH4">
        <v>-547422.14757347107</v>
      </c>
      <c r="DI4">
        <v>-194859.04730033875</v>
      </c>
      <c r="DJ4">
        <v>687805.23730278015</v>
      </c>
      <c r="DK4">
        <v>283304.52211952209</v>
      </c>
      <c r="DL4">
        <v>-449725.91966056824</v>
      </c>
      <c r="DM4">
        <v>595910.35229682922</v>
      </c>
      <c r="DN4">
        <v>-121333.47227287292</v>
      </c>
      <c r="DO4">
        <v>318480.22868156433</v>
      </c>
      <c r="DP4">
        <v>-238857.32488441467</v>
      </c>
      <c r="DQ4">
        <v>-158359.64931297302</v>
      </c>
      <c r="DR4">
        <v>-68130.635480880737</v>
      </c>
      <c r="DS4">
        <v>-4179.4471988677979</v>
      </c>
      <c r="DT4">
        <v>-283994.6259098053</v>
      </c>
      <c r="DU4">
        <v>-409707.33136558533</v>
      </c>
      <c r="DV4">
        <v>-22161.46954536438</v>
      </c>
      <c r="DW4">
        <v>21758.049921035767</v>
      </c>
      <c r="DX4">
        <v>237746.78111839294</v>
      </c>
      <c r="DY4">
        <v>-164451.50168037415</v>
      </c>
      <c r="DZ4">
        <v>-188017.99888038635</v>
      </c>
      <c r="EA4">
        <v>358884.43787193298</v>
      </c>
      <c r="EB4">
        <v>-114202.65672492981</v>
      </c>
      <c r="EC4">
        <v>21405.601099014282</v>
      </c>
      <c r="ED4">
        <v>-250381.99424552917</v>
      </c>
      <c r="EE4">
        <v>-195303.8569355011</v>
      </c>
      <c r="EF4">
        <v>127016.8129825592</v>
      </c>
      <c r="EG4">
        <v>174751.23262214661</v>
      </c>
      <c r="EH4">
        <v>83940.93479347229</v>
      </c>
      <c r="EI4">
        <v>36780.553388595581</v>
      </c>
      <c r="EJ4">
        <v>-107745.61789512634</v>
      </c>
      <c r="EK4">
        <v>41689.559320449829</v>
      </c>
      <c r="EL4">
        <v>-28932.566770553589</v>
      </c>
      <c r="EM4">
        <v>-193099.61560630798</v>
      </c>
      <c r="EN4">
        <v>81416.989507675171</v>
      </c>
      <c r="EO4">
        <v>-48223.907197952271</v>
      </c>
      <c r="EP4">
        <v>-7873.1409969329834</v>
      </c>
      <c r="EQ4">
        <v>-121659.91255378723</v>
      </c>
      <c r="ER4">
        <v>64940.09169960022</v>
      </c>
      <c r="ES4">
        <v>-4375.4374523162842</v>
      </c>
      <c r="ET4">
        <v>-37932.223123550415</v>
      </c>
      <c r="EU4">
        <v>-5949.4102458953857</v>
      </c>
      <c r="EV4">
        <v>-103073.08424186707</v>
      </c>
      <c r="EW4">
        <v>-131132.88071250916</v>
      </c>
      <c r="EX4">
        <v>70817.519357681274</v>
      </c>
      <c r="EY4">
        <v>-178542.17121696472</v>
      </c>
      <c r="EZ4">
        <v>-79634.463418960571</v>
      </c>
      <c r="FA4">
        <v>-3058.5601978302002</v>
      </c>
      <c r="FB4">
        <v>49819.498308181763</v>
      </c>
      <c r="FC4">
        <v>-37033.191026687622</v>
      </c>
      <c r="FD4">
        <v>-28168.463129043579</v>
      </c>
      <c r="FE4">
        <v>-118387.02664756775</v>
      </c>
      <c r="FF4">
        <v>-11688.363618850708</v>
      </c>
      <c r="FG4">
        <v>8588.6605014801025</v>
      </c>
      <c r="FH4">
        <v>-46490.215993881226</v>
      </c>
      <c r="FI4">
        <v>25618.835237503052</v>
      </c>
      <c r="FJ4">
        <v>-19321.259901046753</v>
      </c>
      <c r="FK4">
        <v>-55266.114385604858</v>
      </c>
      <c r="FL4">
        <v>33708.965143203735</v>
      </c>
      <c r="FM4">
        <v>-46863.011491775513</v>
      </c>
      <c r="FN4">
        <v>-75915.454427719116</v>
      </c>
      <c r="FO4">
        <v>-104746.37573814392</v>
      </c>
      <c r="FP4">
        <v>-14189.177988052368</v>
      </c>
      <c r="FQ4">
        <v>-38673.533292770386</v>
      </c>
      <c r="FR4">
        <v>-155033.26521873474</v>
      </c>
      <c r="FS4">
        <v>-91662.315401077271</v>
      </c>
      <c r="FT4">
        <v>-126381.55893135071</v>
      </c>
      <c r="FU4">
        <v>-125992.7347202301</v>
      </c>
      <c r="FV4">
        <v>6596.5525493621826</v>
      </c>
      <c r="FW4">
        <v>-99356.445039749146</v>
      </c>
      <c r="FX4">
        <v>-99353.000886917114</v>
      </c>
      <c r="FY4">
        <v>-33536.566289901733</v>
      </c>
      <c r="FZ4">
        <v>-34912.189470291138</v>
      </c>
      <c r="GA4">
        <v>-25183.74245262146</v>
      </c>
      <c r="GB4">
        <v>-97870.378522872925</v>
      </c>
      <c r="GC4">
        <v>-87530.968893051147</v>
      </c>
      <c r="GD4">
        <v>5031.9423503875732</v>
      </c>
      <c r="GE4">
        <v>-22268.470365524292</v>
      </c>
      <c r="GF4">
        <v>-58900.052392959595</v>
      </c>
      <c r="GG4">
        <v>-81073.435129165649</v>
      </c>
      <c r="GH4">
        <v>-21098.095724105835</v>
      </c>
      <c r="GI4">
        <v>-71730.251173019409</v>
      </c>
      <c r="GJ4">
        <v>-24560.210008621216</v>
      </c>
      <c r="GK4">
        <v>-73311.062994003296</v>
      </c>
      <c r="GL4">
        <v>-49850.805196762085</v>
      </c>
      <c r="GM4">
        <v>-70432.663824081421</v>
      </c>
      <c r="GN4">
        <v>-69894.727991104126</v>
      </c>
      <c r="GO4">
        <v>-9814.1092166900635</v>
      </c>
      <c r="GP4">
        <v>-74799.686693191528</v>
      </c>
      <c r="GQ4">
        <v>-27027.228422164917</v>
      </c>
      <c r="GR4">
        <v>-75320.621194839478</v>
      </c>
    </row>
    <row r="5" spans="1:200" x14ac:dyDescent="0.25">
      <c r="A5">
        <v>-27435205.895605087</v>
      </c>
      <c r="B5">
        <v>442483.59310340881</v>
      </c>
      <c r="C5">
        <v>-726433.18869590759</v>
      </c>
      <c r="D5">
        <v>1496333.9931278229</v>
      </c>
      <c r="E5">
        <v>-27992484.85562706</v>
      </c>
      <c r="F5">
        <v>20336386.464380264</v>
      </c>
      <c r="G5">
        <v>17248944.922327042</v>
      </c>
      <c r="H5">
        <v>-5505181.1354732513</v>
      </c>
      <c r="I5">
        <v>-3021649.5663814545</v>
      </c>
      <c r="J5">
        <v>28534365.00374794</v>
      </c>
      <c r="K5">
        <v>-8667061.3418941498</v>
      </c>
      <c r="L5">
        <v>41392360.211633682</v>
      </c>
      <c r="M5">
        <v>-9368731.7198848724</v>
      </c>
      <c r="N5">
        <v>-19297328.775426865</v>
      </c>
      <c r="O5">
        <v>-65846712.243810654</v>
      </c>
      <c r="P5">
        <v>2088496.0183963776</v>
      </c>
      <c r="Q5">
        <v>-15673337.979284286</v>
      </c>
      <c r="R5">
        <v>16023384.496667862</v>
      </c>
      <c r="S5">
        <v>31533085.073389053</v>
      </c>
      <c r="T5">
        <v>-35915862.430822372</v>
      </c>
      <c r="U5">
        <v>112490.89461708069</v>
      </c>
      <c r="V5">
        <v>1971494.2168827057</v>
      </c>
      <c r="W5">
        <v>31146684.333337784</v>
      </c>
      <c r="X5">
        <v>-1167351.5724239349</v>
      </c>
      <c r="Y5">
        <v>-2094271.5531368256</v>
      </c>
      <c r="Z5">
        <v>27281286.622156143</v>
      </c>
      <c r="AA5">
        <v>7047180.2148075104</v>
      </c>
      <c r="AB5">
        <v>-18513126.112218857</v>
      </c>
      <c r="AC5">
        <v>-9812404.5455684662</v>
      </c>
      <c r="AD5">
        <v>15452008.683679581</v>
      </c>
      <c r="AE5">
        <v>-15484611.150548935</v>
      </c>
      <c r="AF5">
        <v>9306807.3243045807</v>
      </c>
      <c r="AG5">
        <v>1778458.1079959869</v>
      </c>
      <c r="AH5">
        <v>-11308755.649084091</v>
      </c>
      <c r="AI5">
        <v>-10715403.929235458</v>
      </c>
      <c r="AJ5">
        <v>-764041.84598350525</v>
      </c>
      <c r="AK5">
        <v>5586347.5573368073</v>
      </c>
      <c r="AL5">
        <v>-3641684.6726436615</v>
      </c>
      <c r="AM5">
        <v>-154287.74612998962</v>
      </c>
      <c r="AN5">
        <v>3367181.8976688385</v>
      </c>
      <c r="AO5">
        <v>-12965034.471960068</v>
      </c>
      <c r="AP5">
        <v>-10535934.62918663</v>
      </c>
      <c r="AQ5">
        <v>3578824.9449100494</v>
      </c>
      <c r="AR5">
        <v>8118799.5839481354</v>
      </c>
      <c r="AS5">
        <v>-9693369.3518428802</v>
      </c>
      <c r="AT5">
        <v>-395465.28641319275</v>
      </c>
      <c r="AU5">
        <v>-4241.7711544036865</v>
      </c>
      <c r="AV5">
        <v>-15395839.74234581</v>
      </c>
      <c r="AW5">
        <v>10369737.684167862</v>
      </c>
      <c r="AX5">
        <v>7356398.8992557526</v>
      </c>
      <c r="AY5">
        <v>-7043631.7840938568</v>
      </c>
      <c r="AZ5">
        <v>11869331.648767471</v>
      </c>
      <c r="BA5">
        <v>6185311.633020401</v>
      </c>
      <c r="BB5">
        <v>4135772.0735721588</v>
      </c>
      <c r="BC5">
        <v>-16950419.445226669</v>
      </c>
      <c r="BD5">
        <v>3602979.3676395416</v>
      </c>
      <c r="BE5">
        <v>633689.4621219635</v>
      </c>
      <c r="BF5">
        <v>34307.370080947876</v>
      </c>
      <c r="BG5">
        <v>2522435.4707889557</v>
      </c>
      <c r="BH5">
        <v>-11029828.322301865</v>
      </c>
      <c r="BI5">
        <v>-7312076.7005977631</v>
      </c>
      <c r="BJ5">
        <v>-4649091.820104599</v>
      </c>
      <c r="BK5">
        <v>-7293737.1236934662</v>
      </c>
      <c r="BL5">
        <v>9903816.2339725494</v>
      </c>
      <c r="BM5">
        <v>-8757297.3338985443</v>
      </c>
      <c r="BN5">
        <v>-3752234.5321407318</v>
      </c>
      <c r="BO5">
        <v>1150407.1750125885</v>
      </c>
      <c r="BP5">
        <v>8157706.0544071198</v>
      </c>
      <c r="BQ5">
        <v>1288592.1922245026</v>
      </c>
      <c r="BR5">
        <v>-733118.7839717865</v>
      </c>
      <c r="BS5">
        <v>-1990284.4934444427</v>
      </c>
      <c r="BT5">
        <v>-6723931.8069210052</v>
      </c>
      <c r="BU5">
        <v>2581315.6404666901</v>
      </c>
      <c r="BV5">
        <v>-2755159.8653926849</v>
      </c>
      <c r="BW5">
        <v>-1048118.654088974</v>
      </c>
      <c r="BX5">
        <v>-1933948.4067745209</v>
      </c>
      <c r="BY5">
        <v>-1306954.0123653412</v>
      </c>
      <c r="BZ5">
        <v>-608395.63516807556</v>
      </c>
      <c r="CA5">
        <v>5962530.7926883698</v>
      </c>
      <c r="CB5">
        <v>-921042.56265830994</v>
      </c>
      <c r="CC5">
        <v>2466080.7784061432</v>
      </c>
      <c r="CD5">
        <v>3683530.0734500885</v>
      </c>
      <c r="CE5">
        <v>3120355.1270389557</v>
      </c>
      <c r="CF5">
        <v>-6716469.4780635834</v>
      </c>
      <c r="CG5">
        <v>4707101.6249637604</v>
      </c>
      <c r="CH5">
        <v>980033.02132606506</v>
      </c>
      <c r="CI5">
        <v>1558855.5070438385</v>
      </c>
      <c r="CJ5">
        <v>3707403.0230350494</v>
      </c>
      <c r="CK5">
        <v>7085233.3748416901</v>
      </c>
      <c r="CL5">
        <v>-500123.0202999115</v>
      </c>
      <c r="CM5">
        <v>3988584.0265750885</v>
      </c>
      <c r="CN5">
        <v>-43011.275548934937</v>
      </c>
      <c r="CO5">
        <v>-66164.937047958374</v>
      </c>
      <c r="CP5">
        <v>163640.82784461975</v>
      </c>
      <c r="CQ5">
        <v>159950.47542762756</v>
      </c>
      <c r="CR5">
        <v>1379469.5479373932</v>
      </c>
      <c r="CS5">
        <v>2109847.7860965729</v>
      </c>
      <c r="CT5">
        <v>3585365.1100711823</v>
      </c>
      <c r="CU5">
        <v>2696273.9699344635</v>
      </c>
      <c r="CV5">
        <v>2823741.2127323151</v>
      </c>
      <c r="CW5">
        <v>2071871.8699588776</v>
      </c>
      <c r="CX5">
        <v>-482063.61368370056</v>
      </c>
      <c r="CY5">
        <v>1478194.7854862213</v>
      </c>
      <c r="CZ5">
        <v>1732994.8280887604</v>
      </c>
      <c r="DA5">
        <v>328287.60701942444</v>
      </c>
      <c r="DB5">
        <v>-676515.03519248962</v>
      </c>
      <c r="DC5">
        <v>2210334.1518192291</v>
      </c>
      <c r="DD5">
        <v>2073345.1327762604</v>
      </c>
      <c r="DE5">
        <v>-1066654.0510616302</v>
      </c>
      <c r="DF5">
        <v>1225852.6734256744</v>
      </c>
      <c r="DG5">
        <v>1092799.1473026276</v>
      </c>
      <c r="DH5">
        <v>-382176.41629600525</v>
      </c>
      <c r="DI5">
        <v>264783.58773231506</v>
      </c>
      <c r="DJ5">
        <v>-426326.71341514587</v>
      </c>
      <c r="DK5">
        <v>462396.58394813538</v>
      </c>
      <c r="DL5">
        <v>762743.49483680725</v>
      </c>
      <c r="DM5">
        <v>619532.07418251038</v>
      </c>
      <c r="DN5">
        <v>389168.2375125885</v>
      </c>
      <c r="DO5">
        <v>467032.412317276</v>
      </c>
      <c r="DP5">
        <v>270536.750207901</v>
      </c>
      <c r="DQ5">
        <v>673721.67879676819</v>
      </c>
      <c r="DR5">
        <v>116467.39290809631</v>
      </c>
      <c r="DS5">
        <v>1752150.0966434479</v>
      </c>
      <c r="DT5">
        <v>167019.58785438538</v>
      </c>
      <c r="DU5">
        <v>1083675.9497928619</v>
      </c>
      <c r="DV5">
        <v>681425.54757118225</v>
      </c>
      <c r="DW5">
        <v>402744.30526161194</v>
      </c>
      <c r="DX5">
        <v>441248.92769813538</v>
      </c>
      <c r="DY5">
        <v>400026.41366004944</v>
      </c>
      <c r="DZ5">
        <v>-299257.57742881775</v>
      </c>
      <c r="EA5">
        <v>-172029.17606163025</v>
      </c>
      <c r="EB5">
        <v>157608.47567176819</v>
      </c>
      <c r="EC5">
        <v>682552.50289344788</v>
      </c>
      <c r="ED5">
        <v>411038.86995887756</v>
      </c>
      <c r="EE5">
        <v>803221.89290809631</v>
      </c>
      <c r="EF5">
        <v>324318.82369422913</v>
      </c>
      <c r="EG5">
        <v>360381.36873817444</v>
      </c>
      <c r="EH5">
        <v>790492.71444129944</v>
      </c>
      <c r="EI5">
        <v>769421.4562625885</v>
      </c>
      <c r="EJ5">
        <v>120708.81478309631</v>
      </c>
      <c r="EK5">
        <v>-268147.39774131775</v>
      </c>
      <c r="EL5">
        <v>477294.5851688385</v>
      </c>
      <c r="EM5">
        <v>305173.076379776</v>
      </c>
      <c r="EN5">
        <v>130247.71712684631</v>
      </c>
      <c r="EO5">
        <v>58053.786096572876</v>
      </c>
      <c r="EP5">
        <v>286995.02706336975</v>
      </c>
      <c r="EQ5">
        <v>539608.011926651</v>
      </c>
      <c r="ER5">
        <v>81284.942468643188</v>
      </c>
      <c r="ES5">
        <v>857007.99569129944</v>
      </c>
      <c r="ET5">
        <v>-81129.444860458374</v>
      </c>
      <c r="EU5">
        <v>147704.19771766663</v>
      </c>
      <c r="EV5">
        <v>269320.07479286194</v>
      </c>
      <c r="EW5">
        <v>252778.66512489319</v>
      </c>
      <c r="EX5">
        <v>448493.97750282288</v>
      </c>
      <c r="EY5">
        <v>318975.41414833069</v>
      </c>
      <c r="EZ5">
        <v>421141.54952430725</v>
      </c>
      <c r="FA5">
        <v>421488.69869422913</v>
      </c>
      <c r="FB5">
        <v>195245.261926651</v>
      </c>
      <c r="FC5">
        <v>386283.80806922913</v>
      </c>
      <c r="FD5">
        <v>475153.00032997131</v>
      </c>
      <c r="FE5">
        <v>457351.96615028381</v>
      </c>
      <c r="FF5">
        <v>87458.515954971313</v>
      </c>
      <c r="FG5">
        <v>577345.00557899475</v>
      </c>
      <c r="FH5">
        <v>419294.824426651</v>
      </c>
      <c r="FI5">
        <v>360632.10946083069</v>
      </c>
      <c r="FJ5">
        <v>247942.07528114319</v>
      </c>
      <c r="FK5">
        <v>451509.0207157135</v>
      </c>
      <c r="FL5">
        <v>433536.79854774475</v>
      </c>
      <c r="FM5">
        <v>168522.30025672913</v>
      </c>
      <c r="FN5">
        <v>135899.91182899475</v>
      </c>
      <c r="FO5">
        <v>522424.5382938385</v>
      </c>
      <c r="FP5">
        <v>221047.08016395569</v>
      </c>
      <c r="FQ5">
        <v>277998.37166786194</v>
      </c>
      <c r="FR5">
        <v>400121.80123329163</v>
      </c>
      <c r="FS5">
        <v>253243.97493934631</v>
      </c>
      <c r="FT5">
        <v>203723.41988563538</v>
      </c>
      <c r="FU5">
        <v>329464.39644813538</v>
      </c>
      <c r="FV5">
        <v>404401.11715126038</v>
      </c>
      <c r="FW5">
        <v>173204.918176651</v>
      </c>
      <c r="FX5">
        <v>381152.27315711975</v>
      </c>
      <c r="FY5">
        <v>400688.03975868225</v>
      </c>
      <c r="FZ5">
        <v>206738.70455360413</v>
      </c>
      <c r="GA5">
        <v>357244.17220497131</v>
      </c>
      <c r="GB5">
        <v>358367.01534461975</v>
      </c>
      <c r="GC5">
        <v>254820.11239051819</v>
      </c>
      <c r="GD5">
        <v>236491.40572547913</v>
      </c>
      <c r="GE5">
        <v>240335.15072059631</v>
      </c>
      <c r="GF5">
        <v>355547.15218544006</v>
      </c>
      <c r="GG5">
        <v>301945.06344032288</v>
      </c>
      <c r="GH5">
        <v>281541.65120887756</v>
      </c>
      <c r="GI5">
        <v>310113.76510047913</v>
      </c>
      <c r="GJ5">
        <v>326111.18856239319</v>
      </c>
      <c r="GK5">
        <v>308356.52803993225</v>
      </c>
      <c r="GL5">
        <v>264812.17733192444</v>
      </c>
      <c r="GM5">
        <v>343026.08407020569</v>
      </c>
      <c r="GN5">
        <v>263211.84627723694</v>
      </c>
      <c r="GO5">
        <v>278202.54403114319</v>
      </c>
      <c r="GP5">
        <v>394379.76436805725</v>
      </c>
      <c r="GQ5">
        <v>282341.75423622131</v>
      </c>
      <c r="GR5">
        <v>341055.14071083069</v>
      </c>
    </row>
    <row r="6" spans="1:200" x14ac:dyDescent="0.25">
      <c r="A6">
        <v>-171360442.80070496</v>
      </c>
      <c r="B6">
        <v>57045209.363845825</v>
      </c>
      <c r="C6">
        <v>84041522.761306763</v>
      </c>
      <c r="D6">
        <v>160632509.87800598</v>
      </c>
      <c r="E6">
        <v>-103104234.9818573</v>
      </c>
      <c r="F6">
        <v>43282483.910720825</v>
      </c>
      <c r="G6">
        <v>98742727.399978638</v>
      </c>
      <c r="H6">
        <v>-29099523.648361206</v>
      </c>
      <c r="I6">
        <v>-139375631.53947449</v>
      </c>
      <c r="J6">
        <v>157467590.98396301</v>
      </c>
      <c r="K6">
        <v>-34660901.6381073</v>
      </c>
      <c r="L6">
        <v>101220690.98493958</v>
      </c>
      <c r="M6">
        <v>-205511876.74211121</v>
      </c>
      <c r="N6">
        <v>10675036.233963013</v>
      </c>
      <c r="O6">
        <v>-409672074.6537323</v>
      </c>
      <c r="P6">
        <v>30799239.469802856</v>
      </c>
      <c r="Q6">
        <v>-201116482.06193542</v>
      </c>
      <c r="R6">
        <v>-89884699.944747925</v>
      </c>
      <c r="S6">
        <v>52822595.33454895</v>
      </c>
      <c r="T6">
        <v>-135014976.5365448</v>
      </c>
      <c r="U6">
        <v>-18663112.594161987</v>
      </c>
      <c r="V6">
        <v>86692039.223220825</v>
      </c>
      <c r="W6">
        <v>405237021.95661926</v>
      </c>
      <c r="X6">
        <v>-6317411.3939666748</v>
      </c>
      <c r="Y6">
        <v>-44949506.928634644</v>
      </c>
      <c r="Z6">
        <v>211888889.45368958</v>
      </c>
      <c r="AA6">
        <v>-15508970.574142456</v>
      </c>
      <c r="AB6">
        <v>-134060797.95500183</v>
      </c>
      <c r="AC6">
        <v>-23137153.676681519</v>
      </c>
      <c r="AD6">
        <v>116135917.55867004</v>
      </c>
      <c r="AE6">
        <v>-213641000.79533386</v>
      </c>
      <c r="AF6">
        <v>22004945.110916138</v>
      </c>
      <c r="AG6">
        <v>113207082.06355286</v>
      </c>
      <c r="AH6">
        <v>-67847595.963302612</v>
      </c>
      <c r="AI6">
        <v>-48031334.909591675</v>
      </c>
      <c r="AJ6">
        <v>-55012143.613693237</v>
      </c>
      <c r="AK6">
        <v>39629296.136306763</v>
      </c>
      <c r="AL6">
        <v>-63295605.967697144</v>
      </c>
      <c r="AM6">
        <v>-55725833.756271362</v>
      </c>
      <c r="AN6">
        <v>8966553.4068145752</v>
      </c>
      <c r="AO6">
        <v>-29557564.51701355</v>
      </c>
      <c r="AP6">
        <v>-81941672.386154175</v>
      </c>
      <c r="AQ6">
        <v>83553543.34236145</v>
      </c>
      <c r="AR6">
        <v>38263071.952713013</v>
      </c>
      <c r="AS6">
        <v>-81425125.207443237</v>
      </c>
      <c r="AT6">
        <v>-39071099.744552612</v>
      </c>
      <c r="AU6">
        <v>-49816985.652755737</v>
      </c>
      <c r="AV6">
        <v>-119253925.5677948</v>
      </c>
      <c r="AW6">
        <v>67265659.938064575</v>
      </c>
      <c r="AX6">
        <v>54562533.771072388</v>
      </c>
      <c r="AY6">
        <v>-8317698.9037322998</v>
      </c>
      <c r="AZ6">
        <v>91962058.302322388</v>
      </c>
      <c r="BA6">
        <v>38691737.388748169</v>
      </c>
      <c r="BB6">
        <v>12302385.907791138</v>
      </c>
      <c r="BC6">
        <v>-149812192.34220886</v>
      </c>
      <c r="BD6">
        <v>-9005799.8710174561</v>
      </c>
      <c r="BE6">
        <v>13289914.140213013</v>
      </c>
      <c r="BF6">
        <v>-2654194.7201385498</v>
      </c>
      <c r="BG6">
        <v>11980521.314041138</v>
      </c>
      <c r="BH6">
        <v>-46650921.49357605</v>
      </c>
      <c r="BI6">
        <v>-15542715.436935425</v>
      </c>
      <c r="BJ6">
        <v>-48079684.1693573</v>
      </c>
      <c r="BK6">
        <v>-47713924.939865112</v>
      </c>
      <c r="BL6">
        <v>40449515.691970825</v>
      </c>
      <c r="BM6">
        <v>-69742289.904708862</v>
      </c>
      <c r="BN6">
        <v>-20634876.40763855</v>
      </c>
      <c r="BO6">
        <v>-5754143.5038299561</v>
      </c>
      <c r="BP6">
        <v>55998716.664138794</v>
      </c>
      <c r="BQ6">
        <v>18530786.980545044</v>
      </c>
      <c r="BR6">
        <v>10902488.44392395</v>
      </c>
      <c r="BS6">
        <v>-20890646.952560425</v>
      </c>
      <c r="BT6">
        <v>-31687712.1302948</v>
      </c>
      <c r="BU6">
        <v>-2910706.0443572998</v>
      </c>
      <c r="BV6">
        <v>-11546754.995529175</v>
      </c>
      <c r="BW6">
        <v>18982479.214431763</v>
      </c>
      <c r="BX6">
        <v>2975764.8609161377</v>
      </c>
      <c r="BY6">
        <v>-9597639.6634979248</v>
      </c>
      <c r="BZ6">
        <v>-1362012.2484588623</v>
      </c>
      <c r="CA6">
        <v>43166901.3540802</v>
      </c>
      <c r="CB6">
        <v>-4486332.8553924561</v>
      </c>
      <c r="CC6">
        <v>9115518.7764434814</v>
      </c>
      <c r="CD6">
        <v>13005239.983474731</v>
      </c>
      <c r="CE6">
        <v>27186702.920974731</v>
      </c>
      <c r="CF6">
        <v>-35808477.68107605</v>
      </c>
      <c r="CG6">
        <v>33691084.083572388</v>
      </c>
      <c r="CH6">
        <v>7672592.3369903564</v>
      </c>
      <c r="CI6">
        <v>12045967.121658325</v>
      </c>
      <c r="CJ6">
        <v>23675782.025466919</v>
      </c>
      <c r="CK6">
        <v>40451343.9478302</v>
      </c>
      <c r="CL6">
        <v>234995.04499816895</v>
      </c>
      <c r="CM6">
        <v>21771247.962478638</v>
      </c>
      <c r="CN6">
        <v>70460.523513793945</v>
      </c>
      <c r="CO6">
        <v>-3234904.0316619873</v>
      </c>
      <c r="CP6">
        <v>4923747.3511505127</v>
      </c>
      <c r="CQ6">
        <v>7948199.0904083252</v>
      </c>
      <c r="CR6">
        <v>1157394.6729278564</v>
      </c>
      <c r="CS6">
        <v>12529710.032302856</v>
      </c>
      <c r="CT6">
        <v>21301027.081130981</v>
      </c>
      <c r="CU6">
        <v>14849131.75642395</v>
      </c>
      <c r="CV6">
        <v>20496389.628982544</v>
      </c>
      <c r="CW6">
        <v>15065987.181716919</v>
      </c>
      <c r="CX6">
        <v>4408969.7378692627</v>
      </c>
      <c r="CY6">
        <v>4109806.8936309814</v>
      </c>
      <c r="CZ6">
        <v>11690747.890701294</v>
      </c>
      <c r="DA6">
        <v>5670871.4922637939</v>
      </c>
      <c r="DB6">
        <v>-6017944.1083221436</v>
      </c>
      <c r="DC6">
        <v>19817029.394607544</v>
      </c>
      <c r="DD6">
        <v>16766496.718826294</v>
      </c>
      <c r="DE6">
        <v>1844291.4688262939</v>
      </c>
      <c r="DF6">
        <v>3725825.5738067627</v>
      </c>
      <c r="DG6">
        <v>4936239.0108184814</v>
      </c>
      <c r="DH6">
        <v>-1510923.8778533936</v>
      </c>
      <c r="DI6">
        <v>2286914.1597442627</v>
      </c>
      <c r="DJ6">
        <v>1452149.2012481689</v>
      </c>
      <c r="DK6">
        <v>4645915.1812286377</v>
      </c>
      <c r="DL6">
        <v>12089453.470779419</v>
      </c>
      <c r="DM6">
        <v>7496691.7696075439</v>
      </c>
      <c r="DN6">
        <v>7388184.6441192627</v>
      </c>
      <c r="DO6">
        <v>994400.42976379395</v>
      </c>
      <c r="DP6">
        <v>2089022.5884552002</v>
      </c>
      <c r="DQ6">
        <v>5318215.1714630127</v>
      </c>
      <c r="DR6">
        <v>4629349.2271270752</v>
      </c>
      <c r="DS6">
        <v>9317598.7364044189</v>
      </c>
      <c r="DT6">
        <v>7937700.1348419189</v>
      </c>
      <c r="DU6">
        <v>7818179.4839630127</v>
      </c>
      <c r="DV6">
        <v>5474694.9727325439</v>
      </c>
      <c r="DW6">
        <v>1916147.2886505127</v>
      </c>
      <c r="DX6">
        <v>3564852.2520294189</v>
      </c>
      <c r="DY6">
        <v>7477924.4278106689</v>
      </c>
      <c r="DZ6">
        <v>-566692.88078308105</v>
      </c>
      <c r="EA6">
        <v>3703926.1187286377</v>
      </c>
      <c r="EB6">
        <v>5945554.8169708252</v>
      </c>
      <c r="EC6">
        <v>5775782.9029083252</v>
      </c>
      <c r="ED6">
        <v>4239404.4766387939</v>
      </c>
      <c r="EE6">
        <v>7274065.4761505127</v>
      </c>
      <c r="EF6">
        <v>6070993.8740997314</v>
      </c>
      <c r="EG6">
        <v>5495579.1870880127</v>
      </c>
      <c r="EH6">
        <v>4597276.3809356689</v>
      </c>
      <c r="EI6">
        <v>6571215.1699981689</v>
      </c>
      <c r="EJ6">
        <v>6139111.2593536377</v>
      </c>
      <c r="EK6">
        <v>2968147.5742950439</v>
      </c>
      <c r="EL6">
        <v>4633811.6343536377</v>
      </c>
      <c r="EM6">
        <v>4312595.6245880127</v>
      </c>
      <c r="EN6">
        <v>4788180.7847442627</v>
      </c>
      <c r="EO6">
        <v>3674749.1328887939</v>
      </c>
      <c r="EP6">
        <v>3621136.5366973877</v>
      </c>
      <c r="EQ6">
        <v>4866349.7368927002</v>
      </c>
      <c r="ER6">
        <v>5107532.5757598877</v>
      </c>
      <c r="ES6">
        <v>7239990.4473419189</v>
      </c>
      <c r="ET6">
        <v>4006705.7954864502</v>
      </c>
      <c r="EU6">
        <v>3939529.9038848877</v>
      </c>
      <c r="EV6">
        <v>5264512.6133575439</v>
      </c>
      <c r="EW6">
        <v>3178766.9624786377</v>
      </c>
      <c r="EX6">
        <v>6946031.9956817627</v>
      </c>
      <c r="EY6">
        <v>5262648.9532012939</v>
      </c>
      <c r="EZ6">
        <v>6280126.6812286377</v>
      </c>
      <c r="FA6">
        <v>5922348.9449005127</v>
      </c>
      <c r="FB6">
        <v>4572029.7095489502</v>
      </c>
      <c r="FC6">
        <v>5884802.6714630127</v>
      </c>
      <c r="FD6">
        <v>5989479.4097442627</v>
      </c>
      <c r="FE6">
        <v>6639082.3672637939</v>
      </c>
      <c r="FF6">
        <v>3428615.8638458252</v>
      </c>
      <c r="FG6">
        <v>5911980.9204864502</v>
      </c>
      <c r="FH6">
        <v>5451767.7627716064</v>
      </c>
      <c r="FI6">
        <v>5213511.4429473877</v>
      </c>
      <c r="FJ6">
        <v>4940693.1797637939</v>
      </c>
      <c r="FK6">
        <v>5937903.0157012939</v>
      </c>
      <c r="FL6">
        <v>6112688.9903106689</v>
      </c>
      <c r="FM6">
        <v>4908532.5445098877</v>
      </c>
      <c r="FN6">
        <v>4584749.7661895752</v>
      </c>
      <c r="FO6">
        <v>6024286.7022247314</v>
      </c>
      <c r="FP6">
        <v>4391874.7500762939</v>
      </c>
      <c r="FQ6">
        <v>4917380.7403106689</v>
      </c>
      <c r="FR6">
        <v>5553180.6919708252</v>
      </c>
      <c r="FS6">
        <v>5417448.3316192627</v>
      </c>
      <c r="FT6">
        <v>4322910.9136505127</v>
      </c>
      <c r="FU6">
        <v>5646159.3672637939</v>
      </c>
      <c r="FV6">
        <v>5995333.6392364502</v>
      </c>
      <c r="FW6">
        <v>4595869.4497833252</v>
      </c>
      <c r="FX6">
        <v>5339789.4331817627</v>
      </c>
      <c r="FY6">
        <v>5898476.7842559814</v>
      </c>
      <c r="FZ6">
        <v>4586317.6333770752</v>
      </c>
      <c r="GA6">
        <v>5408298.8448028564</v>
      </c>
      <c r="GB6">
        <v>5370320.0454864502</v>
      </c>
      <c r="GC6">
        <v>4701224.8960723877</v>
      </c>
      <c r="GD6">
        <v>5088155.5425567627</v>
      </c>
      <c r="GE6">
        <v>5180654.3506622314</v>
      </c>
      <c r="GF6">
        <v>5508832.8179473877</v>
      </c>
      <c r="GG6">
        <v>5470467.9649200439</v>
      </c>
      <c r="GH6">
        <v>5119188.5972442627</v>
      </c>
      <c r="GI6">
        <v>5182266.5479278564</v>
      </c>
      <c r="GJ6">
        <v>5501588.9849395752</v>
      </c>
      <c r="GK6">
        <v>5095843.9898223877</v>
      </c>
      <c r="GL6">
        <v>5110798.6782989502</v>
      </c>
      <c r="GM6">
        <v>5136501.3418731689</v>
      </c>
      <c r="GN6">
        <v>4782044.1753692627</v>
      </c>
      <c r="GO6">
        <v>5213543.5757598877</v>
      </c>
      <c r="GP6">
        <v>5574270.7949981689</v>
      </c>
      <c r="GQ6">
        <v>5240531.9849395752</v>
      </c>
      <c r="GR6">
        <v>5381780.1597442627</v>
      </c>
    </row>
    <row r="7" spans="1:200" x14ac:dyDescent="0.25">
      <c r="A7">
        <v>3555907.255604744</v>
      </c>
      <c r="B7">
        <v>-1556993.274430275</v>
      </c>
      <c r="C7">
        <v>642536.12468147278</v>
      </c>
      <c r="D7">
        <v>4017617.9235706329</v>
      </c>
      <c r="E7">
        <v>-1288385.411901474</v>
      </c>
      <c r="F7">
        <v>-3207805.4100608826</v>
      </c>
      <c r="G7">
        <v>-1798596.8030462265</v>
      </c>
      <c r="H7">
        <v>361726.99656867981</v>
      </c>
      <c r="I7">
        <v>-5275820.0618534088</v>
      </c>
      <c r="J7">
        <v>-392067.97326564789</v>
      </c>
      <c r="K7">
        <v>-2217137.3819303513</v>
      </c>
      <c r="L7">
        <v>3834943.2700071335</v>
      </c>
      <c r="M7">
        <v>2730670.9570531845</v>
      </c>
      <c r="N7">
        <v>-2861109.1895799637</v>
      </c>
      <c r="O7">
        <v>1755411.6378564835</v>
      </c>
      <c r="P7">
        <v>-2173688.4917593002</v>
      </c>
      <c r="Q7">
        <v>3220504.5184412003</v>
      </c>
      <c r="R7">
        <v>196704.8770570755</v>
      </c>
      <c r="S7">
        <v>4378537.6160821915</v>
      </c>
      <c r="T7">
        <v>-1189705.9273786545</v>
      </c>
      <c r="U7">
        <v>-2030943.3502721786</v>
      </c>
      <c r="V7">
        <v>3843245.8424749374</v>
      </c>
      <c r="W7">
        <v>-3820986.0812444687</v>
      </c>
      <c r="X7">
        <v>-1811211.6512079239</v>
      </c>
      <c r="Y7">
        <v>-958005.94864559174</v>
      </c>
      <c r="Z7">
        <v>-3415386.1857213974</v>
      </c>
      <c r="AA7">
        <v>-1781826.8032693863</v>
      </c>
      <c r="AB7">
        <v>3478962.5861196518</v>
      </c>
      <c r="AC7">
        <v>963949.62060451508</v>
      </c>
      <c r="AD7">
        <v>-671752.46075725555</v>
      </c>
      <c r="AE7">
        <v>5236687.2257165909</v>
      </c>
      <c r="AF7">
        <v>-443478.31390666962</v>
      </c>
      <c r="AG7">
        <v>-2113958.5259160995</v>
      </c>
      <c r="AH7">
        <v>-2143014.1226377487</v>
      </c>
      <c r="AI7">
        <v>181089.96884822845</v>
      </c>
      <c r="AJ7">
        <v>421253.76773166656</v>
      </c>
      <c r="AK7">
        <v>1841971.9098711014</v>
      </c>
      <c r="AL7">
        <v>915781.0152721405</v>
      </c>
      <c r="AM7">
        <v>2369612.7299318314</v>
      </c>
      <c r="AN7">
        <v>41948.529213905334</v>
      </c>
      <c r="AO7">
        <v>-1138104.1869478226</v>
      </c>
      <c r="AP7">
        <v>-1104938.9193468094</v>
      </c>
      <c r="AQ7">
        <v>-1622113.7196359634</v>
      </c>
      <c r="AR7">
        <v>-2767120.5858049393</v>
      </c>
      <c r="AS7">
        <v>1351425.7754583359</v>
      </c>
      <c r="AT7">
        <v>1066038.1296701431</v>
      </c>
      <c r="AU7">
        <v>1799584.1564779282</v>
      </c>
      <c r="AV7">
        <v>1545478.6673803329</v>
      </c>
      <c r="AW7">
        <v>-545470.5727891922</v>
      </c>
      <c r="AX7">
        <v>-1587022.3953466415</v>
      </c>
      <c r="AY7">
        <v>-2426604.6089754105</v>
      </c>
      <c r="AZ7">
        <v>-1708685.1812829971</v>
      </c>
      <c r="BA7">
        <v>-1580781.7522096634</v>
      </c>
      <c r="BB7">
        <v>-755343.51648807526</v>
      </c>
      <c r="BC7">
        <v>2595764.1080904007</v>
      </c>
      <c r="BD7">
        <v>1205592.8425836563</v>
      </c>
      <c r="BE7">
        <v>409729.84156322479</v>
      </c>
      <c r="BF7">
        <v>814722.83859729767</v>
      </c>
      <c r="BG7">
        <v>-1181417.4801340103</v>
      </c>
      <c r="BH7">
        <v>-593120.25945568085</v>
      </c>
      <c r="BI7">
        <v>350464.00373744965</v>
      </c>
      <c r="BJ7">
        <v>1163525.1642866135</v>
      </c>
      <c r="BK7">
        <v>1454768.6915369034</v>
      </c>
      <c r="BL7">
        <v>-650423.2012090683</v>
      </c>
      <c r="BM7">
        <v>1168979.131064415</v>
      </c>
      <c r="BN7">
        <v>481586.99739933014</v>
      </c>
      <c r="BO7">
        <v>468071.78122997284</v>
      </c>
      <c r="BP7">
        <v>-66315.235739707947</v>
      </c>
      <c r="BQ7">
        <v>305815.83570766449</v>
      </c>
      <c r="BR7">
        <v>-502314.14517498016</v>
      </c>
      <c r="BS7">
        <v>659612.68501186371</v>
      </c>
      <c r="BT7">
        <v>748345.97634220123</v>
      </c>
      <c r="BU7">
        <v>607113.28776073456</v>
      </c>
      <c r="BV7">
        <v>421056.11403751373</v>
      </c>
      <c r="BW7">
        <v>-624232.59393215179</v>
      </c>
      <c r="BX7">
        <v>-422904.83466625214</v>
      </c>
      <c r="BY7">
        <v>581356.22452259064</v>
      </c>
      <c r="BZ7">
        <v>285277.17583370209</v>
      </c>
      <c r="CA7">
        <v>-973629.72516918182</v>
      </c>
      <c r="CB7">
        <v>-178949.65869426727</v>
      </c>
      <c r="CC7">
        <v>135496.00895023346</v>
      </c>
      <c r="CD7">
        <v>-417048.38483524323</v>
      </c>
      <c r="CE7">
        <v>-158801.99610996246</v>
      </c>
      <c r="CF7">
        <v>649988.64431095123</v>
      </c>
      <c r="CG7">
        <v>104694.53808879852</v>
      </c>
      <c r="CH7">
        <v>184768.24384021759</v>
      </c>
      <c r="CI7">
        <v>135007.24476528168</v>
      </c>
      <c r="CJ7">
        <v>146128.76822376251</v>
      </c>
      <c r="CK7">
        <v>-848226.98084354401</v>
      </c>
      <c r="CL7">
        <v>19332.379927635193</v>
      </c>
      <c r="CM7">
        <v>100544.18165493011</v>
      </c>
      <c r="CN7">
        <v>-23553.541766166687</v>
      </c>
      <c r="CO7">
        <v>42845.252926826477</v>
      </c>
      <c r="CP7">
        <v>97876.934840202332</v>
      </c>
      <c r="CQ7">
        <v>133558.74754619598</v>
      </c>
      <c r="CR7">
        <v>224460.89442157745</v>
      </c>
      <c r="CS7">
        <v>85163.525109291077</v>
      </c>
      <c r="CT7">
        <v>-213366.95098590851</v>
      </c>
      <c r="CU7">
        <v>12686.37176990509</v>
      </c>
      <c r="CV7">
        <v>-271181.97315502167</v>
      </c>
      <c r="CW7">
        <v>95536.336979866028</v>
      </c>
      <c r="CX7">
        <v>-18207.579615592957</v>
      </c>
      <c r="CY7">
        <v>186371.28287029266</v>
      </c>
      <c r="CZ7">
        <v>20635.099949836731</v>
      </c>
      <c r="DA7">
        <v>166935.72341632843</v>
      </c>
      <c r="DB7">
        <v>156815.63509464264</v>
      </c>
      <c r="DC7">
        <v>-236703.11584758759</v>
      </c>
      <c r="DD7">
        <v>-18451.385731697083</v>
      </c>
      <c r="DE7">
        <v>-131597.9772310257</v>
      </c>
      <c r="DF7">
        <v>162883.19411754608</v>
      </c>
      <c r="DG7">
        <v>-48709.651085853577</v>
      </c>
      <c r="DH7">
        <v>-160142.99933719635</v>
      </c>
      <c r="DI7">
        <v>-94630.059712409973</v>
      </c>
      <c r="DJ7">
        <v>172858.52463245392</v>
      </c>
      <c r="DK7">
        <v>-15763.345313072205</v>
      </c>
      <c r="DL7">
        <v>-220118.88648891449</v>
      </c>
      <c r="DM7">
        <v>183091.41385173798</v>
      </c>
      <c r="DN7">
        <v>-51351.902899742126</v>
      </c>
      <c r="DO7">
        <v>175986.88867473602</v>
      </c>
      <c r="DP7">
        <v>-18943.897734642029</v>
      </c>
      <c r="DQ7">
        <v>-7292.9735441207886</v>
      </c>
      <c r="DR7">
        <v>-65036.063012123108</v>
      </c>
      <c r="DS7">
        <v>-37806.880108833313</v>
      </c>
      <c r="DT7">
        <v>-141609.38462543488</v>
      </c>
      <c r="DU7">
        <v>-181624.2487821579</v>
      </c>
      <c r="DV7">
        <v>33924.022828102112</v>
      </c>
      <c r="DW7">
        <v>87355.436814308167</v>
      </c>
      <c r="DX7">
        <v>72547.006070137024</v>
      </c>
      <c r="DY7">
        <v>-103569.0192117691</v>
      </c>
      <c r="DZ7">
        <v>10745.008582115173</v>
      </c>
      <c r="EA7">
        <v>64288.068902015686</v>
      </c>
      <c r="EB7">
        <v>-67701.690705299377</v>
      </c>
      <c r="EC7">
        <v>-26511.804690361023</v>
      </c>
      <c r="ED7">
        <v>-69005.864678382874</v>
      </c>
      <c r="EE7">
        <v>-38762.87291431427</v>
      </c>
      <c r="EF7">
        <v>-1966.2165861129761</v>
      </c>
      <c r="EG7">
        <v>-24614.589970588684</v>
      </c>
      <c r="EH7">
        <v>65099.910658836365</v>
      </c>
      <c r="EI7">
        <v>-14056.445115089417</v>
      </c>
      <c r="EJ7">
        <v>-73389.654227256775</v>
      </c>
      <c r="EK7">
        <v>12771.07061290741</v>
      </c>
      <c r="EL7">
        <v>-8257.0087099075317</v>
      </c>
      <c r="EM7">
        <v>-58393.819279670715</v>
      </c>
      <c r="EN7">
        <v>-10094.369923591614</v>
      </c>
      <c r="EO7">
        <v>-8236.6862363815308</v>
      </c>
      <c r="EP7">
        <v>20204.968464851379</v>
      </c>
      <c r="EQ7">
        <v>-57080.768797874451</v>
      </c>
      <c r="ER7">
        <v>8681.4578981399536</v>
      </c>
      <c r="ES7">
        <v>-30526.490313529968</v>
      </c>
      <c r="ET7">
        <v>-13619.031937599182</v>
      </c>
      <c r="EU7">
        <v>9509.5470094680786</v>
      </c>
      <c r="EV7">
        <v>-26776.164372444153</v>
      </c>
      <c r="EW7">
        <v>3556.5817213058472</v>
      </c>
      <c r="EX7">
        <v>-9785.8116540908813</v>
      </c>
      <c r="EY7">
        <v>-57670.018502235413</v>
      </c>
      <c r="EZ7">
        <v>-49086.207980155945</v>
      </c>
      <c r="FA7">
        <v>-39061.780911445618</v>
      </c>
      <c r="FB7">
        <v>-13321.749436378479</v>
      </c>
      <c r="FC7">
        <v>-4780.2417325973511</v>
      </c>
      <c r="FD7">
        <v>-34484.890719413757</v>
      </c>
      <c r="FE7">
        <v>-50233.669278144836</v>
      </c>
      <c r="FF7">
        <v>-10748.077441215515</v>
      </c>
      <c r="FG7">
        <v>-20660.209332466125</v>
      </c>
      <c r="FH7">
        <v>-22446.319275856018</v>
      </c>
      <c r="FI7">
        <v>-22235.488467216492</v>
      </c>
      <c r="FJ7">
        <v>-29406.970740318298</v>
      </c>
      <c r="FK7">
        <v>-43569.45293712616</v>
      </c>
      <c r="FL7">
        <v>-28796.505288124084</v>
      </c>
      <c r="FM7">
        <v>-36239.686387062073</v>
      </c>
      <c r="FN7">
        <v>-36684.0437707901</v>
      </c>
      <c r="FO7">
        <v>-50372.286364555359</v>
      </c>
      <c r="FP7">
        <v>-14600.130072593689</v>
      </c>
      <c r="FQ7">
        <v>-35085.898968696594</v>
      </c>
      <c r="FR7">
        <v>-55474.296278953552</v>
      </c>
      <c r="FS7">
        <v>-48945.669266700745</v>
      </c>
      <c r="FT7">
        <v>-42434.35144329071</v>
      </c>
      <c r="FU7">
        <v>-54560.199860572815</v>
      </c>
      <c r="FV7">
        <v>-27159.543089866638</v>
      </c>
      <c r="FW7">
        <v>-50905.263758659363</v>
      </c>
      <c r="FX7">
        <v>-46003.319952964783</v>
      </c>
      <c r="FY7">
        <v>-40232.6958360672</v>
      </c>
      <c r="FZ7">
        <v>-23445.930064201355</v>
      </c>
      <c r="GA7">
        <v>-31190.508332252502</v>
      </c>
      <c r="GB7">
        <v>-49279.026301383972</v>
      </c>
      <c r="GC7">
        <v>-41185.32355594635</v>
      </c>
      <c r="GD7">
        <v>-28489.9048204422</v>
      </c>
      <c r="GE7">
        <v>-33589.459935188293</v>
      </c>
      <c r="GF7">
        <v>-42193.783608436584</v>
      </c>
      <c r="GG7">
        <v>-40891.467001914978</v>
      </c>
      <c r="GH7">
        <v>-31225.112919807434</v>
      </c>
      <c r="GI7">
        <v>-39657.825476646423</v>
      </c>
      <c r="GJ7">
        <v>-32704.593663215637</v>
      </c>
      <c r="GK7">
        <v>-39534.141137123108</v>
      </c>
      <c r="GL7">
        <v>-33834.138283729553</v>
      </c>
      <c r="GM7">
        <v>-37243.372090339661</v>
      </c>
      <c r="GN7">
        <v>-37770.194325447083</v>
      </c>
      <c r="GO7">
        <v>-28588.930685997009</v>
      </c>
      <c r="GP7">
        <v>-45722.710705757141</v>
      </c>
      <c r="GQ7">
        <v>-30755.906296730042</v>
      </c>
      <c r="GR7">
        <v>-39337.007689476013</v>
      </c>
    </row>
    <row r="8" spans="1:200" x14ac:dyDescent="0.25">
      <c r="A8">
        <v>56736788.668992043</v>
      </c>
      <c r="B8">
        <v>66372959.452073097</v>
      </c>
      <c r="C8">
        <v>98035097.783982277</v>
      </c>
      <c r="D8">
        <v>54536553.914353371</v>
      </c>
      <c r="E8">
        <v>-8812118.3782491684</v>
      </c>
      <c r="F8">
        <v>-101783946.99568081</v>
      </c>
      <c r="G8">
        <v>-59803239.493605614</v>
      </c>
      <c r="H8">
        <v>-35536043.932204247</v>
      </c>
      <c r="I8">
        <v>-19230913.463454247</v>
      </c>
      <c r="J8">
        <v>-34218738.718947411</v>
      </c>
      <c r="K8">
        <v>17690221.184372902</v>
      </c>
      <c r="L8">
        <v>7804552.6213846207</v>
      </c>
      <c r="M8">
        <v>1598492.9280252457</v>
      </c>
      <c r="N8">
        <v>20852836.333786964</v>
      </c>
      <c r="O8">
        <v>80403511.115525246</v>
      </c>
      <c r="P8">
        <v>-11946618.702589989</v>
      </c>
      <c r="Q8">
        <v>44925520.450974464</v>
      </c>
      <c r="R8">
        <v>-4799979.2086935043</v>
      </c>
      <c r="S8">
        <v>-66906616.560744286</v>
      </c>
      <c r="T8">
        <v>16054802.781052589</v>
      </c>
      <c r="U8">
        <v>30759776.419480324</v>
      </c>
      <c r="V8">
        <v>35440461.020066261</v>
      </c>
      <c r="W8">
        <v>-75747560.770705223</v>
      </c>
      <c r="X8">
        <v>22490461.297898293</v>
      </c>
      <c r="Y8">
        <v>-34872159.528517723</v>
      </c>
      <c r="Z8">
        <v>-37459290.245558739</v>
      </c>
      <c r="AA8">
        <v>-32242832.361037254</v>
      </c>
      <c r="AB8">
        <v>53678669.419724464</v>
      </c>
      <c r="AC8">
        <v>49457054.384568214</v>
      </c>
      <c r="AD8">
        <v>-31003650.903517723</v>
      </c>
      <c r="AE8">
        <v>37622635.972458839</v>
      </c>
      <c r="AF8">
        <v>-69870108.431838036</v>
      </c>
      <c r="AG8">
        <v>9447935.1863260269</v>
      </c>
      <c r="AH8">
        <v>13905635.286423683</v>
      </c>
      <c r="AI8">
        <v>57856591.199021339</v>
      </c>
      <c r="AJ8">
        <v>21621549.124070168</v>
      </c>
      <c r="AK8">
        <v>31894236.423874855</v>
      </c>
      <c r="AL8">
        <v>4055612.3484354019</v>
      </c>
      <c r="AM8">
        <v>-22952503.478957176</v>
      </c>
      <c r="AN8">
        <v>-16688131.755812645</v>
      </c>
      <c r="AO8">
        <v>-18337304.402541161</v>
      </c>
      <c r="AP8">
        <v>-27945033.605910301</v>
      </c>
      <c r="AQ8">
        <v>-13528272.470900536</v>
      </c>
      <c r="AR8">
        <v>-59067305.104201317</v>
      </c>
      <c r="AS8">
        <v>42732282.402146339</v>
      </c>
      <c r="AT8">
        <v>13803049.962449074</v>
      </c>
      <c r="AU8">
        <v>6681026.9346170425</v>
      </c>
      <c r="AV8">
        <v>2863617.3271951675</v>
      </c>
      <c r="AW8">
        <v>-13285141.154738426</v>
      </c>
      <c r="AX8">
        <v>-18672086.064894676</v>
      </c>
      <c r="AY8">
        <v>-10824540.502394676</v>
      </c>
      <c r="AZ8">
        <v>-42623632.873488426</v>
      </c>
      <c r="BA8">
        <v>-29016771.399123192</v>
      </c>
      <c r="BB8">
        <v>-27192828.954298973</v>
      </c>
      <c r="BC8">
        <v>42568344.394089699</v>
      </c>
      <c r="BD8">
        <v>2000667.9468240738</v>
      </c>
      <c r="BE8">
        <v>10482559.425095558</v>
      </c>
      <c r="BF8">
        <v>15170588.927781105</v>
      </c>
      <c r="BG8">
        <v>-21235000.473586082</v>
      </c>
      <c r="BH8">
        <v>8018613.4399881363</v>
      </c>
      <c r="BI8">
        <v>34258966.494187355</v>
      </c>
      <c r="BJ8">
        <v>23222862.639939308</v>
      </c>
      <c r="BK8">
        <v>27039017.492478371</v>
      </c>
      <c r="BL8">
        <v>-33873631.101027489</v>
      </c>
      <c r="BM8">
        <v>29195591.474656105</v>
      </c>
      <c r="BN8">
        <v>3504562.1863260269</v>
      </c>
      <c r="BO8">
        <v>5790353.5093240738</v>
      </c>
      <c r="BP8">
        <v>-14525799.530959129</v>
      </c>
      <c r="BQ8">
        <v>5530457.0317850113</v>
      </c>
      <c r="BR8">
        <v>-7642299.3188009262</v>
      </c>
      <c r="BS8">
        <v>11538797.979050636</v>
      </c>
      <c r="BT8">
        <v>20381859.295945168</v>
      </c>
      <c r="BU8">
        <v>3713050.97660923</v>
      </c>
      <c r="BV8">
        <v>8435099.4927225113</v>
      </c>
      <c r="BW8">
        <v>530353.18339633942</v>
      </c>
      <c r="BX8">
        <v>-2189587.1930685043</v>
      </c>
      <c r="BY8">
        <v>8120871.6853494644</v>
      </c>
      <c r="BZ8">
        <v>-358029.35053920746</v>
      </c>
      <c r="CA8">
        <v>-19447218.824904442</v>
      </c>
      <c r="CB8">
        <v>-1461789.9894552231</v>
      </c>
      <c r="CC8">
        <v>3234284.95707798</v>
      </c>
      <c r="CD8">
        <v>-17001000.952345848</v>
      </c>
      <c r="CE8">
        <v>-6607701.7084493637</v>
      </c>
      <c r="CF8">
        <v>20501714.279587746</v>
      </c>
      <c r="CG8">
        <v>-7145897.5690450668</v>
      </c>
      <c r="CH8">
        <v>127955.20341587067</v>
      </c>
      <c r="CI8">
        <v>-293326.52705287933</v>
      </c>
      <c r="CJ8">
        <v>-4449576.7814474106</v>
      </c>
      <c r="CK8">
        <v>-20145997.289992332</v>
      </c>
      <c r="CL8">
        <v>-1303925.3937520981</v>
      </c>
      <c r="CM8">
        <v>-2924391.2550802231</v>
      </c>
      <c r="CN8">
        <v>-3546335.3388204575</v>
      </c>
      <c r="CO8">
        <v>-2418209.4284200668</v>
      </c>
      <c r="CP8">
        <v>5085932.4575662613</v>
      </c>
      <c r="CQ8">
        <v>676973.58134555817</v>
      </c>
      <c r="CR8">
        <v>2140636.21489048</v>
      </c>
      <c r="CS8">
        <v>-4719023.8676290512</v>
      </c>
      <c r="CT8">
        <v>-9314131.3590841293</v>
      </c>
      <c r="CU8">
        <v>-1312794.9167013168</v>
      </c>
      <c r="CV8">
        <v>-6912625.3771505356</v>
      </c>
      <c r="CW8">
        <v>-1306729.0243673325</v>
      </c>
      <c r="CX8">
        <v>-52346.051466941833</v>
      </c>
      <c r="CY8">
        <v>1334095.6843729019</v>
      </c>
      <c r="CZ8">
        <v>-2183866.89057827</v>
      </c>
      <c r="DA8">
        <v>863579.80253696442</v>
      </c>
      <c r="DB8">
        <v>4086822.6150369644</v>
      </c>
      <c r="DC8">
        <v>-5649925.3717794418</v>
      </c>
      <c r="DD8">
        <v>-3029054.4875020981</v>
      </c>
      <c r="DE8">
        <v>20167.312546730042</v>
      </c>
      <c r="DF8">
        <v>371785.39824008942</v>
      </c>
      <c r="DG8">
        <v>-3243239.6571798325</v>
      </c>
      <c r="DH8">
        <v>-2358313.5048360825</v>
      </c>
      <c r="DI8">
        <v>-2945369.1588888168</v>
      </c>
      <c r="DJ8">
        <v>2884496.5461893082</v>
      </c>
      <c r="DK8">
        <v>-2446553.8346700668</v>
      </c>
      <c r="DL8">
        <v>-2957362.0795431137</v>
      </c>
      <c r="DM8">
        <v>2589349.7498025894</v>
      </c>
      <c r="DN8">
        <v>187177.75810337067</v>
      </c>
      <c r="DO8">
        <v>1092889.2805643082</v>
      </c>
      <c r="DP8">
        <v>-698970.78584194183</v>
      </c>
      <c r="DQ8">
        <v>-848415.47798061371</v>
      </c>
      <c r="DR8">
        <v>-1199758.6049337387</v>
      </c>
      <c r="DS8">
        <v>-4321161.3681173325</v>
      </c>
      <c r="DT8">
        <v>-1217457.8539571762</v>
      </c>
      <c r="DU8">
        <v>-4458921.5111837387</v>
      </c>
      <c r="DV8">
        <v>-305029.06489467621</v>
      </c>
      <c r="DW8">
        <v>674367.52934360504</v>
      </c>
      <c r="DX8">
        <v>-135554.88227748871</v>
      </c>
      <c r="DY8">
        <v>-1276955.0343770981</v>
      </c>
      <c r="DZ8">
        <v>965364.15507602692</v>
      </c>
      <c r="EA8">
        <v>1218997.5713357925</v>
      </c>
      <c r="EB8">
        <v>-350869.11299037933</v>
      </c>
      <c r="EC8">
        <v>-2149185.9010763168</v>
      </c>
      <c r="ED8">
        <v>-1551659.28901577</v>
      </c>
      <c r="EE8">
        <v>-1062265.4154806137</v>
      </c>
      <c r="EF8">
        <v>-343578.26167201996</v>
      </c>
      <c r="EG8">
        <v>-1431401.91401577</v>
      </c>
      <c r="EH8">
        <v>-666609.51216030121</v>
      </c>
      <c r="EI8">
        <v>-1546974.2834005356</v>
      </c>
      <c r="EJ8">
        <v>-625058.06147670746</v>
      </c>
      <c r="EK8">
        <v>1144494.6460428238</v>
      </c>
      <c r="EL8">
        <v>-967387.82343959808</v>
      </c>
      <c r="EM8">
        <v>-1239608.3871603012</v>
      </c>
      <c r="EN8">
        <v>-180565.38642787933</v>
      </c>
      <c r="EO8">
        <v>232965.68168735504</v>
      </c>
      <c r="EP8">
        <v>-74319.994338035583</v>
      </c>
      <c r="EQ8">
        <v>-1931306.4245138168</v>
      </c>
      <c r="ER8">
        <v>670552.18803501129</v>
      </c>
      <c r="ES8">
        <v>-1870643.5998067856</v>
      </c>
      <c r="ET8">
        <v>486625.93144321442</v>
      </c>
      <c r="EU8">
        <v>180570.23954868317</v>
      </c>
      <c r="EV8">
        <v>-156885.38740444183</v>
      </c>
      <c r="EW8">
        <v>-11643.088332176208</v>
      </c>
      <c r="EX8">
        <v>-640939.12153530121</v>
      </c>
      <c r="EY8">
        <v>-891104.04609584808</v>
      </c>
      <c r="EZ8">
        <v>-1068794.4928731918</v>
      </c>
      <c r="FA8">
        <v>-1340581.8678731918</v>
      </c>
      <c r="FB8">
        <v>-410655.66572475433</v>
      </c>
      <c r="FC8">
        <v>-167871.94990444183</v>
      </c>
      <c r="FD8">
        <v>-1165442.0250997543</v>
      </c>
      <c r="FE8">
        <v>-854474.42768764496</v>
      </c>
      <c r="FF8">
        <v>-184239.30634975433</v>
      </c>
      <c r="FG8">
        <v>-1339216.6955099106</v>
      </c>
      <c r="FH8">
        <v>-762307.54096889496</v>
      </c>
      <c r="FI8">
        <v>-891987.63008022308</v>
      </c>
      <c r="FJ8">
        <v>-731066.80464076996</v>
      </c>
      <c r="FK8">
        <v>-1220848.1662130356</v>
      </c>
      <c r="FL8">
        <v>-1121918.2414083481</v>
      </c>
      <c r="FM8">
        <v>-490779.17426967621</v>
      </c>
      <c r="FN8">
        <v>-376792.24848842621</v>
      </c>
      <c r="FO8">
        <v>-1412237.4662618637</v>
      </c>
      <c r="FP8">
        <v>-434882.04414272308</v>
      </c>
      <c r="FQ8">
        <v>-853918.09101772308</v>
      </c>
      <c r="FR8">
        <v>-1088577.0695333481</v>
      </c>
      <c r="FS8">
        <v>-711410.85175991058</v>
      </c>
      <c r="FT8">
        <v>-711434.10200405121</v>
      </c>
      <c r="FU8">
        <v>-912443.74336147308</v>
      </c>
      <c r="FV8">
        <v>-861970.24507045746</v>
      </c>
      <c r="FW8">
        <v>-789207.95918178558</v>
      </c>
      <c r="FX8">
        <v>-1137880.0495138168</v>
      </c>
      <c r="FY8">
        <v>-1071367.8188009262</v>
      </c>
      <c r="FZ8">
        <v>-512953.29365444183</v>
      </c>
      <c r="GA8">
        <v>-925842.33906459808</v>
      </c>
      <c r="GB8">
        <v>-1104672.4518575668</v>
      </c>
      <c r="GC8">
        <v>-831775.88740444183</v>
      </c>
      <c r="GD8">
        <v>-711739.11494350433</v>
      </c>
      <c r="GE8">
        <v>-679771.44160366058</v>
      </c>
      <c r="GF8">
        <v>-1027984.0675802231</v>
      </c>
      <c r="GG8">
        <v>-727684.11006069183</v>
      </c>
      <c r="GH8">
        <v>-808920.19087123871</v>
      </c>
      <c r="GI8">
        <v>-903529.97993373871</v>
      </c>
      <c r="GJ8">
        <v>-810634.00996303558</v>
      </c>
      <c r="GK8">
        <v>-918534.56172084808</v>
      </c>
      <c r="GL8">
        <v>-685264.15473842621</v>
      </c>
      <c r="GM8">
        <v>-958995.42329311371</v>
      </c>
      <c r="GN8">
        <v>-810990.68525600433</v>
      </c>
      <c r="GO8">
        <v>-773212.50337123871</v>
      </c>
      <c r="GP8">
        <v>-1169729.5717306137</v>
      </c>
      <c r="GQ8">
        <v>-705555.67646694183</v>
      </c>
      <c r="GR8">
        <v>-893600.94233608246</v>
      </c>
    </row>
    <row r="9" spans="1:200" x14ac:dyDescent="0.25">
      <c r="A9">
        <v>-1552491.8421702385</v>
      </c>
      <c r="B9">
        <v>1922084.469086647</v>
      </c>
      <c r="C9">
        <v>1642881.1369585991</v>
      </c>
      <c r="D9">
        <v>-665423.95388174057</v>
      </c>
      <c r="E9">
        <v>-1031211.2620425224</v>
      </c>
      <c r="F9">
        <v>202245.34427976608</v>
      </c>
      <c r="G9">
        <v>284350.71365833282</v>
      </c>
      <c r="H9">
        <v>-1135998.91801548</v>
      </c>
      <c r="I9">
        <v>1773488.7413907051</v>
      </c>
      <c r="J9">
        <v>247146.65820741653</v>
      </c>
      <c r="K9">
        <v>710951.33740520477</v>
      </c>
      <c r="L9">
        <v>-30958.8287358284</v>
      </c>
      <c r="M9">
        <v>-1284815.0752067566</v>
      </c>
      <c r="N9">
        <v>871970.33753442764</v>
      </c>
      <c r="O9">
        <v>-946656.84714841843</v>
      </c>
      <c r="P9">
        <v>521827.5308842659</v>
      </c>
      <c r="Q9">
        <v>-863990.66987276077</v>
      </c>
      <c r="R9">
        <v>376248.15626001358</v>
      </c>
      <c r="S9">
        <v>-1495253.4980258942</v>
      </c>
      <c r="T9">
        <v>-209363.87123918533</v>
      </c>
      <c r="U9">
        <v>1135136.9752831459</v>
      </c>
      <c r="V9">
        <v>-930337.73995923996</v>
      </c>
      <c r="W9">
        <v>957109.75181055069</v>
      </c>
      <c r="X9">
        <v>887671.09660482407</v>
      </c>
      <c r="Y9">
        <v>-175425.85910844803</v>
      </c>
      <c r="Z9">
        <v>1467539.4630265236</v>
      </c>
      <c r="AA9">
        <v>231867.91221570969</v>
      </c>
      <c r="AB9">
        <v>-846951.98821258545</v>
      </c>
      <c r="AC9">
        <v>467590.77844572067</v>
      </c>
      <c r="AD9">
        <v>69729.404546260834</v>
      </c>
      <c r="AE9">
        <v>-1812792.7345118523</v>
      </c>
      <c r="AF9">
        <v>-644989.10311746597</v>
      </c>
      <c r="AG9">
        <v>1090586.4979214668</v>
      </c>
      <c r="AH9">
        <v>618139.43579053879</v>
      </c>
      <c r="AI9">
        <v>513599.66975641251</v>
      </c>
      <c r="AJ9">
        <v>77533.811348438263</v>
      </c>
      <c r="AK9">
        <v>18394.219536304474</v>
      </c>
      <c r="AL9">
        <v>-305441.55395936966</v>
      </c>
      <c r="AM9">
        <v>-1182915.2469344139</v>
      </c>
      <c r="AN9">
        <v>-182322.14997148514</v>
      </c>
      <c r="AO9">
        <v>-222445.83045625687</v>
      </c>
      <c r="AP9">
        <v>-380108.45014238358</v>
      </c>
      <c r="AQ9">
        <v>463489.79755735397</v>
      </c>
      <c r="AR9">
        <v>257353.08641195297</v>
      </c>
      <c r="AS9">
        <v>-78889.941239833832</v>
      </c>
      <c r="AT9">
        <v>-171022.20065069199</v>
      </c>
      <c r="AU9">
        <v>-601593.95718717575</v>
      </c>
      <c r="AV9">
        <v>-916317.61665201187</v>
      </c>
      <c r="AW9">
        <v>199706.08329248428</v>
      </c>
      <c r="AX9">
        <v>447228.92434072495</v>
      </c>
      <c r="AY9">
        <v>494071.58574438095</v>
      </c>
      <c r="AZ9">
        <v>262007.18538999557</v>
      </c>
      <c r="BA9">
        <v>306299.94295740128</v>
      </c>
      <c r="BB9">
        <v>-68582.999568462372</v>
      </c>
      <c r="BC9">
        <v>-703480.23587751389</v>
      </c>
      <c r="BD9">
        <v>-373414.81376886368</v>
      </c>
      <c r="BE9">
        <v>41037.323060512543</v>
      </c>
      <c r="BF9">
        <v>-31835.099992275238</v>
      </c>
      <c r="BG9">
        <v>145483.31086492538</v>
      </c>
      <c r="BH9">
        <v>47822.782425403595</v>
      </c>
      <c r="BI9">
        <v>227164.65784883499</v>
      </c>
      <c r="BJ9">
        <v>-175418.58216428757</v>
      </c>
      <c r="BK9">
        <v>-263491.34030199051</v>
      </c>
      <c r="BL9">
        <v>-70498.960052967072</v>
      </c>
      <c r="BM9">
        <v>-198195.29906606674</v>
      </c>
      <c r="BN9">
        <v>-171049.63021707535</v>
      </c>
      <c r="BO9">
        <v>-49340.964524745941</v>
      </c>
      <c r="BP9">
        <v>-9142.2756867408752</v>
      </c>
      <c r="BQ9">
        <v>13935.947630405426</v>
      </c>
      <c r="BR9">
        <v>60572.780787944794</v>
      </c>
      <c r="BS9">
        <v>-97618.096989154816</v>
      </c>
      <c r="BT9">
        <v>-105249.18339204788</v>
      </c>
      <c r="BU9">
        <v>-73040.505335330963</v>
      </c>
      <c r="BV9">
        <v>-69046.1448969841</v>
      </c>
      <c r="BW9">
        <v>208749.39452123642</v>
      </c>
      <c r="BX9">
        <v>73369.00644826889</v>
      </c>
      <c r="BY9">
        <v>-110843.30262327194</v>
      </c>
      <c r="BZ9">
        <v>-106221.88603067398</v>
      </c>
      <c r="CA9">
        <v>213295.53167486191</v>
      </c>
      <c r="CB9">
        <v>24873.354027271271</v>
      </c>
      <c r="CC9">
        <v>74215.50794839859</v>
      </c>
      <c r="CD9">
        <v>-23157.61528635025</v>
      </c>
      <c r="CE9">
        <v>34747.325091838837</v>
      </c>
      <c r="CF9">
        <v>-78517.828168392181</v>
      </c>
      <c r="CG9">
        <v>-25259.417590618134</v>
      </c>
      <c r="CH9">
        <v>-34230.737508296967</v>
      </c>
      <c r="CI9">
        <v>-4773.732542514801</v>
      </c>
      <c r="CJ9">
        <v>-32796.512340068817</v>
      </c>
      <c r="CK9">
        <v>172004.87085485458</v>
      </c>
      <c r="CL9">
        <v>-37482.434174060822</v>
      </c>
      <c r="CM9">
        <v>17335.390120983124</v>
      </c>
      <c r="CN9">
        <v>-40691.273484706879</v>
      </c>
      <c r="CO9">
        <v>-51166.253779888153</v>
      </c>
      <c r="CP9">
        <v>48278.423043727875</v>
      </c>
      <c r="CQ9">
        <v>-28046.480794429779</v>
      </c>
      <c r="CR9">
        <v>-11859.915087223053</v>
      </c>
      <c r="CS9">
        <v>-50733.28460931778</v>
      </c>
      <c r="CT9">
        <v>23312.932989597321</v>
      </c>
      <c r="CU9">
        <v>46125.193032741547</v>
      </c>
      <c r="CV9">
        <v>59947.635294437408</v>
      </c>
      <c r="CW9">
        <v>-2172.1164469718933</v>
      </c>
      <c r="CX9">
        <v>863.229651927948</v>
      </c>
      <c r="CY9">
        <v>-6027.0007452964783</v>
      </c>
      <c r="CZ9">
        <v>6377.8391671180725</v>
      </c>
      <c r="DA9">
        <v>-34550.129602909088</v>
      </c>
      <c r="DB9">
        <v>-12564.112079143524</v>
      </c>
      <c r="DC9">
        <v>56214.413224697113</v>
      </c>
      <c r="DD9">
        <v>14238.735731601715</v>
      </c>
      <c r="DE9">
        <v>23828.150870800018</v>
      </c>
      <c r="DF9">
        <v>-25166.823383808136</v>
      </c>
      <c r="DG9">
        <v>-8189.7267985343933</v>
      </c>
      <c r="DH9">
        <v>12105.782887935638</v>
      </c>
      <c r="DI9">
        <v>-3653.993417263031</v>
      </c>
      <c r="DJ9">
        <v>-25624.112487316132</v>
      </c>
      <c r="DK9">
        <v>-18605.656349658966</v>
      </c>
      <c r="DL9">
        <v>55141.772598743439</v>
      </c>
      <c r="DM9">
        <v>-8176.2246413230896</v>
      </c>
      <c r="DN9">
        <v>32249.479317188263</v>
      </c>
      <c r="DO9">
        <v>-36526.451865673065</v>
      </c>
      <c r="DP9">
        <v>3252.5710816383362</v>
      </c>
      <c r="DQ9">
        <v>7854.007631778717</v>
      </c>
      <c r="DR9">
        <v>9267.0200934410095</v>
      </c>
      <c r="DS9">
        <v>-8647.2276968955994</v>
      </c>
      <c r="DT9">
        <v>39324.557610988617</v>
      </c>
      <c r="DU9">
        <v>23872.264756679535</v>
      </c>
      <c r="DV9">
        <v>916.91801500320435</v>
      </c>
      <c r="DW9">
        <v>-12407.745038509369</v>
      </c>
      <c r="DX9">
        <v>-15724.024901866913</v>
      </c>
      <c r="DY9">
        <v>29371.154360294342</v>
      </c>
      <c r="DZ9">
        <v>3878.3129639625549</v>
      </c>
      <c r="EA9">
        <v>-5977.0204615592957</v>
      </c>
      <c r="EB9">
        <v>25354.677280902863</v>
      </c>
      <c r="EC9">
        <v>-5340.1912741661072</v>
      </c>
      <c r="ED9">
        <v>11594.050211429596</v>
      </c>
      <c r="EE9">
        <v>19713.081659793854</v>
      </c>
      <c r="EF9">
        <v>5949.4894976615906</v>
      </c>
      <c r="EG9">
        <v>-2805.9379687309265</v>
      </c>
      <c r="EH9">
        <v>-13221.436288356781</v>
      </c>
      <c r="EI9">
        <v>1286.6545033454895</v>
      </c>
      <c r="EJ9">
        <v>22384.305401325226</v>
      </c>
      <c r="EK9">
        <v>8432.5421185493469</v>
      </c>
      <c r="EL9">
        <v>1206.4550824165344</v>
      </c>
      <c r="EM9">
        <v>10832.594373226166</v>
      </c>
      <c r="EN9">
        <v>6350.234591960907</v>
      </c>
      <c r="EO9">
        <v>10232.668846607208</v>
      </c>
      <c r="EP9">
        <v>-151.99626207351685</v>
      </c>
      <c r="EQ9">
        <v>5136.3983159065247</v>
      </c>
      <c r="ER9">
        <v>11873.315199375153</v>
      </c>
      <c r="ES9">
        <v>5362.3749060630798</v>
      </c>
      <c r="ET9">
        <v>12418.011442661285</v>
      </c>
      <c r="EU9">
        <v>4616.9200692176819</v>
      </c>
      <c r="EV9">
        <v>15994.315515041351</v>
      </c>
      <c r="EW9">
        <v>6309.3185410499573</v>
      </c>
      <c r="EX9">
        <v>7162.5542063713074</v>
      </c>
      <c r="EY9">
        <v>16451.845402240753</v>
      </c>
      <c r="EZ9">
        <v>13687.199623584747</v>
      </c>
      <c r="FA9">
        <v>5566.4319014549255</v>
      </c>
      <c r="FB9">
        <v>5190.5257906913757</v>
      </c>
      <c r="FC9">
        <v>10957.739505290985</v>
      </c>
      <c r="FD9">
        <v>8231.9154810905457</v>
      </c>
      <c r="FE9">
        <v>18332.799382686615</v>
      </c>
      <c r="FF9">
        <v>4881.3140168190002</v>
      </c>
      <c r="FG9">
        <v>2886.8522057533264</v>
      </c>
      <c r="FH9">
        <v>8764.5101389884949</v>
      </c>
      <c r="FI9">
        <v>5023.7720170021057</v>
      </c>
      <c r="FJ9">
        <v>6937.2998566627502</v>
      </c>
      <c r="FK9">
        <v>10147.940218448639</v>
      </c>
      <c r="FL9">
        <v>5912.7595562934875</v>
      </c>
      <c r="FM9">
        <v>11689.785707950592</v>
      </c>
      <c r="FN9">
        <v>12800.382208347321</v>
      </c>
      <c r="FO9">
        <v>11165.715504169464</v>
      </c>
      <c r="FP9">
        <v>5796.1867070198059</v>
      </c>
      <c r="FQ9">
        <v>8362.3365902900696</v>
      </c>
      <c r="FR9">
        <v>14743.938873767853</v>
      </c>
      <c r="FS9">
        <v>14938.111535549164</v>
      </c>
      <c r="FT9">
        <v>10997.246497631073</v>
      </c>
      <c r="FU9">
        <v>15657.701691150665</v>
      </c>
      <c r="FV9">
        <v>8552.6304087638855</v>
      </c>
      <c r="FW9">
        <v>12302.035127162933</v>
      </c>
      <c r="FX9">
        <v>10148.734063625336</v>
      </c>
      <c r="FY9">
        <v>9784.7824816703796</v>
      </c>
      <c r="FZ9">
        <v>7455.6261792182922</v>
      </c>
      <c r="GA9">
        <v>7634.6094136238098</v>
      </c>
      <c r="GB9">
        <v>11344.123881816864</v>
      </c>
      <c r="GC9">
        <v>10080.252406597137</v>
      </c>
      <c r="GD9">
        <v>7019.3596405982971</v>
      </c>
      <c r="GE9">
        <v>9550.8615708351135</v>
      </c>
      <c r="GF9">
        <v>10053.941911220551</v>
      </c>
      <c r="GG9">
        <v>12909.916640758514</v>
      </c>
      <c r="GH9">
        <v>7523.9692883491516</v>
      </c>
      <c r="GI9">
        <v>9804.5766186714172</v>
      </c>
      <c r="GJ9">
        <v>9274.4839358329773</v>
      </c>
      <c r="GK9">
        <v>9426.9922881126404</v>
      </c>
      <c r="GL9">
        <v>10094.763370990753</v>
      </c>
      <c r="GM9">
        <v>8741.4182276725769</v>
      </c>
      <c r="GN9">
        <v>9354.4544730186462</v>
      </c>
      <c r="GO9">
        <v>7115.3405528068542</v>
      </c>
      <c r="GP9">
        <v>9917.113085269928</v>
      </c>
      <c r="GQ9">
        <v>9125.5653929710388</v>
      </c>
      <c r="GR9">
        <v>10608.429560184479</v>
      </c>
    </row>
    <row r="10" spans="1:200" x14ac:dyDescent="0.25">
      <c r="A10">
        <v>-1699341.294044733</v>
      </c>
      <c r="B10">
        <v>-1163901.1633913517</v>
      </c>
      <c r="C10">
        <v>-4235128.3977167606</v>
      </c>
      <c r="D10">
        <v>-4546075.6644632816</v>
      </c>
      <c r="E10">
        <v>-393567.02624535561</v>
      </c>
      <c r="F10">
        <v>6121725.1816823483</v>
      </c>
      <c r="G10">
        <v>2239545.9014279842</v>
      </c>
      <c r="H10">
        <v>1667767.2705380917</v>
      </c>
      <c r="I10">
        <v>2656124.7532308102</v>
      </c>
      <c r="J10">
        <v>1167244.931281805</v>
      </c>
      <c r="K10">
        <v>-127327.47609734535</v>
      </c>
      <c r="L10">
        <v>-2784000.3296740055</v>
      </c>
      <c r="M10">
        <v>-496312.51675820351</v>
      </c>
      <c r="N10">
        <v>1919165.0312268734</v>
      </c>
      <c r="O10">
        <v>-3519394.679466486</v>
      </c>
      <c r="P10">
        <v>1562139.148154974</v>
      </c>
      <c r="Q10">
        <v>-3172333.1206591129</v>
      </c>
      <c r="R10">
        <v>837015.35228705406</v>
      </c>
      <c r="S10">
        <v>-183622.83539605141</v>
      </c>
      <c r="T10">
        <v>376994.19309210777</v>
      </c>
      <c r="U10">
        <v>-410769.92771172523</v>
      </c>
      <c r="V10">
        <v>-3404986.1569063663</v>
      </c>
      <c r="W10">
        <v>3524489.9170148373</v>
      </c>
      <c r="X10">
        <v>-261911.71213555336</v>
      </c>
      <c r="Y10">
        <v>1300644.2118680477</v>
      </c>
      <c r="Z10">
        <v>3191943.9311368465</v>
      </c>
      <c r="AA10">
        <v>1760388.403396368</v>
      </c>
      <c r="AB10">
        <v>-2939839.0933916569</v>
      </c>
      <c r="AC10">
        <v>-2171077.8329164982</v>
      </c>
      <c r="AD10">
        <v>1452798.1454312801</v>
      </c>
      <c r="AE10">
        <v>-3390904.7809145451</v>
      </c>
      <c r="AF10">
        <v>2676914.3247525692</v>
      </c>
      <c r="AG10">
        <v>206062.44412207603</v>
      </c>
      <c r="AH10">
        <v>774882.6350171566</v>
      </c>
      <c r="AI10">
        <v>-2288621.7120211124</v>
      </c>
      <c r="AJ10">
        <v>-754971.68560814857</v>
      </c>
      <c r="AK10">
        <v>-2161164.2139818668</v>
      </c>
      <c r="AL10">
        <v>-146209.15560173988</v>
      </c>
      <c r="AM10">
        <v>-378890.38710045815</v>
      </c>
      <c r="AN10">
        <v>696360.60041022301</v>
      </c>
      <c r="AO10">
        <v>1821335.286208868</v>
      </c>
      <c r="AP10">
        <v>1621527.9012372494</v>
      </c>
      <c r="AQ10">
        <v>1298024.6360929012</v>
      </c>
      <c r="AR10">
        <v>3356255.6282346249</v>
      </c>
      <c r="AS10">
        <v>-2273125.8371050358</v>
      </c>
      <c r="AT10">
        <v>-1180279.3756411076</v>
      </c>
      <c r="AU10">
        <v>-733409.54063439369</v>
      </c>
      <c r="AV10">
        <v>-687706.08114647865</v>
      </c>
      <c r="AW10">
        <v>800542.72311377525</v>
      </c>
      <c r="AX10">
        <v>1351437.1285245419</v>
      </c>
      <c r="AY10">
        <v>1696421.4088971615</v>
      </c>
      <c r="AZ10">
        <v>2430109.6777646542</v>
      </c>
      <c r="BA10">
        <v>1721521.0946729183</v>
      </c>
      <c r="BB10">
        <v>1501649.7955319881</v>
      </c>
      <c r="BC10">
        <v>-2851232.7003023624</v>
      </c>
      <c r="BD10">
        <v>-530183.30490136147</v>
      </c>
      <c r="BE10">
        <v>-683621.76979851723</v>
      </c>
      <c r="BF10">
        <v>-1078341.3392412663</v>
      </c>
      <c r="BG10">
        <v>1383735.0550534725</v>
      </c>
      <c r="BH10">
        <v>87611.783508062363</v>
      </c>
      <c r="BI10">
        <v>-1350296.713424921</v>
      </c>
      <c r="BJ10">
        <v>-1468511.7395708561</v>
      </c>
      <c r="BK10">
        <v>-1788858.9154131413</v>
      </c>
      <c r="BL10">
        <v>1589982.3855893612</v>
      </c>
      <c r="BM10">
        <v>-1614921.6720736027</v>
      </c>
      <c r="BN10">
        <v>-221951.7657854557</v>
      </c>
      <c r="BO10">
        <v>-483956.77173638344</v>
      </c>
      <c r="BP10">
        <v>565313.41756415367</v>
      </c>
      <c r="BQ10">
        <v>-267846.36639428139</v>
      </c>
      <c r="BR10">
        <v>482739.75212073326</v>
      </c>
      <c r="BS10">
        <v>-805888.77162957191</v>
      </c>
      <c r="BT10">
        <v>-1082029.8292315006</v>
      </c>
      <c r="BU10">
        <v>-583238.48371911049</v>
      </c>
      <c r="BV10">
        <v>-504313.23993706703</v>
      </c>
      <c r="BW10">
        <v>319540.70274329185</v>
      </c>
      <c r="BX10">
        <v>277870.03075385094</v>
      </c>
      <c r="BY10">
        <v>-564685.56813073158</v>
      </c>
      <c r="BZ10">
        <v>-155196.36321282387</v>
      </c>
      <c r="CA10">
        <v>1115419.063918829</v>
      </c>
      <c r="CB10">
        <v>97360.496986150742</v>
      </c>
      <c r="CC10">
        <v>-289409.07322716713</v>
      </c>
      <c r="CD10">
        <v>850490.74166846275</v>
      </c>
      <c r="CE10">
        <v>357448.3933866024</v>
      </c>
      <c r="CF10">
        <v>-1089586.558006525</v>
      </c>
      <c r="CG10">
        <v>177845.54699683189</v>
      </c>
      <c r="CH10">
        <v>-73771.308738946915</v>
      </c>
      <c r="CI10">
        <v>-106198.06020379066</v>
      </c>
      <c r="CJ10">
        <v>119573.92848181725</v>
      </c>
      <c r="CK10">
        <v>1100603.3584439754</v>
      </c>
      <c r="CL10">
        <v>66430.529525518417</v>
      </c>
      <c r="CM10">
        <v>22095.503974676132</v>
      </c>
      <c r="CN10">
        <v>152379.36627173424</v>
      </c>
      <c r="CO10">
        <v>21393.260497808456</v>
      </c>
      <c r="CP10">
        <v>-248841.89743065834</v>
      </c>
      <c r="CQ10">
        <v>-99629.693969964981</v>
      </c>
      <c r="CR10">
        <v>-262171.19976067543</v>
      </c>
      <c r="CS10">
        <v>103634.46437811852</v>
      </c>
      <c r="CT10">
        <v>397606.94183325768</v>
      </c>
      <c r="CU10">
        <v>-34723.914329767227</v>
      </c>
      <c r="CV10">
        <v>385883.42076086998</v>
      </c>
      <c r="CW10">
        <v>-17593.772705316544</v>
      </c>
      <c r="CX10">
        <v>-25805.603401422501</v>
      </c>
      <c r="CY10">
        <v>-200173.13362908363</v>
      </c>
      <c r="CZ10">
        <v>30904.232421636581</v>
      </c>
      <c r="DA10">
        <v>-130016.59072136879</v>
      </c>
      <c r="DB10">
        <v>-251068.8108522892</v>
      </c>
      <c r="DC10">
        <v>302102.83889746666</v>
      </c>
      <c r="DD10">
        <v>106392.40085577965</v>
      </c>
      <c r="DE10">
        <v>73790.360755681992</v>
      </c>
      <c r="DF10">
        <v>-98160.940254449844</v>
      </c>
      <c r="DG10">
        <v>138576.08310675621</v>
      </c>
      <c r="DH10">
        <v>156219.54625678062</v>
      </c>
      <c r="DI10">
        <v>152281.18888068199</v>
      </c>
      <c r="DJ10">
        <v>-207631.5708925724</v>
      </c>
      <c r="DK10">
        <v>76858.420165777206</v>
      </c>
      <c r="DL10">
        <v>210453.65984320641</v>
      </c>
      <c r="DM10">
        <v>-209392.69867730141</v>
      </c>
      <c r="DN10">
        <v>10709.552955389023</v>
      </c>
      <c r="DO10">
        <v>-141189.66926598549</v>
      </c>
      <c r="DP10">
        <v>13434.779220342636</v>
      </c>
      <c r="DQ10">
        <v>18789.677146673203</v>
      </c>
      <c r="DR10">
        <v>69027.713050603867</v>
      </c>
      <c r="DS10">
        <v>147886.15688300133</v>
      </c>
      <c r="DT10">
        <v>109723.8296353817</v>
      </c>
      <c r="DU10">
        <v>243870.28245520592</v>
      </c>
      <c r="DV10">
        <v>-22361.681709527969</v>
      </c>
      <c r="DW10">
        <v>-70312.886116266251</v>
      </c>
      <c r="DX10">
        <v>-52941.841339349747</v>
      </c>
      <c r="DY10">
        <v>84090.525153875351</v>
      </c>
      <c r="DZ10">
        <v>-52702.031250238419</v>
      </c>
      <c r="EA10">
        <v>-87498.277130365372</v>
      </c>
      <c r="EB10">
        <v>27997.364349126816</v>
      </c>
      <c r="EC10">
        <v>77576.220702886581</v>
      </c>
      <c r="ED10">
        <v>83579.081634283066</v>
      </c>
      <c r="EE10">
        <v>30778.421020269394</v>
      </c>
      <c r="EF10">
        <v>1156.3366086483002</v>
      </c>
      <c r="EG10">
        <v>56517.028045415878</v>
      </c>
      <c r="EH10">
        <v>-29543.097481012344</v>
      </c>
      <c r="EI10">
        <v>51091.256675481796</v>
      </c>
      <c r="EJ10">
        <v>49640.396613836288</v>
      </c>
      <c r="EK10">
        <v>-53714.710464715958</v>
      </c>
      <c r="EL10">
        <v>21369.822776556015</v>
      </c>
      <c r="EM10">
        <v>58024.413383245468</v>
      </c>
      <c r="EN10">
        <v>-2165.2107164859772</v>
      </c>
      <c r="EO10">
        <v>-24784.074470758438</v>
      </c>
      <c r="EP10">
        <v>-26280.126846551895</v>
      </c>
      <c r="EQ10">
        <v>85908.444495916367</v>
      </c>
      <c r="ER10">
        <v>-40397.919548273087</v>
      </c>
      <c r="ES10">
        <v>62804.261131048203</v>
      </c>
      <c r="ET10">
        <v>-23353.431663751602</v>
      </c>
      <c r="EU10">
        <v>-23296.425232172012</v>
      </c>
      <c r="EV10">
        <v>3027.2501599788666</v>
      </c>
      <c r="EW10">
        <v>-22813.542427301407</v>
      </c>
      <c r="EX10">
        <v>14889.719207525253</v>
      </c>
      <c r="EY10">
        <v>46951.659515142441</v>
      </c>
      <c r="EZ10">
        <v>47924.855804204941</v>
      </c>
      <c r="FA10">
        <v>58619.868736028671</v>
      </c>
      <c r="FB10">
        <v>6624.689704656601</v>
      </c>
      <c r="FC10">
        <v>-7817.0667879581451</v>
      </c>
      <c r="FD10">
        <v>43132.511428594589</v>
      </c>
      <c r="FE10">
        <v>39954.187057256699</v>
      </c>
      <c r="FF10">
        <v>-2298.3052980899811</v>
      </c>
      <c r="FG10">
        <v>42487.36908698082</v>
      </c>
      <c r="FH10">
        <v>20906.660125494003</v>
      </c>
      <c r="FI10">
        <v>28669.576064825058</v>
      </c>
      <c r="FJ10">
        <v>30449.278327703476</v>
      </c>
      <c r="FK10">
        <v>49169.611747503281</v>
      </c>
      <c r="FL10">
        <v>41056.496345281601</v>
      </c>
      <c r="FM10">
        <v>21883.432777166367</v>
      </c>
      <c r="FN10">
        <v>17770.60401892662</v>
      </c>
      <c r="FO10">
        <v>59907.089317083359</v>
      </c>
      <c r="FP10">
        <v>7287.100967168808</v>
      </c>
      <c r="FQ10">
        <v>32083.272063970566</v>
      </c>
      <c r="FR10">
        <v>52580.565055608749</v>
      </c>
      <c r="FS10">
        <v>36137.560386419296</v>
      </c>
      <c r="FT10">
        <v>32961.53533911705</v>
      </c>
      <c r="FU10">
        <v>45809.621787786484</v>
      </c>
      <c r="FV10">
        <v>30103.778045415878</v>
      </c>
      <c r="FW10">
        <v>40475.121055364609</v>
      </c>
      <c r="FX10">
        <v>50248.702270269394</v>
      </c>
      <c r="FY10">
        <v>45515.40415930748</v>
      </c>
      <c r="FZ10">
        <v>16090.754966497421</v>
      </c>
      <c r="GA10">
        <v>35292.420005559921</v>
      </c>
      <c r="GB10">
        <v>50735.978255987167</v>
      </c>
      <c r="GC10">
        <v>36103.592185735703</v>
      </c>
      <c r="GD10">
        <v>27688.024245977402</v>
      </c>
      <c r="GE10">
        <v>28699.582153081894</v>
      </c>
      <c r="GF10">
        <v>43539.195731878281</v>
      </c>
      <c r="GG10">
        <v>32779.153854131699</v>
      </c>
      <c r="GH10">
        <v>32595.433761358261</v>
      </c>
      <c r="GI10">
        <v>38917.500205755234</v>
      </c>
      <c r="GJ10">
        <v>32472.994437932968</v>
      </c>
      <c r="GK10">
        <v>40040.599159002304</v>
      </c>
      <c r="GL10">
        <v>27274.06227850914</v>
      </c>
      <c r="GM10">
        <v>39755.535178899765</v>
      </c>
      <c r="GN10">
        <v>34558.99799323082</v>
      </c>
      <c r="GO10">
        <v>29882.300658941269</v>
      </c>
      <c r="GP10">
        <v>51778.18931555748</v>
      </c>
      <c r="GQ10">
        <v>26909.956283330917</v>
      </c>
      <c r="GR10">
        <v>38306.550338506699</v>
      </c>
    </row>
    <row r="11" spans="1:200" x14ac:dyDescent="0.25">
      <c r="A11">
        <v>-1401557.8931770325</v>
      </c>
      <c r="B11">
        <v>-133885106.30223465</v>
      </c>
      <c r="C11">
        <v>-195503906.80528641</v>
      </c>
      <c r="D11">
        <v>-171093022.02043533</v>
      </c>
      <c r="E11">
        <v>152117890.67451096</v>
      </c>
      <c r="F11">
        <v>90277059.108043671</v>
      </c>
      <c r="G11">
        <v>26958000.283885956</v>
      </c>
      <c r="H11">
        <v>57104436.713207245</v>
      </c>
      <c r="I11">
        <v>134232000.13129807</v>
      </c>
      <c r="J11">
        <v>-38014426.084217072</v>
      </c>
      <c r="K11">
        <v>60063629.465831757</v>
      </c>
      <c r="L11">
        <v>-163474965.84605789</v>
      </c>
      <c r="M11">
        <v>104766780.24818039</v>
      </c>
      <c r="N11">
        <v>14015269.153942108</v>
      </c>
      <c r="O11">
        <v>76344529.125743866</v>
      </c>
      <c r="P11">
        <v>4650856.4640007019</v>
      </c>
      <c r="Q11">
        <v>43232053.812633514</v>
      </c>
      <c r="R11">
        <v>2362052.5826530457</v>
      </c>
      <c r="S11">
        <v>-8941456.3343391418</v>
      </c>
      <c r="T11">
        <v>59657778.860851288</v>
      </c>
      <c r="U11">
        <v>-32902733.559925079</v>
      </c>
      <c r="V11">
        <v>-59266985.884876251</v>
      </c>
      <c r="W11">
        <v>-17054089.528553009</v>
      </c>
      <c r="X11">
        <v>905409.99402999878</v>
      </c>
      <c r="Y11">
        <v>46397253.457775116</v>
      </c>
      <c r="Z11">
        <v>-22975091.652088165</v>
      </c>
      <c r="AA11">
        <v>46153904.130260468</v>
      </c>
      <c r="AB11">
        <v>-24199505.182300568</v>
      </c>
      <c r="AC11">
        <v>-69563056.42534256</v>
      </c>
      <c r="AD11">
        <v>-5528035.3161506653</v>
      </c>
      <c r="AE11">
        <v>7354370.2921257019</v>
      </c>
      <c r="AF11">
        <v>48388607.379405975</v>
      </c>
      <c r="AG11">
        <v>-63734866.490283966</v>
      </c>
      <c r="AH11">
        <v>66282842.403331757</v>
      </c>
      <c r="AI11">
        <v>-60359672.85326004</v>
      </c>
      <c r="AJ11">
        <v>15413958.551036835</v>
      </c>
      <c r="AK11">
        <v>-63437421.425525665</v>
      </c>
      <c r="AL11">
        <v>24598625.120372772</v>
      </c>
      <c r="AM11">
        <v>24313399.412731171</v>
      </c>
      <c r="AN11">
        <v>22960064.390026093</v>
      </c>
      <c r="AO11">
        <v>60189705.90455246</v>
      </c>
      <c r="AP11">
        <v>84136459.289073944</v>
      </c>
      <c r="AQ11">
        <v>-22255767.319202423</v>
      </c>
      <c r="AR11">
        <v>73788425.573253632</v>
      </c>
      <c r="AS11">
        <v>-33895762.050891876</v>
      </c>
      <c r="AT11">
        <v>-9960361.8838996887</v>
      </c>
      <c r="AU11">
        <v>15368652.878185272</v>
      </c>
      <c r="AV11">
        <v>38152697.910167694</v>
      </c>
      <c r="AW11">
        <v>-14450412.121204376</v>
      </c>
      <c r="AX11">
        <v>-5394791.2603645325</v>
      </c>
      <c r="AY11">
        <v>35284871.638439178</v>
      </c>
      <c r="AZ11">
        <v>27509849.182506561</v>
      </c>
      <c r="BA11">
        <v>20638970.115245819</v>
      </c>
      <c r="BB11">
        <v>39545854.072399139</v>
      </c>
      <c r="BC11">
        <v>-4314111.0359992981</v>
      </c>
      <c r="BD11">
        <v>1545879.0756950378</v>
      </c>
      <c r="BE11">
        <v>-30450897.039783478</v>
      </c>
      <c r="BF11">
        <v>-27647104.313587189</v>
      </c>
      <c r="BG11">
        <v>33268695.32264328</v>
      </c>
      <c r="BH11">
        <v>21502857.876720428</v>
      </c>
      <c r="BI11">
        <v>-27927704.987415314</v>
      </c>
      <c r="BJ11">
        <v>-11617511.929309845</v>
      </c>
      <c r="BK11">
        <v>-26346100.384021759</v>
      </c>
      <c r="BL11">
        <v>31237700.302379608</v>
      </c>
      <c r="BM11">
        <v>-4656711.1855354309</v>
      </c>
      <c r="BN11">
        <v>3613186.1436882019</v>
      </c>
      <c r="BO11">
        <v>-11826081.409534454</v>
      </c>
      <c r="BP11">
        <v>-5814474.98204422</v>
      </c>
      <c r="BQ11">
        <v>-20568466.210315704</v>
      </c>
      <c r="BR11">
        <v>4459659.4251823425</v>
      </c>
      <c r="BS11">
        <v>-7970754.5762825012</v>
      </c>
      <c r="BT11">
        <v>-18849928.112659454</v>
      </c>
      <c r="BU11">
        <v>-13329464.402576447</v>
      </c>
      <c r="BV11">
        <v>-11315766.967273712</v>
      </c>
      <c r="BW11">
        <v>2498.6948356628418</v>
      </c>
      <c r="BX11">
        <v>2906789.4469108582</v>
      </c>
      <c r="BY11">
        <v>-7474885.7582893372</v>
      </c>
      <c r="BZ11">
        <v>-2276398.969959259</v>
      </c>
      <c r="CA11">
        <v>8642137.1782341003</v>
      </c>
      <c r="CB11">
        <v>3609464.2332878113</v>
      </c>
      <c r="CC11">
        <v>-12655400.311389923</v>
      </c>
      <c r="CD11">
        <v>19179754.727062225</v>
      </c>
      <c r="CE11">
        <v>-5628474.5964241028</v>
      </c>
      <c r="CF11">
        <v>-12923687.218860626</v>
      </c>
      <c r="CG11">
        <v>-9190408.2213020325</v>
      </c>
      <c r="CH11">
        <v>-7137115.5552864075</v>
      </c>
      <c r="CI11">
        <v>-9703710.5532112122</v>
      </c>
      <c r="CJ11">
        <v>-7292235.4648323059</v>
      </c>
      <c r="CK11">
        <v>12248632.552501678</v>
      </c>
      <c r="CL11">
        <v>910798.37830734253</v>
      </c>
      <c r="CM11">
        <v>-7790773.8838996887</v>
      </c>
      <c r="CN11">
        <v>3035441.6104850769</v>
      </c>
      <c r="CO11">
        <v>3037878.8250846863</v>
      </c>
      <c r="CP11">
        <v>-7685250.2409553528</v>
      </c>
      <c r="CQ11">
        <v>-4572403.122303009</v>
      </c>
      <c r="CR11">
        <v>-6867082.7028694153</v>
      </c>
      <c r="CS11">
        <v>-1095641.4052619934</v>
      </c>
      <c r="CT11">
        <v>1674252.7553825378</v>
      </c>
      <c r="CU11">
        <v>-7731699.4639778137</v>
      </c>
      <c r="CV11">
        <v>1409279.7483024597</v>
      </c>
      <c r="CW11">
        <v>-6430863.8008918762</v>
      </c>
      <c r="CX11">
        <v>-3235658.0134162903</v>
      </c>
      <c r="CY11">
        <v>-6104722.7606086731</v>
      </c>
      <c r="CZ11">
        <v>-4002937.8278694153</v>
      </c>
      <c r="DA11">
        <v>-4734225.9338264465</v>
      </c>
      <c r="DB11">
        <v>-2699523.183216095</v>
      </c>
      <c r="DC11">
        <v>-614480.26878738403</v>
      </c>
      <c r="DD11">
        <v>-4176454.9368782043</v>
      </c>
      <c r="DE11">
        <v>1278248.948009491</v>
      </c>
      <c r="DF11">
        <v>-2589904.4805793762</v>
      </c>
      <c r="DG11">
        <v>2295285.1771354675</v>
      </c>
      <c r="DH11">
        <v>5495057.3794059753</v>
      </c>
      <c r="DI11">
        <v>3536089.6297721863</v>
      </c>
      <c r="DJ11">
        <v>-5867279.6497688293</v>
      </c>
      <c r="DK11">
        <v>610362.39454269409</v>
      </c>
      <c r="DL11">
        <v>114102.95289230347</v>
      </c>
      <c r="DM11">
        <v>-8628387.2762336731</v>
      </c>
      <c r="DN11">
        <v>-3251967.7918586731</v>
      </c>
      <c r="DO11">
        <v>-2796202.8942756653</v>
      </c>
      <c r="DP11">
        <v>497052.94507980347</v>
      </c>
      <c r="DQ11">
        <v>-1187545.2946662903</v>
      </c>
      <c r="DR11">
        <v>181368.28113937378</v>
      </c>
      <c r="DS11">
        <v>767172.88550949097</v>
      </c>
      <c r="DT11">
        <v>-637138.81541824341</v>
      </c>
      <c r="DU11">
        <v>3089429.7932243347</v>
      </c>
      <c r="DV11">
        <v>-2160385.3548469543</v>
      </c>
      <c r="DW11">
        <v>-1901968.3563117981</v>
      </c>
      <c r="DX11">
        <v>-2245549.9713020325</v>
      </c>
      <c r="DY11">
        <v>-1089922.145740509</v>
      </c>
      <c r="DZ11">
        <v>-457054.34801101685</v>
      </c>
      <c r="EA11">
        <v>-3728471.4467658997</v>
      </c>
      <c r="EB11">
        <v>-1794121.1716194153</v>
      </c>
      <c r="EC11">
        <v>314199.06007003784</v>
      </c>
      <c r="ED11">
        <v>843575.58826828003</v>
      </c>
      <c r="EE11">
        <v>-1785117.0057258606</v>
      </c>
      <c r="EF11">
        <v>-2438128.2487678528</v>
      </c>
      <c r="EG11">
        <v>-705779.37706375122</v>
      </c>
      <c r="EH11">
        <v>-1744211.8679084778</v>
      </c>
      <c r="EI11">
        <v>-1088792.4716682434</v>
      </c>
      <c r="EJ11">
        <v>-1237756.2825813293</v>
      </c>
      <c r="EK11">
        <v>-2464251.6794319153</v>
      </c>
      <c r="EL11">
        <v>-803043.50853347778</v>
      </c>
      <c r="EM11">
        <v>311224.12855148315</v>
      </c>
      <c r="EN11">
        <v>-1902519.5377082825</v>
      </c>
      <c r="EO11">
        <v>-1788975.9787483215</v>
      </c>
      <c r="EP11">
        <v>-1488335.5414924622</v>
      </c>
      <c r="EQ11">
        <v>623332.63746261597</v>
      </c>
      <c r="ER11">
        <v>-3144780.7737922668</v>
      </c>
      <c r="ES11">
        <v>-1038977.7813606262</v>
      </c>
      <c r="ET11">
        <v>-1909304.862903595</v>
      </c>
      <c r="EU11">
        <v>-1789440.5323371887</v>
      </c>
      <c r="EV11">
        <v>-1837825.8653450012</v>
      </c>
      <c r="EW11">
        <v>-1229362.7670783997</v>
      </c>
      <c r="EX11">
        <v>-2155393.8345832825</v>
      </c>
      <c r="EY11">
        <v>-568726.1834602356</v>
      </c>
      <c r="EZ11">
        <v>-1047975.1833381653</v>
      </c>
      <c r="FA11">
        <v>-600308.10094070435</v>
      </c>
      <c r="FB11">
        <v>-1488755.8362922668</v>
      </c>
      <c r="FC11">
        <v>-2229768.018787384</v>
      </c>
      <c r="FD11">
        <v>-1015671.6967658997</v>
      </c>
      <c r="FE11">
        <v>-1470596.8555793762</v>
      </c>
      <c r="FF11">
        <v>-1144590.5026741028</v>
      </c>
      <c r="FG11">
        <v>-920155.74180984497</v>
      </c>
      <c r="FH11">
        <v>-1337366.4981575012</v>
      </c>
      <c r="FI11">
        <v>-1151752.8442268372</v>
      </c>
      <c r="FJ11">
        <v>-901722.07481765747</v>
      </c>
      <c r="FK11">
        <v>-858225.69395828247</v>
      </c>
      <c r="FL11">
        <v>-1172221.852771759</v>
      </c>
      <c r="FM11">
        <v>-1197163.6838264465</v>
      </c>
      <c r="FN11">
        <v>-1170680.4190559387</v>
      </c>
      <c r="FO11">
        <v>-562819.16612625122</v>
      </c>
      <c r="FP11">
        <v>-1217557.1334114075</v>
      </c>
      <c r="FQ11">
        <v>-863104.73509597778</v>
      </c>
      <c r="FR11">
        <v>-570971.64818191528</v>
      </c>
      <c r="FS11">
        <v>-1071446.4955940247</v>
      </c>
      <c r="FT11">
        <v>-497905.31358718872</v>
      </c>
      <c r="FU11">
        <v>-853614.19932937622</v>
      </c>
      <c r="FV11">
        <v>-1431838.0707893372</v>
      </c>
      <c r="FW11">
        <v>-554374.08348464966</v>
      </c>
      <c r="FX11">
        <v>-503403.14403152466</v>
      </c>
      <c r="FY11">
        <v>-986814.39317703247</v>
      </c>
      <c r="FZ11">
        <v>-1068536.5643196106</v>
      </c>
      <c r="GA11">
        <v>-981229.10753250122</v>
      </c>
      <c r="GB11">
        <v>-568950.86558914185</v>
      </c>
      <c r="GC11">
        <v>-642771.20604324341</v>
      </c>
      <c r="GD11">
        <v>-1079111.5467414856</v>
      </c>
      <c r="GE11">
        <v>-1142001.1232795715</v>
      </c>
      <c r="GF11">
        <v>-814307.63682937622</v>
      </c>
      <c r="GG11">
        <v>-1108783.8564338684</v>
      </c>
      <c r="GH11">
        <v>-948862.18944168091</v>
      </c>
      <c r="GI11">
        <v>-762709.35557937622</v>
      </c>
      <c r="GJ11">
        <v>-1154774.5937385559</v>
      </c>
      <c r="GK11">
        <v>-700492.06615066528</v>
      </c>
      <c r="GL11">
        <v>-1075186.1739387512</v>
      </c>
      <c r="GM11">
        <v>-702056.05931472778</v>
      </c>
      <c r="GN11">
        <v>-735833.74754714966</v>
      </c>
      <c r="GO11">
        <v>-1034804.5101203918</v>
      </c>
      <c r="GP11">
        <v>-615575.66319656372</v>
      </c>
      <c r="GQ11">
        <v>-1163094.0119514465</v>
      </c>
      <c r="GR11">
        <v>-879056.18309402466</v>
      </c>
    </row>
    <row r="12" spans="1:200" x14ac:dyDescent="0.25">
      <c r="A12">
        <v>122963879.78637695</v>
      </c>
      <c r="B12">
        <v>-279959219.51928711</v>
      </c>
      <c r="C12">
        <v>-230597008.09155273</v>
      </c>
      <c r="D12">
        <v>-888430969.12768555</v>
      </c>
      <c r="E12">
        <v>212128338.93676758</v>
      </c>
      <c r="F12">
        <v>-243373927.37182617</v>
      </c>
      <c r="G12">
        <v>-219695779.50756836</v>
      </c>
      <c r="H12">
        <v>-234431230.43139648</v>
      </c>
      <c r="I12">
        <v>1138832171.0705566</v>
      </c>
      <c r="J12">
        <v>-257715034.42651367</v>
      </c>
      <c r="K12">
        <v>228002233.88110352</v>
      </c>
      <c r="L12">
        <v>672293951.01293945</v>
      </c>
      <c r="M12">
        <v>1080791470.3137207</v>
      </c>
      <c r="N12">
        <v>-1168986237.0651855</v>
      </c>
      <c r="O12">
        <v>1055533105.4797363</v>
      </c>
      <c r="P12">
        <v>-196088163.21557617</v>
      </c>
      <c r="Q12">
        <v>1275449340.1311035</v>
      </c>
      <c r="R12">
        <v>836014537.97387695</v>
      </c>
      <c r="S12">
        <v>440530489.34301758</v>
      </c>
      <c r="T12">
        <v>-177278271.99780273</v>
      </c>
      <c r="U12">
        <v>436416777.5871582</v>
      </c>
      <c r="V12">
        <v>-235602696.49682617</v>
      </c>
      <c r="W12">
        <v>-1770975930.3093262</v>
      </c>
      <c r="X12">
        <v>382660506.1809082</v>
      </c>
      <c r="Y12">
        <v>105883530.15551758</v>
      </c>
      <c r="Z12">
        <v>-880504339.84448242</v>
      </c>
      <c r="AA12">
        <v>276718726.77563477</v>
      </c>
      <c r="AB12">
        <v>432051347.91821289</v>
      </c>
      <c r="AC12">
        <v>-61970177.976318359</v>
      </c>
      <c r="AD12">
        <v>-504226181.93823242</v>
      </c>
      <c r="AE12">
        <v>987582033.51879883</v>
      </c>
      <c r="AF12">
        <v>-211024665.20776367</v>
      </c>
      <c r="AG12">
        <v>-746225069.6706543</v>
      </c>
      <c r="AH12">
        <v>331406104.76489258</v>
      </c>
      <c r="AI12">
        <v>263026205.13989258</v>
      </c>
      <c r="AJ12">
        <v>596542557.38696289</v>
      </c>
      <c r="AK12">
        <v>17471006.499267578</v>
      </c>
      <c r="AL12">
        <v>267670962.34790039</v>
      </c>
      <c r="AM12">
        <v>275281248.63208008</v>
      </c>
      <c r="AN12">
        <v>-73006893.552490234</v>
      </c>
      <c r="AO12">
        <v>-530349528.36010742</v>
      </c>
      <c r="AP12">
        <v>183807908.22973633</v>
      </c>
      <c r="AQ12">
        <v>-612349093.61987305</v>
      </c>
      <c r="AR12">
        <v>-126342425.64526367</v>
      </c>
      <c r="AS12">
        <v>525766817.32836914</v>
      </c>
      <c r="AT12">
        <v>349537756.12036133</v>
      </c>
      <c r="AU12">
        <v>350211934.6965332</v>
      </c>
      <c r="AV12">
        <v>273490357.2121582</v>
      </c>
      <c r="AW12">
        <v>-199702400.17163086</v>
      </c>
      <c r="AX12">
        <v>-195749638.79174805</v>
      </c>
      <c r="AY12">
        <v>-250799300.68432617</v>
      </c>
      <c r="AZ12">
        <v>-463822123.20288086</v>
      </c>
      <c r="BA12">
        <v>-202486792.64916992</v>
      </c>
      <c r="BB12">
        <v>-76533848.836669922</v>
      </c>
      <c r="BC12">
        <v>685007040.36450195</v>
      </c>
      <c r="BD12">
        <v>173264832.27172852</v>
      </c>
      <c r="BE12">
        <v>-39885866.975341797</v>
      </c>
      <c r="BF12">
        <v>121846663.80786133</v>
      </c>
      <c r="BG12">
        <v>-75977347.250732422</v>
      </c>
      <c r="BH12">
        <v>1308386.0227050781</v>
      </c>
      <c r="BI12">
        <v>-20203792.791748047</v>
      </c>
      <c r="BJ12">
        <v>320429097.90258789</v>
      </c>
      <c r="BK12">
        <v>225467235.04321289</v>
      </c>
      <c r="BL12">
        <v>-116274146.95288086</v>
      </c>
      <c r="BM12">
        <v>368127162.28735352</v>
      </c>
      <c r="BN12">
        <v>-14507131.971435547</v>
      </c>
      <c r="BO12">
        <v>124416823.42407227</v>
      </c>
      <c r="BP12">
        <v>-218220648.82983398</v>
      </c>
      <c r="BQ12">
        <v>-103795408.51147461</v>
      </c>
      <c r="BR12">
        <v>-150473063.88842773</v>
      </c>
      <c r="BS12">
        <v>144224115.03637695</v>
      </c>
      <c r="BT12">
        <v>78530850.494384766</v>
      </c>
      <c r="BU12">
        <v>148214958.57739258</v>
      </c>
      <c r="BV12">
        <v>3393429.9270019531</v>
      </c>
      <c r="BW12">
        <v>-166426726.1550293</v>
      </c>
      <c r="BX12">
        <v>-103099819.55053711</v>
      </c>
      <c r="BY12">
        <v>62405852.842041016</v>
      </c>
      <c r="BZ12">
        <v>-36114159.167724609</v>
      </c>
      <c r="CA12">
        <v>-183051206.22241211</v>
      </c>
      <c r="CB12">
        <v>4300699.5295410156</v>
      </c>
      <c r="CC12">
        <v>64190762.640869141</v>
      </c>
      <c r="CD12">
        <v>-39299272.472412109</v>
      </c>
      <c r="CE12">
        <v>-138604475.2878418</v>
      </c>
      <c r="CF12">
        <v>130256691.36645508</v>
      </c>
      <c r="CG12">
        <v>-138796146.07397461</v>
      </c>
      <c r="CH12">
        <v>-33954186.500732422</v>
      </c>
      <c r="CI12">
        <v>-37031695.649169922</v>
      </c>
      <c r="CJ12">
        <v>-83637953.333740234</v>
      </c>
      <c r="CK12">
        <v>-121836360.83081055</v>
      </c>
      <c r="CL12">
        <v>-32916072.301513672</v>
      </c>
      <c r="CM12">
        <v>-28656728.897216797</v>
      </c>
      <c r="CN12">
        <v>-23469886.911865234</v>
      </c>
      <c r="CO12">
        <v>8268756.0783691406</v>
      </c>
      <c r="CP12">
        <v>5228095.0773925781</v>
      </c>
      <c r="CQ12">
        <v>-58123780.447021484</v>
      </c>
      <c r="CR12">
        <v>60064145.787353516</v>
      </c>
      <c r="CS12">
        <v>-50478600.532958984</v>
      </c>
      <c r="CT12">
        <v>-74187631.456787109</v>
      </c>
      <c r="CU12">
        <v>-13492247.593505859</v>
      </c>
      <c r="CV12">
        <v>-77199707.690185547</v>
      </c>
      <c r="CW12">
        <v>-46609253.378662109</v>
      </c>
      <c r="CX12">
        <v>-55839906.544677734</v>
      </c>
      <c r="CY12">
        <v>37859464.190673828</v>
      </c>
      <c r="CZ12">
        <v>-33282613.766357422</v>
      </c>
      <c r="DA12">
        <v>-31922211.381591797</v>
      </c>
      <c r="DB12">
        <v>46711147.166259766</v>
      </c>
      <c r="DC12">
        <v>-93432173.451904297</v>
      </c>
      <c r="DD12">
        <v>-65846008.674560547</v>
      </c>
      <c r="DE12">
        <v>-48313248.437255859</v>
      </c>
      <c r="DF12">
        <v>24009229.485595703</v>
      </c>
      <c r="DG12">
        <v>-8821810.1853027344</v>
      </c>
      <c r="DH12">
        <v>-4746857.6755371094</v>
      </c>
      <c r="DI12">
        <v>-16232948.188232422</v>
      </c>
      <c r="DJ12">
        <v>-15880970.562255859</v>
      </c>
      <c r="DK12">
        <v>-31821555.766357422</v>
      </c>
      <c r="DL12">
        <v>-71430484.100341797</v>
      </c>
      <c r="DM12">
        <v>-23402522.775146484</v>
      </c>
      <c r="DN12">
        <v>-34643356.978271484</v>
      </c>
      <c r="DO12">
        <v>15418028.967041016</v>
      </c>
      <c r="DP12">
        <v>-4288896.7595214844</v>
      </c>
      <c r="DQ12">
        <v>-13534408.028076172</v>
      </c>
      <c r="DR12">
        <v>-33341177.866943359</v>
      </c>
      <c r="DS12">
        <v>-25406232.469482422</v>
      </c>
      <c r="DT12">
        <v>-53830281.064208984</v>
      </c>
      <c r="DU12">
        <v>-33468920.290771484</v>
      </c>
      <c r="DV12">
        <v>-14378855.285888672</v>
      </c>
      <c r="DW12">
        <v>8566710.8947753906</v>
      </c>
      <c r="DX12">
        <v>-10645402.608154297</v>
      </c>
      <c r="DY12">
        <v>-43841700.286865234</v>
      </c>
      <c r="DZ12">
        <v>4832099.4279785156</v>
      </c>
      <c r="EA12">
        <v>-28928878.398193359</v>
      </c>
      <c r="EB12">
        <v>-37045222.840576172</v>
      </c>
      <c r="EC12">
        <v>-27400624.573974609</v>
      </c>
      <c r="ED12">
        <v>-18123057.550537109</v>
      </c>
      <c r="EE12">
        <v>-26338711.794677734</v>
      </c>
      <c r="EF12">
        <v>-33740855.407958984</v>
      </c>
      <c r="EG12">
        <v>-34684419.199951172</v>
      </c>
      <c r="EH12">
        <v>-6731363.5895996094</v>
      </c>
      <c r="EI12">
        <v>-26328463.821044922</v>
      </c>
      <c r="EJ12">
        <v>-41000659.214599609</v>
      </c>
      <c r="EK12">
        <v>-22850678.190185547</v>
      </c>
      <c r="EL12">
        <v>-19063467.785888672</v>
      </c>
      <c r="EM12">
        <v>-22993730.302490234</v>
      </c>
      <c r="EN12">
        <v>-30059344.359130859</v>
      </c>
      <c r="EO12">
        <v>-21145124.130615234</v>
      </c>
      <c r="EP12">
        <v>-14413847.670654297</v>
      </c>
      <c r="EQ12">
        <v>-21985042.081787109</v>
      </c>
      <c r="ER12">
        <v>-28984716.233154297</v>
      </c>
      <c r="ES12">
        <v>-29712537.495849609</v>
      </c>
      <c r="ET12">
        <v>-27697361.797607422</v>
      </c>
      <c r="EU12">
        <v>-19951639.652099609</v>
      </c>
      <c r="EV12">
        <v>-26254359.401123047</v>
      </c>
      <c r="EW12">
        <v>-10275518.831787109</v>
      </c>
      <c r="EX12">
        <v>-37758919.177490234</v>
      </c>
      <c r="EY12">
        <v>-27919991.791748047</v>
      </c>
      <c r="EZ12">
        <v>-34067007.204833984</v>
      </c>
      <c r="FA12">
        <v>-33296554.528076172</v>
      </c>
      <c r="FB12">
        <v>-26954722.417724609</v>
      </c>
      <c r="FC12">
        <v>-27868555.116943359</v>
      </c>
      <c r="FD12">
        <v>-30777570.515380859</v>
      </c>
      <c r="FE12">
        <v>-33720454.707763672</v>
      </c>
      <c r="FF12">
        <v>-20042790.577880859</v>
      </c>
      <c r="FG12">
        <v>-27523978.572998047</v>
      </c>
      <c r="FH12">
        <v>-26218949.422607422</v>
      </c>
      <c r="FI12">
        <v>-27857271.256591797</v>
      </c>
      <c r="FJ12">
        <v>-28942802.987060547</v>
      </c>
      <c r="FK12">
        <v>-31213828.975341797</v>
      </c>
      <c r="FL12">
        <v>-33697572.736083984</v>
      </c>
      <c r="FM12">
        <v>-30062567.310302734</v>
      </c>
      <c r="FN12">
        <v>-27632015.955810547</v>
      </c>
      <c r="FO12">
        <v>-29587521.875732422</v>
      </c>
      <c r="FP12">
        <v>-24267739.051513672</v>
      </c>
      <c r="FQ12">
        <v>-28107183.974365234</v>
      </c>
      <c r="FR12">
        <v>-28203604.525146484</v>
      </c>
      <c r="FS12">
        <v>-31367177.937255859</v>
      </c>
      <c r="FT12">
        <v>-24486301.965576172</v>
      </c>
      <c r="FU12">
        <v>-31025258.175537109</v>
      </c>
      <c r="FV12">
        <v>-32138143.957763672</v>
      </c>
      <c r="FW12">
        <v>-28343759.824951172</v>
      </c>
      <c r="FX12">
        <v>-28238913.456787109</v>
      </c>
      <c r="FY12">
        <v>-32113160.144287109</v>
      </c>
      <c r="FZ12">
        <v>-26541707.921630859</v>
      </c>
      <c r="GA12">
        <v>-29341848.633544922</v>
      </c>
      <c r="GB12">
        <v>-29047230.456787109</v>
      </c>
      <c r="GC12">
        <v>-26509547.677490234</v>
      </c>
      <c r="GD12">
        <v>-30671332.112060547</v>
      </c>
      <c r="GE12">
        <v>-30570403.579833984</v>
      </c>
      <c r="GF12">
        <v>-30439891.264404297</v>
      </c>
      <c r="GG12">
        <v>-30224235.470458984</v>
      </c>
      <c r="GH12">
        <v>-29314258.670654297</v>
      </c>
      <c r="GI12">
        <v>-28782757.354248047</v>
      </c>
      <c r="GJ12">
        <v>-30538459.072021484</v>
      </c>
      <c r="GK12">
        <v>-28145510.961669922</v>
      </c>
      <c r="GL12">
        <v>-29047545.410888672</v>
      </c>
      <c r="GM12">
        <v>-27464760.700927734</v>
      </c>
      <c r="GN12">
        <v>-26825368.084716797</v>
      </c>
      <c r="GO12">
        <v>-30250331.674560547</v>
      </c>
      <c r="GP12">
        <v>-29942442.684326172</v>
      </c>
      <c r="GQ12">
        <v>-29687071.287841797</v>
      </c>
      <c r="GR12">
        <v>-29016138.877685547</v>
      </c>
    </row>
    <row r="13" spans="1:200" x14ac:dyDescent="0.25">
      <c r="A13">
        <v>222732902.60836029</v>
      </c>
      <c r="B13">
        <v>-39798207.253456116</v>
      </c>
      <c r="C13">
        <v>-44519146.149452209</v>
      </c>
      <c r="D13">
        <v>-1554477.8882217407</v>
      </c>
      <c r="E13">
        <v>179373647.30220795</v>
      </c>
      <c r="F13">
        <v>-102305977.87503815</v>
      </c>
      <c r="G13">
        <v>-114916888.68314362</v>
      </c>
      <c r="H13">
        <v>73471165.726036072</v>
      </c>
      <c r="I13">
        <v>-37443342.303749084</v>
      </c>
      <c r="J13">
        <v>-187370191.94437408</v>
      </c>
      <c r="K13">
        <v>29463740.652793884</v>
      </c>
      <c r="L13">
        <v>-291637594.09476471</v>
      </c>
      <c r="M13">
        <v>80737245.982872009</v>
      </c>
      <c r="N13">
        <v>145395272.98238373</v>
      </c>
      <c r="O13">
        <v>427707002.26363373</v>
      </c>
      <c r="P13">
        <v>-26553362.709022522</v>
      </c>
      <c r="Q13">
        <v>86902120.122032166</v>
      </c>
      <c r="R13">
        <v>-117788240.3164444</v>
      </c>
      <c r="S13">
        <v>-178263472.33353424</v>
      </c>
      <c r="T13">
        <v>255436146.35054779</v>
      </c>
      <c r="U13">
        <v>-50727679.982460022</v>
      </c>
      <c r="V13">
        <v>-1308421.5947647095</v>
      </c>
      <c r="W13">
        <v>-202936000.59574127</v>
      </c>
      <c r="X13">
        <v>-35964478.148475647</v>
      </c>
      <c r="Y13">
        <v>31304837.178672791</v>
      </c>
      <c r="Z13">
        <v>-192139973.4180069</v>
      </c>
      <c r="AA13">
        <v>-56254442.165077209</v>
      </c>
      <c r="AB13">
        <v>129028430.85250092</v>
      </c>
      <c r="AC13">
        <v>56714217.790977478</v>
      </c>
      <c r="AD13">
        <v>-89799887.766639709</v>
      </c>
      <c r="AE13">
        <v>132219585.36519623</v>
      </c>
      <c r="AF13">
        <v>-17986158.489295959</v>
      </c>
      <c r="AG13">
        <v>-20646105.246131897</v>
      </c>
      <c r="AH13">
        <v>42082942.375938416</v>
      </c>
      <c r="AI13">
        <v>38188369.705039978</v>
      </c>
      <c r="AJ13">
        <v>-22152101.644569397</v>
      </c>
      <c r="AK13">
        <v>-48732032.885780334</v>
      </c>
      <c r="AL13">
        <v>33707539.047325134</v>
      </c>
      <c r="AM13">
        <v>36219525.091758728</v>
      </c>
      <c r="AN13">
        <v>-10635532.730018616</v>
      </c>
      <c r="AO13">
        <v>117691775.7694931</v>
      </c>
      <c r="AP13">
        <v>85728029.290000916</v>
      </c>
      <c r="AQ13">
        <v>-17844821.345741272</v>
      </c>
      <c r="AR13">
        <v>-46018213.658241272</v>
      </c>
      <c r="AS13">
        <v>46894679.831993103</v>
      </c>
      <c r="AT13">
        <v>-4538765.330116272</v>
      </c>
      <c r="AU13">
        <v>6491992.5732040405</v>
      </c>
      <c r="AV13">
        <v>127627820.10738373</v>
      </c>
      <c r="AW13">
        <v>-69379601.735389709</v>
      </c>
      <c r="AX13">
        <v>-52892216.257850647</v>
      </c>
      <c r="AY13">
        <v>44183802.662071228</v>
      </c>
      <c r="AZ13">
        <v>-68397051.030311584</v>
      </c>
      <c r="BA13">
        <v>-33728838.288124084</v>
      </c>
      <c r="BB13">
        <v>-19430261.755897522</v>
      </c>
      <c r="BC13">
        <v>110801653.60836029</v>
      </c>
      <c r="BD13">
        <v>-20086941.336952209</v>
      </c>
      <c r="BE13">
        <v>-5446515.117225647</v>
      </c>
      <c r="BF13">
        <v>-5688769.459022522</v>
      </c>
      <c r="BG13">
        <v>-15887807.268592834</v>
      </c>
      <c r="BH13">
        <v>71705085.388633728</v>
      </c>
      <c r="BI13">
        <v>35442897.136680603</v>
      </c>
      <c r="BJ13">
        <v>22290570.121055603</v>
      </c>
      <c r="BK13">
        <v>46375740.288047791</v>
      </c>
      <c r="BL13">
        <v>-55254698.328163147</v>
      </c>
      <c r="BM13">
        <v>47922693.248008728</v>
      </c>
      <c r="BN13">
        <v>32990971.131797791</v>
      </c>
      <c r="BO13">
        <v>-10075152.179725647</v>
      </c>
      <c r="BP13">
        <v>-47714037.016639709</v>
      </c>
      <c r="BQ13">
        <v>-5424608.373085022</v>
      </c>
      <c r="BR13">
        <v>9415173.4755477905</v>
      </c>
      <c r="BS13">
        <v>9523421.2548446655</v>
      </c>
      <c r="BT13">
        <v>43489577.887657166</v>
      </c>
      <c r="BU13">
        <v>-19644702.188514709</v>
      </c>
      <c r="BV13">
        <v>20664057.984336853</v>
      </c>
      <c r="BW13">
        <v>3977663.3896102905</v>
      </c>
      <c r="BX13">
        <v>14018987.490196228</v>
      </c>
      <c r="BY13">
        <v>8177138.8446884155</v>
      </c>
      <c r="BZ13">
        <v>9168664.9560165405</v>
      </c>
      <c r="CA13">
        <v>-37841851.668983459</v>
      </c>
      <c r="CB13">
        <v>5746888.232383728</v>
      </c>
      <c r="CC13">
        <v>-21543996.676795959</v>
      </c>
      <c r="CD13">
        <v>-19615960.730506897</v>
      </c>
      <c r="CE13">
        <v>-16418422.162147522</v>
      </c>
      <c r="CF13">
        <v>39838465.604454041</v>
      </c>
      <c r="CG13">
        <v>-25539607.453163147</v>
      </c>
      <c r="CH13">
        <v>-3936370.3896865845</v>
      </c>
      <c r="CI13">
        <v>-9110533.888710022</v>
      </c>
      <c r="CJ13">
        <v>-20733821.531288147</v>
      </c>
      <c r="CK13">
        <v>-46449768.326210022</v>
      </c>
      <c r="CL13">
        <v>5760329.478477478</v>
      </c>
      <c r="CM13">
        <v>-27009846.452186584</v>
      </c>
      <c r="CN13">
        <v>3502821.5146102905</v>
      </c>
      <c r="CO13">
        <v>1973217.070274353</v>
      </c>
      <c r="CP13">
        <v>-4823852.472694397</v>
      </c>
      <c r="CQ13">
        <v>354433.92671966553</v>
      </c>
      <c r="CR13">
        <v>-11580617.680702209</v>
      </c>
      <c r="CS13">
        <v>-10978875.959022522</v>
      </c>
      <c r="CT13">
        <v>-21545783.808631897</v>
      </c>
      <c r="CU13">
        <v>-19647954.528358459</v>
      </c>
      <c r="CV13">
        <v>-18104560.834022522</v>
      </c>
      <c r="CW13">
        <v>-13161938.956092834</v>
      </c>
      <c r="CX13">
        <v>4393312.0732040405</v>
      </c>
      <c r="CY13">
        <v>-11690533.179725647</v>
      </c>
      <c r="CZ13">
        <v>-11054710.784217834</v>
      </c>
      <c r="DA13">
        <v>-1183530.8662490845</v>
      </c>
      <c r="DB13">
        <v>1995165.7333602905</v>
      </c>
      <c r="DC13">
        <v>-13668076.847694397</v>
      </c>
      <c r="DD13">
        <v>-12677028.034217834</v>
      </c>
      <c r="DE13">
        <v>7243644.1650009155</v>
      </c>
      <c r="DF13">
        <v>-9005170.4775772095</v>
      </c>
      <c r="DG13">
        <v>-6785340.054725647</v>
      </c>
      <c r="DH13">
        <v>2388039.320274353</v>
      </c>
      <c r="DI13">
        <v>-990513.99808502197</v>
      </c>
      <c r="DJ13">
        <v>2903397.851524353</v>
      </c>
      <c r="DK13">
        <v>-1687589.541053772</v>
      </c>
      <c r="DL13">
        <v>-4911413.3760147095</v>
      </c>
      <c r="DM13">
        <v>-4558788.9248428345</v>
      </c>
      <c r="DN13">
        <v>-3313679.207069397</v>
      </c>
      <c r="DO13">
        <v>-3430580.4170303345</v>
      </c>
      <c r="DP13">
        <v>-2367743.699256897</v>
      </c>
      <c r="DQ13">
        <v>-4839185.1299209595</v>
      </c>
      <c r="DR13">
        <v>-501645.22562408447</v>
      </c>
      <c r="DS13">
        <v>-10534504.237342834</v>
      </c>
      <c r="DT13">
        <v>-1197554.478553772</v>
      </c>
      <c r="DU13">
        <v>-6629030.6494522095</v>
      </c>
      <c r="DV13">
        <v>-4883185.3603897095</v>
      </c>
      <c r="DW13">
        <v>-3341833.3408584595</v>
      </c>
      <c r="DX13">
        <v>-2784682.4990615845</v>
      </c>
      <c r="DY13">
        <v>-2751213.2822647095</v>
      </c>
      <c r="DZ13">
        <v>951222.56636810303</v>
      </c>
      <c r="EA13">
        <v>1278295.2450790405</v>
      </c>
      <c r="EB13">
        <v>-1380256.6592178345</v>
      </c>
      <c r="EC13">
        <v>-3858441.3916397095</v>
      </c>
      <c r="ED13">
        <v>-2877553.921913147</v>
      </c>
      <c r="EE13">
        <v>-5785117.7920303345</v>
      </c>
      <c r="EF13">
        <v>-1952077.111366272</v>
      </c>
      <c r="EG13">
        <v>-1623171.544960022</v>
      </c>
      <c r="EH13">
        <v>-5285479.861366272</v>
      </c>
      <c r="EI13">
        <v>-4772458.7978897095</v>
      </c>
      <c r="EJ13">
        <v>-851808.60355377197</v>
      </c>
      <c r="EK13">
        <v>1333987.476524353</v>
      </c>
      <c r="EL13">
        <v>-3166503.1338272095</v>
      </c>
      <c r="EM13">
        <v>-2145785.806678772</v>
      </c>
      <c r="EN13">
        <v>-803957.88187408447</v>
      </c>
      <c r="EO13">
        <v>-822695.26859283447</v>
      </c>
      <c r="EP13">
        <v>-2220596.257850647</v>
      </c>
      <c r="EQ13">
        <v>-3344908.209022522</v>
      </c>
      <c r="ER13">
        <v>-862047.03324127197</v>
      </c>
      <c r="ES13">
        <v>-5338464.918006897</v>
      </c>
      <c r="ET13">
        <v>143255.85640716553</v>
      </c>
      <c r="EU13">
        <v>-1276175.5732803345</v>
      </c>
      <c r="EV13">
        <v>-2200746.701210022</v>
      </c>
      <c r="EW13">
        <v>-2289052.7588272095</v>
      </c>
      <c r="EX13">
        <v>-2754209.1474990845</v>
      </c>
      <c r="EY13">
        <v>-2363822.4502334595</v>
      </c>
      <c r="EZ13">
        <v>-2752883.5224990845</v>
      </c>
      <c r="FA13">
        <v>-2424654.064491272</v>
      </c>
      <c r="FB13">
        <v>-1254354.6924209595</v>
      </c>
      <c r="FC13">
        <v>-2828209.2119522095</v>
      </c>
      <c r="FD13">
        <v>-2998929.2607803345</v>
      </c>
      <c r="FE13">
        <v>-3205960.962928772</v>
      </c>
      <c r="FF13">
        <v>-745017.23734283447</v>
      </c>
      <c r="FG13">
        <v>-3565145.625038147</v>
      </c>
      <c r="FH13">
        <v>-2853854.7080459595</v>
      </c>
      <c r="FI13">
        <v>-2228979.3467178345</v>
      </c>
      <c r="FJ13">
        <v>-1572305.9443740845</v>
      </c>
      <c r="FK13">
        <v>-2867568.5205459595</v>
      </c>
      <c r="FL13">
        <v>-2563894.7432022095</v>
      </c>
      <c r="FM13">
        <v>-1195740.1826553345</v>
      </c>
      <c r="FN13">
        <v>-1090195.0322647095</v>
      </c>
      <c r="FO13">
        <v>-3385159.091835022</v>
      </c>
      <c r="FP13">
        <v>-1550650.8389053345</v>
      </c>
      <c r="FQ13">
        <v>-1798885.906288147</v>
      </c>
      <c r="FR13">
        <v>-2788194.0478897095</v>
      </c>
      <c r="FS13">
        <v>-1783575.642616272</v>
      </c>
      <c r="FT13">
        <v>-1523099.281288147</v>
      </c>
      <c r="FU13">
        <v>-2298493.1592178345</v>
      </c>
      <c r="FV13">
        <v>-2558072.6416397095</v>
      </c>
      <c r="FW13">
        <v>-1211491.5986709595</v>
      </c>
      <c r="FX13">
        <v>-2499064.205116272</v>
      </c>
      <c r="FY13">
        <v>-2517416.8838272095</v>
      </c>
      <c r="FZ13">
        <v>-1431416.6611709595</v>
      </c>
      <c r="GA13">
        <v>-2269789.707069397</v>
      </c>
      <c r="GB13">
        <v>-2355603.5713272095</v>
      </c>
      <c r="GC13">
        <v>-1745970.455116272</v>
      </c>
      <c r="GD13">
        <v>-1443048.9131240845</v>
      </c>
      <c r="GE13">
        <v>-1546597.074256897</v>
      </c>
      <c r="GF13">
        <v>-2284186.357460022</v>
      </c>
      <c r="GG13">
        <v>-2090570.275428772</v>
      </c>
      <c r="GH13">
        <v>-1774795.4853897095</v>
      </c>
      <c r="GI13">
        <v>-2045564.8135147095</v>
      </c>
      <c r="GJ13">
        <v>-2098092.1787490845</v>
      </c>
      <c r="GK13">
        <v>-2029592.253944397</v>
      </c>
      <c r="GL13">
        <v>-1789939.703163147</v>
      </c>
      <c r="GM13">
        <v>-2258813.6279678345</v>
      </c>
      <c r="GN13">
        <v>-1773043.8662490845</v>
      </c>
      <c r="GO13">
        <v>-1732799.480506897</v>
      </c>
      <c r="GP13">
        <v>-2520799.6924209595</v>
      </c>
      <c r="GQ13">
        <v>-1850192.4502334595</v>
      </c>
      <c r="GR13">
        <v>-2277608.183631897</v>
      </c>
    </row>
    <row r="14" spans="1:200" x14ac:dyDescent="0.25">
      <c r="A14">
        <v>-9303717.4738669395</v>
      </c>
      <c r="B14">
        <v>1638861.3302407265</v>
      </c>
      <c r="C14">
        <v>2493523.3237404823</v>
      </c>
      <c r="D14">
        <v>7085254.8289895058</v>
      </c>
      <c r="E14">
        <v>-7881847.9717001915</v>
      </c>
      <c r="F14">
        <v>4533781.337290287</v>
      </c>
      <c r="G14">
        <v>5832117.1005959511</v>
      </c>
      <c r="H14">
        <v>-837625.289083004</v>
      </c>
      <c r="I14">
        <v>-7957421.0888571739</v>
      </c>
      <c r="J14">
        <v>7275566.6972146034</v>
      </c>
      <c r="K14">
        <v>-3328616.4284873009</v>
      </c>
      <c r="L14">
        <v>8398203.1335549355</v>
      </c>
      <c r="M14">
        <v>-9106977.5593771935</v>
      </c>
      <c r="N14">
        <v>1346524.2905983925</v>
      </c>
      <c r="O14">
        <v>-22028506.022511959</v>
      </c>
      <c r="P14">
        <v>2695926.7133584023</v>
      </c>
      <c r="Q14">
        <v>-10830556.798116207</v>
      </c>
      <c r="R14">
        <v>404233.39856958389</v>
      </c>
      <c r="S14">
        <v>6062062.0873208046</v>
      </c>
      <c r="T14">
        <v>-10052726.189382076</v>
      </c>
      <c r="U14">
        <v>-1177321.2785544395</v>
      </c>
      <c r="V14">
        <v>2464570.1818947792</v>
      </c>
      <c r="W14">
        <v>19096703.138376713</v>
      </c>
      <c r="X14">
        <v>-1551022.1621603966</v>
      </c>
      <c r="Y14">
        <v>-2585717.8223471642</v>
      </c>
      <c r="Z14">
        <v>13223462.117685795</v>
      </c>
      <c r="AA14">
        <v>553336.30433130264</v>
      </c>
      <c r="AB14">
        <v>-6262745.4389548302</v>
      </c>
      <c r="AC14">
        <v>-1504633.6925559044</v>
      </c>
      <c r="AD14">
        <v>7006429.634165287</v>
      </c>
      <c r="AE14">
        <v>-10312755.347768307</v>
      </c>
      <c r="AF14">
        <v>1229276.2523293495</v>
      </c>
      <c r="AG14">
        <v>5218046.5335793495</v>
      </c>
      <c r="AH14">
        <v>-3990769.3462424278</v>
      </c>
      <c r="AI14">
        <v>-3017771.3799338341</v>
      </c>
      <c r="AJ14">
        <v>-2430119.4691977501</v>
      </c>
      <c r="AK14">
        <v>2359177.038462162</v>
      </c>
      <c r="AL14">
        <v>-2644194.9825644493</v>
      </c>
      <c r="AM14">
        <v>-3209690.5358786583</v>
      </c>
      <c r="AN14">
        <v>1329267.9711098671</v>
      </c>
      <c r="AO14">
        <v>-1707266.1846213341</v>
      </c>
      <c r="AP14">
        <v>-5326307.3433737755</v>
      </c>
      <c r="AQ14">
        <v>4523488.3416848183</v>
      </c>
      <c r="AR14">
        <v>1549349.3891091347</v>
      </c>
      <c r="AS14">
        <v>-5070789.8937888145</v>
      </c>
      <c r="AT14">
        <v>-1785544.9001364708</v>
      </c>
      <c r="AU14">
        <v>-1654674.9117331505</v>
      </c>
      <c r="AV14">
        <v>-6887798.2353415489</v>
      </c>
      <c r="AW14">
        <v>4088064.4328713417</v>
      </c>
      <c r="AX14">
        <v>2887158.8288369179</v>
      </c>
      <c r="AY14">
        <v>-870176.77409887314</v>
      </c>
      <c r="AZ14">
        <v>5195594.0907998085</v>
      </c>
      <c r="BA14">
        <v>2127268.5929055214</v>
      </c>
      <c r="BB14">
        <v>1310351.420114994</v>
      </c>
      <c r="BC14">
        <v>-8334590.2661643028</v>
      </c>
      <c r="BD14">
        <v>411206.59946680069</v>
      </c>
      <c r="BE14">
        <v>546991.69227075577</v>
      </c>
      <c r="BF14">
        <v>-612675.08849096298</v>
      </c>
      <c r="BG14">
        <v>881077.48926782608</v>
      </c>
      <c r="BH14">
        <v>-3110558.9135947227</v>
      </c>
      <c r="BI14">
        <v>-1151523.9993185997</v>
      </c>
      <c r="BJ14">
        <v>-2633521.4243063927</v>
      </c>
      <c r="BK14">
        <v>-3212898.4625449181</v>
      </c>
      <c r="BL14">
        <v>2998385.2955422401</v>
      </c>
      <c r="BM14">
        <v>-3905620.3893942833</v>
      </c>
      <c r="BN14">
        <v>-962486.22679662704</v>
      </c>
      <c r="BO14">
        <v>-336964.4527182579</v>
      </c>
      <c r="BP14">
        <v>3390925.5176796913</v>
      </c>
      <c r="BQ14">
        <v>991238.61158227921</v>
      </c>
      <c r="BR14">
        <v>251843.98023462296</v>
      </c>
      <c r="BS14">
        <v>-1202352.1513876915</v>
      </c>
      <c r="BT14">
        <v>-2088505.7761740685</v>
      </c>
      <c r="BU14">
        <v>-204875.90035009384</v>
      </c>
      <c r="BV14">
        <v>-688228.2024435997</v>
      </c>
      <c r="BW14">
        <v>676373.31824731827</v>
      </c>
      <c r="BX14">
        <v>-71281.465138912201</v>
      </c>
      <c r="BY14">
        <v>-590427.58446264267</v>
      </c>
      <c r="BZ14">
        <v>17789.440042972565</v>
      </c>
      <c r="CA14">
        <v>2269225.0907082558</v>
      </c>
      <c r="CB14">
        <v>-405265.88509130478</v>
      </c>
      <c r="CC14">
        <v>340280.81586694717</v>
      </c>
      <c r="CD14">
        <v>945365.45936059952</v>
      </c>
      <c r="CE14">
        <v>1501682.8451638222</v>
      </c>
      <c r="CF14">
        <v>-2370339.5995993614</v>
      </c>
      <c r="CG14">
        <v>1956039.0194802284</v>
      </c>
      <c r="CH14">
        <v>426822.74515771866</v>
      </c>
      <c r="CI14">
        <v>568551.98667383194</v>
      </c>
      <c r="CJ14">
        <v>1461211.9382424355</v>
      </c>
      <c r="CK14">
        <v>2371980.3696084023</v>
      </c>
      <c r="CL14">
        <v>11047.870249271393</v>
      </c>
      <c r="CM14">
        <v>1288137.9100441933</v>
      </c>
      <c r="CN14">
        <v>-7879.4422202110291</v>
      </c>
      <c r="CO14">
        <v>-105395.30379247665</v>
      </c>
      <c r="CP14">
        <v>153554.77680444717</v>
      </c>
      <c r="CQ14">
        <v>385880.17545557022</v>
      </c>
      <c r="CR14">
        <v>119553.32053613663</v>
      </c>
      <c r="CS14">
        <v>853189.61829614639</v>
      </c>
      <c r="CT14">
        <v>1277974.0981850624</v>
      </c>
      <c r="CU14">
        <v>839207.85944604874</v>
      </c>
      <c r="CV14">
        <v>1128174.7564492226</v>
      </c>
      <c r="CW14">
        <v>852996.70920801163</v>
      </c>
      <c r="CX14">
        <v>136531.81458520889</v>
      </c>
      <c r="CY14">
        <v>233732.72291040421</v>
      </c>
      <c r="CZ14">
        <v>627222.20200586319</v>
      </c>
      <c r="DA14">
        <v>297407.1884560585</v>
      </c>
      <c r="DB14">
        <v>-323125.03499364853</v>
      </c>
      <c r="DC14">
        <v>1047874.0491433144</v>
      </c>
      <c r="DD14">
        <v>902981.70160913467</v>
      </c>
      <c r="DE14">
        <v>-56223.765859127045</v>
      </c>
      <c r="DF14">
        <v>262448.01490259171</v>
      </c>
      <c r="DG14">
        <v>333279.52698755264</v>
      </c>
      <c r="DH14">
        <v>-133365.42476415634</v>
      </c>
      <c r="DI14">
        <v>100248.50440454483</v>
      </c>
      <c r="DJ14">
        <v>29377.584848880768</v>
      </c>
      <c r="DK14">
        <v>272498.89393091202</v>
      </c>
      <c r="DL14">
        <v>550732.00113916397</v>
      </c>
      <c r="DM14">
        <v>375805.84141016006</v>
      </c>
      <c r="DN14">
        <v>309880.25504541397</v>
      </c>
      <c r="DO14">
        <v>113135.45710229874</v>
      </c>
      <c r="DP14">
        <v>111323.04596948624</v>
      </c>
      <c r="DQ14">
        <v>253226.9281411171</v>
      </c>
      <c r="DR14">
        <v>199639.04014062881</v>
      </c>
      <c r="DS14">
        <v>575297.31251001358</v>
      </c>
      <c r="DT14">
        <v>310493.90601587296</v>
      </c>
      <c r="DU14">
        <v>408150.7900185585</v>
      </c>
      <c r="DV14">
        <v>288102.69840478897</v>
      </c>
      <c r="DW14">
        <v>104061.3874001503</v>
      </c>
      <c r="DX14">
        <v>196881.2858376503</v>
      </c>
      <c r="DY14">
        <v>336710.51752710342</v>
      </c>
      <c r="DZ14">
        <v>-81853.75551366806</v>
      </c>
      <c r="EA14">
        <v>138927.64683008194</v>
      </c>
      <c r="EB14">
        <v>244856.96366357803</v>
      </c>
      <c r="EC14">
        <v>318454.06000757217</v>
      </c>
      <c r="ED14">
        <v>194846.56147241592</v>
      </c>
      <c r="EE14">
        <v>366371.93137598038</v>
      </c>
      <c r="EF14">
        <v>271293.56171655655</v>
      </c>
      <c r="EG14">
        <v>273886.95499658585</v>
      </c>
      <c r="EH14">
        <v>270820.33957910538</v>
      </c>
      <c r="EI14">
        <v>346127.44932031631</v>
      </c>
      <c r="EJ14">
        <v>245403.81568384171</v>
      </c>
      <c r="EK14">
        <v>71041.947458744049</v>
      </c>
      <c r="EL14">
        <v>234862.23920679092</v>
      </c>
      <c r="EM14">
        <v>199903.81174707413</v>
      </c>
      <c r="EN14">
        <v>201506.00675439835</v>
      </c>
      <c r="EO14">
        <v>144028.82279443741</v>
      </c>
      <c r="EP14">
        <v>178665.19687891006</v>
      </c>
      <c r="EQ14">
        <v>245254.28092432022</v>
      </c>
      <c r="ER14">
        <v>193357.64115381241</v>
      </c>
      <c r="ES14">
        <v>379520.29847192764</v>
      </c>
      <c r="ET14">
        <v>146750.93958520889</v>
      </c>
      <c r="EU14">
        <v>163622.21894311905</v>
      </c>
      <c r="EV14">
        <v>223256.82828760147</v>
      </c>
      <c r="EW14">
        <v>141426.13038110733</v>
      </c>
      <c r="EX14">
        <v>331765.84827661514</v>
      </c>
      <c r="EY14">
        <v>237778.94483423233</v>
      </c>
      <c r="EZ14">
        <v>294427.75318384171</v>
      </c>
      <c r="FA14">
        <v>283909.28129053116</v>
      </c>
      <c r="FB14">
        <v>202630.34995508194</v>
      </c>
      <c r="FC14">
        <v>268344.88624048233</v>
      </c>
      <c r="FD14">
        <v>290314.35309839249</v>
      </c>
      <c r="FE14">
        <v>307009.45710229874</v>
      </c>
      <c r="FF14">
        <v>136576.01807641983</v>
      </c>
      <c r="FG14">
        <v>299406.91910791397</v>
      </c>
      <c r="FH14">
        <v>256117.82380151749</v>
      </c>
      <c r="FI14">
        <v>244765.27912378311</v>
      </c>
      <c r="FJ14">
        <v>225610.73731470108</v>
      </c>
      <c r="FK14">
        <v>283318.03531885147</v>
      </c>
      <c r="FL14">
        <v>293938.02601099014</v>
      </c>
      <c r="FM14">
        <v>209329.03101587296</v>
      </c>
      <c r="FN14">
        <v>186916.2665810585</v>
      </c>
      <c r="FO14">
        <v>291762.06049585342</v>
      </c>
      <c r="FP14">
        <v>197288.04603052139</v>
      </c>
      <c r="FQ14">
        <v>223640.93851709366</v>
      </c>
      <c r="FR14">
        <v>256239.43271875381</v>
      </c>
      <c r="FS14">
        <v>235823.44184350967</v>
      </c>
      <c r="FT14">
        <v>186387.39506006241</v>
      </c>
      <c r="FU14">
        <v>253441.48441553116</v>
      </c>
      <c r="FV14">
        <v>282620.07407617569</v>
      </c>
      <c r="FW14">
        <v>194604.45368432999</v>
      </c>
      <c r="FX14">
        <v>250020.08317041397</v>
      </c>
      <c r="FY14">
        <v>276945.80979394913</v>
      </c>
      <c r="FZ14">
        <v>203754.55527734756</v>
      </c>
      <c r="GA14">
        <v>253056.18995141983</v>
      </c>
      <c r="GB14">
        <v>247016.00925683975</v>
      </c>
      <c r="GC14">
        <v>208754.88169336319</v>
      </c>
      <c r="GD14">
        <v>229419.70304346085</v>
      </c>
      <c r="GE14">
        <v>228236.64136743546</v>
      </c>
      <c r="GF14">
        <v>256095.62662744522</v>
      </c>
      <c r="GG14">
        <v>245090.544901371</v>
      </c>
      <c r="GH14">
        <v>232635.0944314003</v>
      </c>
      <c r="GI14">
        <v>236777.55060815811</v>
      </c>
      <c r="GJ14">
        <v>251705.50742578506</v>
      </c>
      <c r="GK14">
        <v>232124.0863442421</v>
      </c>
      <c r="GL14">
        <v>229226.73783349991</v>
      </c>
      <c r="GM14">
        <v>239021.86603784561</v>
      </c>
      <c r="GN14">
        <v>213489.36023950577</v>
      </c>
      <c r="GO14">
        <v>238202.68372583389</v>
      </c>
      <c r="GP14">
        <v>262015.45926904678</v>
      </c>
      <c r="GQ14">
        <v>236853.86875391006</v>
      </c>
      <c r="GR14">
        <v>247308.47553491592</v>
      </c>
    </row>
    <row r="15" spans="1:200" x14ac:dyDescent="0.25">
      <c r="A15">
        <v>424243806.52406311</v>
      </c>
      <c r="B15">
        <v>123237716.90394592</v>
      </c>
      <c r="C15">
        <v>173164238.18421936</v>
      </c>
      <c r="D15">
        <v>17520119.610977173</v>
      </c>
      <c r="E15">
        <v>514436185.36585999</v>
      </c>
      <c r="F15">
        <v>-472851339.71128845</v>
      </c>
      <c r="G15">
        <v>-331636909.73960876</v>
      </c>
      <c r="H15">
        <v>15414112.116836548</v>
      </c>
      <c r="I15">
        <v>112771984.65492249</v>
      </c>
      <c r="J15">
        <v>-514542994.92515564</v>
      </c>
      <c r="K15">
        <v>239879098.15687561</v>
      </c>
      <c r="L15">
        <v>-751732096.88218689</v>
      </c>
      <c r="M15">
        <v>71432272.065078735</v>
      </c>
      <c r="N15">
        <v>426321584.80140686</v>
      </c>
      <c r="O15">
        <v>1122652227.6842194</v>
      </c>
      <c r="P15">
        <v>30376151.498672485</v>
      </c>
      <c r="Q15">
        <v>254191048.36390686</v>
      </c>
      <c r="R15">
        <v>-275649645.51109314</v>
      </c>
      <c r="S15">
        <v>-733820352.92515564</v>
      </c>
      <c r="T15">
        <v>600544254.91859436</v>
      </c>
      <c r="U15">
        <v>125501003.45375061</v>
      </c>
      <c r="V15">
        <v>-18982787.19859314</v>
      </c>
      <c r="W15">
        <v>-478869311.62437439</v>
      </c>
      <c r="X15">
        <v>130635681.46937561</v>
      </c>
      <c r="Y15">
        <v>-40993369.93687439</v>
      </c>
      <c r="Z15">
        <v>-389427890.55015564</v>
      </c>
      <c r="AA15">
        <v>-117517818.49742126</v>
      </c>
      <c r="AB15">
        <v>321019510.48109436</v>
      </c>
      <c r="AC15">
        <v>222575715.11976624</v>
      </c>
      <c r="AD15">
        <v>-271628534.84703064</v>
      </c>
      <c r="AE15">
        <v>166202387.83656311</v>
      </c>
      <c r="AF15">
        <v>-318210166.21031189</v>
      </c>
      <c r="AG15">
        <v>52823576.02406311</v>
      </c>
      <c r="AH15">
        <v>288170578.14320374</v>
      </c>
      <c r="AI15">
        <v>289815857.68421936</v>
      </c>
      <c r="AJ15">
        <v>65571159.10609436</v>
      </c>
      <c r="AK15">
        <v>-61893390.208358765</v>
      </c>
      <c r="AL15">
        <v>36376036.076797485</v>
      </c>
      <c r="AM15">
        <v>-138276647.62437439</v>
      </c>
      <c r="AN15">
        <v>-78498070.94859314</v>
      </c>
      <c r="AO15">
        <v>185179697.99281311</v>
      </c>
      <c r="AP15">
        <v>120415505.68031311</v>
      </c>
      <c r="AQ15">
        <v>-32427853.110702515</v>
      </c>
      <c r="AR15">
        <v>-185752954.07359314</v>
      </c>
      <c r="AS15">
        <v>195884103.97523499</v>
      </c>
      <c r="AT15">
        <v>5176441.0865631104</v>
      </c>
      <c r="AU15">
        <v>-24557256.313827515</v>
      </c>
      <c r="AV15">
        <v>182412325.88343811</v>
      </c>
      <c r="AW15">
        <v>-167141776.87242126</v>
      </c>
      <c r="AX15">
        <v>-114002026.40367126</v>
      </c>
      <c r="AY15">
        <v>149786428.45960999</v>
      </c>
      <c r="AZ15">
        <v>-226420522.75132751</v>
      </c>
      <c r="BA15">
        <v>-123539340.80210876</v>
      </c>
      <c r="BB15">
        <v>-93634528.056015015</v>
      </c>
      <c r="BC15">
        <v>271980889.49281311</v>
      </c>
      <c r="BD15">
        <v>-72011414.72984314</v>
      </c>
      <c r="BE15">
        <v>-1649885.3274993896</v>
      </c>
      <c r="BF15">
        <v>1969303.4400787354</v>
      </c>
      <c r="BG15">
        <v>-48587652.352890015</v>
      </c>
      <c r="BH15">
        <v>202571013.25648499</v>
      </c>
      <c r="BI15">
        <v>182375212.90492249</v>
      </c>
      <c r="BJ15">
        <v>90944793.092422485</v>
      </c>
      <c r="BK15">
        <v>120485091.45570374</v>
      </c>
      <c r="BL15">
        <v>-201503798.36851501</v>
      </c>
      <c r="BM15">
        <v>169576015.64320374</v>
      </c>
      <c r="BN15">
        <v>52713614.16078186</v>
      </c>
      <c r="BO15">
        <v>-21607225.591171265</v>
      </c>
      <c r="BP15">
        <v>-150431914.95640564</v>
      </c>
      <c r="BQ15">
        <v>-17719128.548202515</v>
      </c>
      <c r="BR15">
        <v>1799344.8619537354</v>
      </c>
      <c r="BS15">
        <v>36033211.56312561</v>
      </c>
      <c r="BT15">
        <v>123878743.09632874</v>
      </c>
      <c r="BU15">
        <v>-55577930.704452515</v>
      </c>
      <c r="BV15">
        <v>47819855.04750061</v>
      </c>
      <c r="BW15">
        <v>35582392.48109436</v>
      </c>
      <c r="BX15">
        <v>35028129.608047485</v>
      </c>
      <c r="BY15">
        <v>21893913.05140686</v>
      </c>
      <c r="BZ15">
        <v>1322504.6041412354</v>
      </c>
      <c r="CA15">
        <v>-111276579.05210876</v>
      </c>
      <c r="CB15">
        <v>12831738.756484985</v>
      </c>
      <c r="CC15">
        <v>-38648021.048202515</v>
      </c>
      <c r="CD15">
        <v>-81649264.92515564</v>
      </c>
      <c r="CE15">
        <v>-58845004.067733765</v>
      </c>
      <c r="CF15">
        <v>127031241.92250061</v>
      </c>
      <c r="CG15">
        <v>-90915887.856796265</v>
      </c>
      <c r="CH15">
        <v>-21048087.84703064</v>
      </c>
      <c r="CI15">
        <v>-31087386.774765015</v>
      </c>
      <c r="CJ15">
        <v>-69557963.20249939</v>
      </c>
      <c r="CK15">
        <v>-129316353.06187439</v>
      </c>
      <c r="CL15">
        <v>4600291.8072662354</v>
      </c>
      <c r="CM15">
        <v>-69767435.415390015</v>
      </c>
      <c r="CN15">
        <v>-7838558.6575775146</v>
      </c>
      <c r="CO15">
        <v>-5335677.6302337646</v>
      </c>
      <c r="CP15">
        <v>6446711.9674224854</v>
      </c>
      <c r="CQ15">
        <v>-4069574.1282806396</v>
      </c>
      <c r="CR15">
        <v>-23314891.25718689</v>
      </c>
      <c r="CS15">
        <v>-43055605.380233765</v>
      </c>
      <c r="CT15">
        <v>-69451428.05796814</v>
      </c>
      <c r="CU15">
        <v>-45442216.48374939</v>
      </c>
      <c r="CV15">
        <v>-50588948.552108765</v>
      </c>
      <c r="CW15">
        <v>-36710330.571640015</v>
      </c>
      <c r="CX15">
        <v>6685670.2076568604</v>
      </c>
      <c r="CY15">
        <v>-25907051.087265015</v>
      </c>
      <c r="CZ15">
        <v>-32687600.56187439</v>
      </c>
      <c r="DA15">
        <v>-7256330.0286712646</v>
      </c>
      <c r="DB15">
        <v>16097180.244766235</v>
      </c>
      <c r="DC15">
        <v>-39935749.65562439</v>
      </c>
      <c r="DD15">
        <v>-37988892.05015564</v>
      </c>
      <c r="DE15">
        <v>19739529.565078735</v>
      </c>
      <c r="DF15">
        <v>-21541254.423202515</v>
      </c>
      <c r="DG15">
        <v>-21648350.977890015</v>
      </c>
      <c r="DH15">
        <v>4941255.0767974854</v>
      </c>
      <c r="DI15">
        <v>-8099748.4778900146</v>
      </c>
      <c r="DJ15">
        <v>8297403.3600006104</v>
      </c>
      <c r="DK15">
        <v>-11677783.51890564</v>
      </c>
      <c r="DL15">
        <v>-12497060.56968689</v>
      </c>
      <c r="DM15">
        <v>-8613070.7923431396</v>
      </c>
      <c r="DN15">
        <v>-4366728.5696868896</v>
      </c>
      <c r="DO15">
        <v>-8429496.9017181396</v>
      </c>
      <c r="DP15">
        <v>-4681260.4700775146</v>
      </c>
      <c r="DQ15">
        <v>-12161493.25718689</v>
      </c>
      <c r="DR15">
        <v>-2504139.5228118896</v>
      </c>
      <c r="DS15">
        <v>-35050610.30015564</v>
      </c>
      <c r="DT15">
        <v>-1780508.1575775146</v>
      </c>
      <c r="DU15">
        <v>-21645328.53062439</v>
      </c>
      <c r="DV15">
        <v>-11696565.13999939</v>
      </c>
      <c r="DW15">
        <v>-6557453.5462493896</v>
      </c>
      <c r="DX15">
        <v>-8798744.3821868896</v>
      </c>
      <c r="DY15">
        <v>-6196732.5931243896</v>
      </c>
      <c r="DZ15">
        <v>6588774.6295318604</v>
      </c>
      <c r="EA15">
        <v>3645267.0924224854</v>
      </c>
      <c r="EB15">
        <v>-1527599.5247650146</v>
      </c>
      <c r="EC15">
        <v>-14114593.63609314</v>
      </c>
      <c r="ED15">
        <v>-7739634.5364837646</v>
      </c>
      <c r="EE15">
        <v>-13621539.40562439</v>
      </c>
      <c r="EF15">
        <v>-5833660.1087493896</v>
      </c>
      <c r="EG15">
        <v>-7818918.8880462646</v>
      </c>
      <c r="EH15">
        <v>-14973771.337265015</v>
      </c>
      <c r="EI15">
        <v>-14654970.37828064</v>
      </c>
      <c r="EJ15">
        <v>-1426134.4876556396</v>
      </c>
      <c r="EK15">
        <v>6189649.4635162354</v>
      </c>
      <c r="EL15">
        <v>-9048777.2630462646</v>
      </c>
      <c r="EM15">
        <v>-5674004.5110931396</v>
      </c>
      <c r="EN15">
        <v>-2191724.2200775146</v>
      </c>
      <c r="EO15">
        <v>-189349.48570251465</v>
      </c>
      <c r="EP15">
        <v>-4766820.5208587646</v>
      </c>
      <c r="EQ15">
        <v>-10887073.313827515</v>
      </c>
      <c r="ER15">
        <v>-256305.98960876465</v>
      </c>
      <c r="ES15">
        <v>-16440322.013046265</v>
      </c>
      <c r="ET15">
        <v>2787479.1822662354</v>
      </c>
      <c r="EU15">
        <v>-2033845.9153900146</v>
      </c>
      <c r="EV15">
        <v>-3831270.3157806396</v>
      </c>
      <c r="EW15">
        <v>-3878931.0345306396</v>
      </c>
      <c r="EX15">
        <v>-7906652.3685150146</v>
      </c>
      <c r="EY15">
        <v>-5165559.7649993896</v>
      </c>
      <c r="EZ15">
        <v>-7431859.4017181396</v>
      </c>
      <c r="FA15">
        <v>-8245673.8333587646</v>
      </c>
      <c r="FB15">
        <v>-3500575.7982025146</v>
      </c>
      <c r="FC15">
        <v>-6138702.3274993896</v>
      </c>
      <c r="FD15">
        <v>-8854834.0013275146</v>
      </c>
      <c r="FE15">
        <v>-7535564.4446868896</v>
      </c>
      <c r="FF15">
        <v>-1463438.1888275146</v>
      </c>
      <c r="FG15">
        <v>-11136269.38609314</v>
      </c>
      <c r="FH15">
        <v>-7500370.5814056396</v>
      </c>
      <c r="FI15">
        <v>-6874882.6419525146</v>
      </c>
      <c r="FJ15">
        <v>-4435755.3626556396</v>
      </c>
      <c r="FK15">
        <v>-8417601.6497650146</v>
      </c>
      <c r="FL15">
        <v>-8273712.4935150146</v>
      </c>
      <c r="FM15">
        <v>-2673354.3567962646</v>
      </c>
      <c r="FN15">
        <v>-1978293.5716400146</v>
      </c>
      <c r="FO15">
        <v>-9724685.9407806396</v>
      </c>
      <c r="FP15">
        <v>-3844218.9485931396</v>
      </c>
      <c r="FQ15">
        <v>-5167304.9212493896</v>
      </c>
      <c r="FR15">
        <v>-6977547.6360931396</v>
      </c>
      <c r="FS15">
        <v>-4150735.0989837646</v>
      </c>
      <c r="FT15">
        <v>-3471326.5521087646</v>
      </c>
      <c r="FU15">
        <v>-5568336.4720306396</v>
      </c>
      <c r="FV15">
        <v>-7316618.0677337646</v>
      </c>
      <c r="FW15">
        <v>-3017370.7005462646</v>
      </c>
      <c r="FX15">
        <v>-7017283.1048431396</v>
      </c>
      <c r="FY15">
        <v>-7362692.1419525146</v>
      </c>
      <c r="FZ15">
        <v>-3547945.4114837646</v>
      </c>
      <c r="GA15">
        <v>-6589930.1888275146</v>
      </c>
      <c r="GB15">
        <v>-6557208.7923431396</v>
      </c>
      <c r="GC15">
        <v>-4589087.2103118896</v>
      </c>
      <c r="GD15">
        <v>-4329318.8294525146</v>
      </c>
      <c r="GE15">
        <v>-4267559.8997650146</v>
      </c>
      <c r="GF15">
        <v>-6515712.9798431396</v>
      </c>
      <c r="GG15">
        <v>-5090340.8157806396</v>
      </c>
      <c r="GH15">
        <v>-5178032.1888275146</v>
      </c>
      <c r="GI15">
        <v>-5592740.5970306396</v>
      </c>
      <c r="GJ15">
        <v>-5857834.3079681396</v>
      </c>
      <c r="GK15">
        <v>-5607003.2982025146</v>
      </c>
      <c r="GL15">
        <v>-4596115.2005462646</v>
      </c>
      <c r="GM15">
        <v>-6254232.6692962646</v>
      </c>
      <c r="GN15">
        <v>-4751098.0384368896</v>
      </c>
      <c r="GO15">
        <v>-5093796.8509368896</v>
      </c>
      <c r="GP15">
        <v>-7309164.0970306396</v>
      </c>
      <c r="GQ15">
        <v>-5002735.7396087646</v>
      </c>
      <c r="GR15">
        <v>-6059009.4954681396</v>
      </c>
    </row>
    <row r="16" spans="1:200" x14ac:dyDescent="0.25">
      <c r="A16">
        <v>57.033310174680082</v>
      </c>
      <c r="B16">
        <v>-91.862078783145989</v>
      </c>
      <c r="C16">
        <v>-67.592429578988231</v>
      </c>
      <c r="D16">
        <v>47.217198743543122</v>
      </c>
      <c r="E16">
        <v>35.025541918526869</v>
      </c>
      <c r="F16">
        <v>-5.9581661785341566</v>
      </c>
      <c r="G16">
        <v>2.2667572900973028</v>
      </c>
      <c r="H16">
        <v>47.080730830086395</v>
      </c>
      <c r="I16">
        <v>-82.451586493698414</v>
      </c>
      <c r="J16">
        <v>15.038437107621576</v>
      </c>
      <c r="K16">
        <v>-50.281853712440352</v>
      </c>
      <c r="L16">
        <v>43.420544510983746</v>
      </c>
      <c r="M16">
        <v>52.395733160112286</v>
      </c>
      <c r="N16">
        <v>-79.322303337496123</v>
      </c>
      <c r="O16">
        <v>18.227289613845642</v>
      </c>
      <c r="P16">
        <v>-39.141721836553188</v>
      </c>
      <c r="Q16">
        <v>52.36383304237097</v>
      </c>
      <c r="R16">
        <v>-19.830864357601968</v>
      </c>
      <c r="S16">
        <v>120.17725622243597</v>
      </c>
      <c r="T16">
        <v>-20.644477918671328</v>
      </c>
      <c r="U16">
        <v>-53.542798570313607</v>
      </c>
      <c r="V16">
        <v>41.316454151659855</v>
      </c>
      <c r="W16">
        <v>-47.299085768187069</v>
      </c>
      <c r="X16">
        <v>-41.529384139736067</v>
      </c>
      <c r="Y16">
        <v>-2.3966542960697552</v>
      </c>
      <c r="Z16">
        <v>-70.266665188668412</v>
      </c>
      <c r="AA16">
        <v>-14.099701804268989</v>
      </c>
      <c r="AB16">
        <v>25.930098955403082</v>
      </c>
      <c r="AC16">
        <v>-41.946595092289499</v>
      </c>
      <c r="AD16">
        <v>-7.3364283882983727</v>
      </c>
      <c r="AE16">
        <v>75.567650855242391</v>
      </c>
      <c r="AF16">
        <v>33.282930126428255</v>
      </c>
      <c r="AG16">
        <v>-76.648520492846728</v>
      </c>
      <c r="AH16">
        <v>-31.848322325604386</v>
      </c>
      <c r="AI16">
        <v>-26.867820327737718</v>
      </c>
      <c r="AJ16">
        <v>6.2453869897435652</v>
      </c>
      <c r="AK16">
        <v>16.416726780633326</v>
      </c>
      <c r="AL16">
        <v>1.8115073620720068</v>
      </c>
      <c r="AM16">
        <v>62.304304210018017</v>
      </c>
      <c r="AN16">
        <v>-2.0047265726025216</v>
      </c>
      <c r="AO16">
        <v>-8.708228938296088</v>
      </c>
      <c r="AP16">
        <v>6.7770679895911599</v>
      </c>
      <c r="AQ16">
        <v>-38.919940734223928</v>
      </c>
      <c r="AR16">
        <v>-12.253549941102392</v>
      </c>
      <c r="AS16">
        <v>3.1136665018420899</v>
      </c>
      <c r="AT16">
        <v>15.609860675918753</v>
      </c>
      <c r="AU16">
        <v>28.061288799377508</v>
      </c>
      <c r="AV16">
        <v>35.73206178714463</v>
      </c>
      <c r="AW16">
        <v>-8.5264749119087355</v>
      </c>
      <c r="AX16">
        <v>-22.790526484706788</v>
      </c>
      <c r="AY16">
        <v>-33.678235905696056</v>
      </c>
      <c r="AZ16">
        <v>-7.2004986712854588</v>
      </c>
      <c r="BA16">
        <v>-25.6411434893962</v>
      </c>
      <c r="BB16">
        <v>1.3702850702538854</v>
      </c>
      <c r="BC16">
        <v>32.797693223154056</v>
      </c>
      <c r="BD16">
        <v>16.44578310950601</v>
      </c>
      <c r="BE16">
        <v>-4.8995171476417454</v>
      </c>
      <c r="BF16">
        <v>8.8881084930471843</v>
      </c>
      <c r="BG16">
        <v>-6.1812097233341774</v>
      </c>
      <c r="BH16">
        <v>-8.7411087851651246</v>
      </c>
      <c r="BI16">
        <v>-9.4206615321600111</v>
      </c>
      <c r="BJ16">
        <v>13.045387935053441</v>
      </c>
      <c r="BK16">
        <v>15.317571362553281</v>
      </c>
      <c r="BL16">
        <v>2.2953886268514907</v>
      </c>
      <c r="BM16">
        <v>11.48309964533837</v>
      </c>
      <c r="BN16">
        <v>-1.9454394784115721</v>
      </c>
      <c r="BO16">
        <v>3.7206033723923611</v>
      </c>
      <c r="BP16">
        <v>2.6983581650565611</v>
      </c>
      <c r="BQ16">
        <v>-6.685390875369194</v>
      </c>
      <c r="BR16">
        <v>-2.6931980245135492</v>
      </c>
      <c r="BS16">
        <v>9.4184605965419905</v>
      </c>
      <c r="BT16">
        <v>3.0891205678926781E-3</v>
      </c>
      <c r="BU16">
        <v>11.391579098752118</v>
      </c>
      <c r="BV16">
        <v>-3.4904086903843563</v>
      </c>
      <c r="BW16">
        <v>-8.3256785409612348</v>
      </c>
      <c r="BX16">
        <v>-5.1139498730044579</v>
      </c>
      <c r="BY16">
        <v>6.907811233701068</v>
      </c>
      <c r="BZ16">
        <v>8.6872672152821906E-2</v>
      </c>
      <c r="CA16">
        <v>-5.2319964487251127</v>
      </c>
      <c r="CB16">
        <v>0.10039115980907809</v>
      </c>
      <c r="CC16">
        <v>2.6458706358243944</v>
      </c>
      <c r="CD16">
        <v>1.4219669937010622</v>
      </c>
      <c r="CE16">
        <v>-3.9941264917288208</v>
      </c>
      <c r="CF16">
        <v>4.4071949595381739</v>
      </c>
      <c r="CG16">
        <v>-0.15473922695673537</v>
      </c>
      <c r="CH16">
        <v>-0.70570925467472989</v>
      </c>
      <c r="CI16">
        <v>0.88873918903118465</v>
      </c>
      <c r="CJ16">
        <v>0.10715821727353614</v>
      </c>
      <c r="CK16">
        <v>-2.8260661125968909</v>
      </c>
      <c r="CL16">
        <v>-0.42161530595330987</v>
      </c>
      <c r="CM16">
        <v>2.8819880579103483</v>
      </c>
      <c r="CN16">
        <v>-0.33865725023497362</v>
      </c>
      <c r="CO16">
        <v>2.4689692333486164</v>
      </c>
      <c r="CP16">
        <v>1.1348773335776059</v>
      </c>
      <c r="CQ16">
        <v>2.4361378618486924</v>
      </c>
      <c r="CR16">
        <v>3.8513388892897638</v>
      </c>
      <c r="CS16">
        <v>2.1111860759992851</v>
      </c>
      <c r="CT16">
        <v>0.70963780114834663</v>
      </c>
      <c r="CU16">
        <v>1.6320213629369391</v>
      </c>
      <c r="CV16">
        <v>-0.71728339065157343</v>
      </c>
      <c r="CW16">
        <v>1.8875008931936463</v>
      </c>
      <c r="CX16">
        <v>0.3440457619872177</v>
      </c>
      <c r="CY16">
        <v>3.8710313945921371</v>
      </c>
      <c r="CZ16">
        <v>1.7572681422316236</v>
      </c>
      <c r="DA16">
        <v>2.593435822185711</v>
      </c>
      <c r="DB16">
        <v>2.5071758653066354</v>
      </c>
      <c r="DC16">
        <v>-0.55455892877944279</v>
      </c>
      <c r="DD16">
        <v>1.0566589219815796</v>
      </c>
      <c r="DE16">
        <v>-0.66524222806037869</v>
      </c>
      <c r="DF16">
        <v>3.3175694098317763</v>
      </c>
      <c r="DG16">
        <v>1.2770755155797815</v>
      </c>
      <c r="DH16">
        <v>0.38362264413444791</v>
      </c>
      <c r="DI16">
        <v>0.80707613837148529</v>
      </c>
      <c r="DJ16">
        <v>1.7719524274434661</v>
      </c>
      <c r="DK16">
        <v>1.2722796316520544</v>
      </c>
      <c r="DL16">
        <v>-1.0856884070526576</v>
      </c>
      <c r="DM16">
        <v>1.8464007138245506</v>
      </c>
      <c r="DN16">
        <v>-0.1044605147180846</v>
      </c>
      <c r="DO16">
        <v>2.9445256187900668</v>
      </c>
      <c r="DP16">
        <v>1.5134309214045061</v>
      </c>
      <c r="DQ16">
        <v>1.38777632410347</v>
      </c>
      <c r="DR16">
        <v>0.49107688073127065</v>
      </c>
      <c r="DS16">
        <v>1.8240614910173463</v>
      </c>
      <c r="DT16">
        <v>-0.55157827316725161</v>
      </c>
      <c r="DU16">
        <v>-4.1215855497284792E-2</v>
      </c>
      <c r="DV16">
        <v>1.6586129677452845</v>
      </c>
      <c r="DW16">
        <v>1.9153451048041461</v>
      </c>
      <c r="DX16">
        <v>1.9173979198239977</v>
      </c>
      <c r="DY16">
        <v>-0.10949471626372542</v>
      </c>
      <c r="DZ16">
        <v>1.2236079155263724</v>
      </c>
      <c r="EA16">
        <v>1.0537758185673738</v>
      </c>
      <c r="EB16">
        <v>0.20986202939820942</v>
      </c>
      <c r="EC16">
        <v>1.3342507706111064</v>
      </c>
      <c r="ED16">
        <v>0.7241107451118296</v>
      </c>
      <c r="EE16">
        <v>1.1032924369355896</v>
      </c>
      <c r="EF16">
        <v>0.83313509014260489</v>
      </c>
      <c r="EG16">
        <v>0.69865583458158653</v>
      </c>
      <c r="EH16">
        <v>2.2241661242587725</v>
      </c>
      <c r="EI16">
        <v>1.1021631047333358</v>
      </c>
      <c r="EJ16">
        <v>0.17378696911328007</v>
      </c>
      <c r="EK16">
        <v>0.72134688789083157</v>
      </c>
      <c r="EL16">
        <v>1.3206505504349479</v>
      </c>
      <c r="EM16">
        <v>0.92104123315948527</v>
      </c>
      <c r="EN16">
        <v>0.79621950430737343</v>
      </c>
      <c r="EO16">
        <v>1.0122295021283207</v>
      </c>
      <c r="EP16">
        <v>1.4914474477845943</v>
      </c>
      <c r="EQ16">
        <v>0.90728738861798774</v>
      </c>
      <c r="ER16">
        <v>0.75128328015853185</v>
      </c>
      <c r="ES16">
        <v>1.1402746451640269</v>
      </c>
      <c r="ET16">
        <v>0.75490621929930057</v>
      </c>
      <c r="EU16">
        <v>1.1395110866433242</v>
      </c>
      <c r="EV16">
        <v>0.79298196548188571</v>
      </c>
      <c r="EW16">
        <v>1.4203096818673657</v>
      </c>
      <c r="EX16">
        <v>0.97641890139493626</v>
      </c>
      <c r="EY16">
        <v>0.68090152913646307</v>
      </c>
      <c r="EZ16">
        <v>0.73897001876321156</v>
      </c>
      <c r="FA16">
        <v>0.82496816637285519</v>
      </c>
      <c r="FB16">
        <v>0.87997985199035611</v>
      </c>
      <c r="FC16">
        <v>1.0845279290660983</v>
      </c>
      <c r="FD16">
        <v>0.92917058845341671</v>
      </c>
      <c r="FE16">
        <v>0.66142731420404743</v>
      </c>
      <c r="FF16">
        <v>0.97504737407143693</v>
      </c>
      <c r="FG16">
        <v>1.1425109031697502</v>
      </c>
      <c r="FH16">
        <v>1.0355367334996117</v>
      </c>
      <c r="FI16">
        <v>0.92160854632675182</v>
      </c>
      <c r="FJ16">
        <v>0.82131572191428859</v>
      </c>
      <c r="FK16">
        <v>0.85633786489779595</v>
      </c>
      <c r="FL16">
        <v>0.89022339625807945</v>
      </c>
      <c r="FM16">
        <v>0.7115365205827402</v>
      </c>
      <c r="FN16">
        <v>0.71297949807194527</v>
      </c>
      <c r="FO16">
        <v>0.8780591919348808</v>
      </c>
      <c r="FP16">
        <v>1.0188176666415529</v>
      </c>
      <c r="FQ16">
        <v>0.87207297979330178</v>
      </c>
      <c r="FR16">
        <v>0.74355662609741557</v>
      </c>
      <c r="FS16">
        <v>0.62588278284238186</v>
      </c>
      <c r="FT16">
        <v>0.83748888257832732</v>
      </c>
      <c r="FU16">
        <v>0.65688763350772206</v>
      </c>
      <c r="FV16">
        <v>0.86037036801280919</v>
      </c>
      <c r="FW16">
        <v>0.66501136271108408</v>
      </c>
      <c r="FX16">
        <v>0.84914910061343107</v>
      </c>
      <c r="FY16">
        <v>0.7751531151443487</v>
      </c>
      <c r="FZ16">
        <v>0.93090963886061218</v>
      </c>
      <c r="GA16">
        <v>0.8841708149848273</v>
      </c>
      <c r="GB16">
        <v>0.7711464991880348</v>
      </c>
      <c r="GC16">
        <v>0.82659208450058941</v>
      </c>
      <c r="GD16">
        <v>0.81470163170888554</v>
      </c>
      <c r="GE16">
        <v>0.754340046303696</v>
      </c>
      <c r="GF16">
        <v>0.81401372911932413</v>
      </c>
      <c r="GG16">
        <v>0.74562813424563501</v>
      </c>
      <c r="GH16">
        <v>0.83535872072388884</v>
      </c>
      <c r="GI16">
        <v>0.83252997796807904</v>
      </c>
      <c r="GJ16">
        <v>0.80238025887229014</v>
      </c>
      <c r="GK16">
        <v>0.83202793168311473</v>
      </c>
      <c r="GL16">
        <v>0.82043226387759205</v>
      </c>
      <c r="GM16">
        <v>0.87782235794293229</v>
      </c>
      <c r="GN16">
        <v>0.82330540379916783</v>
      </c>
      <c r="GO16">
        <v>0.86077460811065976</v>
      </c>
      <c r="GP16">
        <v>0.80686490533116739</v>
      </c>
      <c r="GQ16">
        <v>0.82949645827466156</v>
      </c>
      <c r="GR16">
        <v>0.82254922400170472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C17"/>
  <sheetViews>
    <sheetView zoomScale="190" zoomScaleNormal="190" workbookViewId="0">
      <selection activeCell="C3" sqref="C3:C17"/>
    </sheetView>
  </sheetViews>
  <sheetFormatPr defaultRowHeight="15" x14ac:dyDescent="0.25"/>
  <cols>
    <col min="2" max="2" width="15.42578125" bestFit="1" customWidth="1"/>
    <col min="3" max="3" width="20.7109375" bestFit="1" customWidth="1"/>
  </cols>
  <sheetData>
    <row r="1" spans="1:3" x14ac:dyDescent="0.25">
      <c r="A1" t="s">
        <v>11</v>
      </c>
    </row>
    <row r="2" spans="1:3" x14ac:dyDescent="0.25">
      <c r="A2" t="s">
        <v>12</v>
      </c>
      <c r="B2" t="s">
        <v>13</v>
      </c>
      <c r="C2" t="s">
        <v>14</v>
      </c>
    </row>
    <row r="3" spans="1:3" x14ac:dyDescent="0.25">
      <c r="A3" t="s">
        <v>15</v>
      </c>
      <c r="B3">
        <f t="array" ref="B3:B17">MMULT('Matrix (((R)^t.(R))^(-1)).(R)^t'!$A$2:$GR$16,'Tabela Entrada-Saída'!$P$2:$P$201)</f>
        <v>-4985902.7201477978</v>
      </c>
      <c r="C3" t="e">
        <f>EXP(((-1)/(2*'Cálculos Diversos'!$B$5))*(SQRT(SUMXMY2(Formulário!$B$1:$B$14,'Coordenadas dos Polos'!$P$2:$AC$2)))^2)</f>
        <v>#DIV/0!</v>
      </c>
    </row>
    <row r="4" spans="1:3" x14ac:dyDescent="0.25">
      <c r="A4" t="s">
        <v>16</v>
      </c>
      <c r="B4">
        <v>10864270741.64131</v>
      </c>
      <c r="C4" t="e">
        <f>EXP(((-1)/(2*'Cálculos Diversos'!$B$5))*(SQRT(SUMXMY2(Formulário!$B$1:$B$14,'Coordenadas dos Polos'!$AD$2:$AQ$2)))^2)</f>
        <v>#DIV/0!</v>
      </c>
    </row>
    <row r="5" spans="1:3" x14ac:dyDescent="0.25">
      <c r="A5" t="s">
        <v>23</v>
      </c>
      <c r="B5">
        <v>37326385078.557693</v>
      </c>
      <c r="C5" t="e">
        <f>EXP(((-1)/(2*'Cálculos Diversos'!$B$5))*(SQRT(SUMXMY2(Formulário!$B$1:$B$14,'Coordenadas dos Polos'!$AR$2:$BE$2)))^2)</f>
        <v>#DIV/0!</v>
      </c>
    </row>
    <row r="6" spans="1:3" x14ac:dyDescent="0.25">
      <c r="A6" t="s">
        <v>24</v>
      </c>
      <c r="B6">
        <v>34903591600.027565</v>
      </c>
      <c r="C6" t="e">
        <f>EXP(((-1)/(2*'Cálculos Diversos'!$B$5))*(SQRT(SUMXMY2(Formulário!$B$1:$B$14,'Coordenadas dos Polos'!$BF$2:$BS$2)))^2)</f>
        <v>#DIV/0!</v>
      </c>
    </row>
    <row r="7" spans="1:3" x14ac:dyDescent="0.25">
      <c r="A7" t="s">
        <v>35</v>
      </c>
      <c r="B7">
        <v>509143269081.39117</v>
      </c>
      <c r="C7" t="e">
        <f>EXP(((-1)/(2*'Cálculos Diversos'!$B$5))*(SQRT(SUMXMY2(Formulário!$B$1:$B$14,'Coordenadas dos Polos'!$BT$2:$CG$2)))^2)</f>
        <v>#DIV/0!</v>
      </c>
    </row>
    <row r="8" spans="1:3" x14ac:dyDescent="0.25">
      <c r="A8" t="s">
        <v>36</v>
      </c>
      <c r="B8">
        <v>15467829025.039932</v>
      </c>
      <c r="C8" t="e">
        <f>EXP(((-1)/(2*'Cálculos Diversos'!$B$5))*(SQRT(SUMXMY2(Formulário!$B$1:$B$14,'Coordenadas dos Polos'!$CH$2:$CU$2)))^2)</f>
        <v>#DIV/0!</v>
      </c>
    </row>
    <row r="9" spans="1:3" x14ac:dyDescent="0.25">
      <c r="A9" t="s">
        <v>37</v>
      </c>
      <c r="B9">
        <v>431908693756.52167</v>
      </c>
      <c r="C9" t="e">
        <f>EXP(((-1)/(2*'Cálculos Diversos'!$B$5))*(SQRT(SUMXMY2(Formulário!$B$1:$B$14,'Coordenadas dos Polos'!$CV$2:$DI$2)))^2)</f>
        <v>#DIV/0!</v>
      </c>
    </row>
    <row r="10" spans="1:3" x14ac:dyDescent="0.25">
      <c r="A10" t="s">
        <v>38</v>
      </c>
      <c r="B10">
        <v>2531012554.2335315</v>
      </c>
      <c r="C10" t="e">
        <f>EXP(((-1)/(2*'Cálculos Diversos'!$B$5))*(SQRT(SUMXMY2(Formulário!$B$1:$B$14,'Coordenadas dos Polos'!$DJ$2:$DW$2)))^2)</f>
        <v>#DIV/0!</v>
      </c>
    </row>
    <row r="11" spans="1:3" x14ac:dyDescent="0.25">
      <c r="A11" t="s">
        <v>39</v>
      </c>
      <c r="B11">
        <v>-21243801533.494198</v>
      </c>
      <c r="C11" t="e">
        <f>EXP(((-1)/(2*'Cálculos Diversos'!$B$5))*(SQRT(SUMXMY2(Formulário!$B$1:$B$14,'Coordenadas dos Polos'!$DX$2:$EK$2)))^2)</f>
        <v>#DIV/0!</v>
      </c>
    </row>
    <row r="12" spans="1:3" x14ac:dyDescent="0.25">
      <c r="A12" t="s">
        <v>40</v>
      </c>
      <c r="B12">
        <v>-1041711370831.8964</v>
      </c>
      <c r="C12" t="e">
        <f>EXP(((-1)/(2*'Cálculos Diversos'!$B$5))*(SQRT(SUMXMY2(Formulário!$B$1:$B$14,'Coordenadas dos Polos'!$EL$2:$EY$2)))^2)</f>
        <v>#DIV/0!</v>
      </c>
    </row>
    <row r="13" spans="1:3" x14ac:dyDescent="0.25">
      <c r="A13" t="s">
        <v>41</v>
      </c>
      <c r="B13">
        <v>-1598430045762.7402</v>
      </c>
      <c r="C13" t="e">
        <f>EXP(((-1)/(2*'Cálculos Diversos'!$B$5))*(SQRT(SUMXMY2(Formulário!$B$1:$B$14,'Coordenadas dos Polos'!$EZ$2:$FM$2)))^2)</f>
        <v>#DIV/0!</v>
      </c>
    </row>
    <row r="14" spans="1:3" x14ac:dyDescent="0.25">
      <c r="A14" t="s">
        <v>42</v>
      </c>
      <c r="B14">
        <v>-311458088036.17493</v>
      </c>
      <c r="C14" t="e">
        <f>EXP(((-1)/(2*'Cálculos Diversos'!$B$5))*(SQRT(SUMXMY2(Formulário!$B$1:$B$14,'Coordenadas dos Polos'!$FN$2:$GA$2)))^2)</f>
        <v>#DIV/0!</v>
      </c>
    </row>
    <row r="15" spans="1:3" x14ac:dyDescent="0.25">
      <c r="A15" t="s">
        <v>43</v>
      </c>
      <c r="B15">
        <v>24288653999.666264</v>
      </c>
      <c r="C15" t="e">
        <f>EXP(((-1)/(2*'Cálculos Diversos'!$B$5))*(SQRT(SUMXMY2(Formulário!$B$1:$B$14,'Coordenadas dos Polos'!$GB$2:$GO$2)))^2)</f>
        <v>#DIV/0!</v>
      </c>
    </row>
    <row r="16" spans="1:3" x14ac:dyDescent="0.25">
      <c r="A16" t="s">
        <v>44</v>
      </c>
      <c r="B16">
        <v>-220835425021.28165</v>
      </c>
      <c r="C16" t="e">
        <f>EXP(((-1)/(2*'Cálculos Diversos'!$B$5))*(SQRT(SUMXMY2(Formulário!$B$1:$B$14,'Coordenadas dos Polos'!$GP$2:$HC$2)))^2)</f>
        <v>#DIV/0!</v>
      </c>
    </row>
    <row r="17" spans="1:3" x14ac:dyDescent="0.25">
      <c r="A17" t="s">
        <v>17</v>
      </c>
      <c r="B17">
        <v>-33259.333085199534</v>
      </c>
      <c r="C17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B20"/>
  <sheetViews>
    <sheetView tabSelected="1" zoomScale="65" zoomScaleNormal="65" workbookViewId="0">
      <selection activeCell="B13" sqref="B13"/>
    </sheetView>
  </sheetViews>
  <sheetFormatPr defaultColWidth="9.140625" defaultRowHeight="15" x14ac:dyDescent="0.25"/>
  <cols>
    <col min="1" max="1" width="36" bestFit="1" customWidth="1"/>
    <col min="2" max="2" width="25.7109375" customWidth="1"/>
    <col min="3" max="3" width="13.5703125" customWidth="1"/>
    <col min="4" max="4" width="228.5703125" customWidth="1"/>
  </cols>
  <sheetData>
    <row r="1" spans="1:2" ht="16.5" thickTop="1" thickBot="1" x14ac:dyDescent="0.3">
      <c r="A1" s="1" t="s">
        <v>50</v>
      </c>
      <c r="B1" s="2"/>
    </row>
    <row r="2" spans="1:2" ht="16.5" thickTop="1" thickBot="1" x14ac:dyDescent="0.3">
      <c r="A2" s="1" t="s">
        <v>51</v>
      </c>
      <c r="B2" s="2"/>
    </row>
    <row r="3" spans="1:2" ht="16.5" thickTop="1" thickBot="1" x14ac:dyDescent="0.3">
      <c r="A3" s="1" t="s">
        <v>52</v>
      </c>
      <c r="B3" s="2"/>
    </row>
    <row r="4" spans="1:2" ht="16.5" thickTop="1" thickBot="1" x14ac:dyDescent="0.3">
      <c r="A4" s="1" t="s">
        <v>53</v>
      </c>
      <c r="B4" s="2"/>
    </row>
    <row r="5" spans="1:2" ht="16.5" thickTop="1" thickBot="1" x14ac:dyDescent="0.3">
      <c r="A5" s="1" t="s">
        <v>54</v>
      </c>
      <c r="B5" s="2"/>
    </row>
    <row r="6" spans="1:2" ht="16.5" thickTop="1" thickBot="1" x14ac:dyDescent="0.3">
      <c r="A6" s="1" t="s">
        <v>55</v>
      </c>
      <c r="B6" s="2"/>
    </row>
    <row r="7" spans="1:2" ht="16.5" thickTop="1" thickBot="1" x14ac:dyDescent="0.3">
      <c r="A7" s="1" t="s">
        <v>56</v>
      </c>
      <c r="B7" s="2"/>
    </row>
    <row r="8" spans="1:2" ht="16.5" thickTop="1" thickBot="1" x14ac:dyDescent="0.3">
      <c r="A8" s="1" t="s">
        <v>51</v>
      </c>
      <c r="B8" s="2"/>
    </row>
    <row r="9" spans="1:2" ht="16.5" thickTop="1" thickBot="1" x14ac:dyDescent="0.3">
      <c r="A9" s="1" t="s">
        <v>52</v>
      </c>
      <c r="B9" s="2"/>
    </row>
    <row r="10" spans="1:2" ht="16.5" thickTop="1" thickBot="1" x14ac:dyDescent="0.3">
      <c r="A10" s="1" t="s">
        <v>57</v>
      </c>
      <c r="B10" s="2"/>
    </row>
    <row r="11" spans="1:2" ht="16.5" thickTop="1" thickBot="1" x14ac:dyDescent="0.3">
      <c r="A11" s="1" t="s">
        <v>58</v>
      </c>
      <c r="B11" s="2"/>
    </row>
    <row r="12" spans="1:2" ht="16.5" thickTop="1" thickBot="1" x14ac:dyDescent="0.3">
      <c r="A12" s="1" t="s">
        <v>59</v>
      </c>
      <c r="B12" s="2"/>
    </row>
    <row r="13" spans="1:2" ht="16.5" thickTop="1" thickBot="1" x14ac:dyDescent="0.3">
      <c r="A13" s="1" t="s">
        <v>60</v>
      </c>
      <c r="B13" s="2"/>
    </row>
    <row r="14" spans="1:2" ht="16.5" thickTop="1" thickBot="1" x14ac:dyDescent="0.3">
      <c r="A14" s="1" t="s">
        <v>61</v>
      </c>
      <c r="B14" s="2"/>
    </row>
    <row r="15" spans="1:2" ht="16.5" thickTop="1" thickBot="1" x14ac:dyDescent="0.3">
      <c r="A15" s="1" t="s">
        <v>62</v>
      </c>
      <c r="B15" s="6" t="str">
        <f>IFERROR(SUMPRODUCT(Solução!$B$3:$B$17,Solução!$C$3:$C$17),"")</f>
        <v/>
      </c>
    </row>
    <row r="16" spans="1:2" ht="16.5" thickTop="1" thickBot="1" x14ac:dyDescent="0.3">
      <c r="A16" s="1" t="s">
        <v>18</v>
      </c>
      <c r="B16" s="3">
        <f>'Coeficiente de Acerto'!$B$405</f>
        <v>0.7477905455042626</v>
      </c>
    </row>
    <row r="17" spans="1:2" ht="226.5" thickTop="1" thickBot="1" x14ac:dyDescent="0.3">
      <c r="A17" s="1" t="s">
        <v>19</v>
      </c>
      <c r="B17" s="4" t="s">
        <v>67</v>
      </c>
    </row>
    <row r="18" spans="1:2" ht="16.5" thickTop="1" thickBot="1" x14ac:dyDescent="0.3">
      <c r="A18" s="1" t="s">
        <v>14</v>
      </c>
      <c r="B18" s="5" t="s">
        <v>65</v>
      </c>
    </row>
    <row r="19" spans="1:2" ht="16.5" thickTop="1" thickBot="1" x14ac:dyDescent="0.3">
      <c r="A19" s="1" t="s">
        <v>20</v>
      </c>
      <c r="B19" s="5" t="s">
        <v>66</v>
      </c>
    </row>
    <row r="20" spans="1:2" ht="15.75" thickTop="1" x14ac:dyDescent="0.25"/>
  </sheetData>
  <sheetProtection algorithmName="SHA-512" hashValue="gLpDeSfBHg/7cFHop1eMMy8RAxkcrTnGbLtV9kowHngq6xgRNHDKUZGx+a36ryzStILI8mxkXePUE79l8SlMhw==" saltValue="4ONE/oLS6w1U5+tZxk3aIQ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pageSetUpPr fitToPage="1"/>
  </sheetPr>
  <dimension ref="A1:Q130"/>
  <sheetViews>
    <sheetView topLeftCell="A118" zoomScale="130" zoomScaleNormal="130" workbookViewId="0">
      <selection activeCell="A131" sqref="A131"/>
    </sheetView>
  </sheetViews>
  <sheetFormatPr defaultRowHeight="15" x14ac:dyDescent="0.25"/>
  <cols>
    <col min="1" max="1" width="4.28515625" bestFit="1" customWidth="1"/>
    <col min="2" max="6" width="6" bestFit="1" customWidth="1"/>
    <col min="7" max="11" width="4.85546875" bestFit="1" customWidth="1"/>
    <col min="12" max="16" width="6" bestFit="1" customWidth="1"/>
    <col min="17" max="17" width="4.85546875" bestFit="1" customWidth="1"/>
    <col min="18" max="18" width="4.28515625" bestFit="1" customWidth="1"/>
    <col min="19" max="20" width="4.85546875" bestFit="1" customWidth="1"/>
    <col min="21" max="21" width="4.28515625" bestFit="1" customWidth="1"/>
    <col min="22" max="23" width="6" bestFit="1" customWidth="1"/>
  </cols>
  <sheetData>
    <row r="1" spans="1:17" x14ac:dyDescent="0.25">
      <c r="A1" s="7" t="s">
        <v>49</v>
      </c>
      <c r="B1" s="7" t="s">
        <v>50</v>
      </c>
      <c r="C1" s="7" t="s">
        <v>51</v>
      </c>
      <c r="D1" s="7" t="s">
        <v>52</v>
      </c>
      <c r="E1" s="7" t="s">
        <v>53</v>
      </c>
      <c r="F1" s="7" t="s">
        <v>54</v>
      </c>
      <c r="G1" s="7" t="s">
        <v>55</v>
      </c>
      <c r="H1" s="7" t="s">
        <v>56</v>
      </c>
      <c r="I1" s="7" t="s">
        <v>51</v>
      </c>
      <c r="J1" s="7" t="s">
        <v>52</v>
      </c>
      <c r="K1" s="7" t="s">
        <v>57</v>
      </c>
      <c r="L1" s="7" t="s">
        <v>58</v>
      </c>
      <c r="M1" s="7" t="s">
        <v>59</v>
      </c>
      <c r="N1" s="7" t="s">
        <v>60</v>
      </c>
      <c r="O1" s="7" t="s">
        <v>61</v>
      </c>
      <c r="P1" s="7" t="s">
        <v>63</v>
      </c>
      <c r="Q1" s="7" t="s">
        <v>64</v>
      </c>
    </row>
    <row r="2" spans="1:17" x14ac:dyDescent="0.25">
      <c r="A2" s="7">
        <v>2</v>
      </c>
      <c r="B2" s="7">
        <v>1.24</v>
      </c>
      <c r="C2" s="7">
        <v>280</v>
      </c>
      <c r="D2" s="7">
        <v>80</v>
      </c>
      <c r="E2" s="7">
        <v>0.10199999999999999</v>
      </c>
      <c r="F2" s="7">
        <v>100000</v>
      </c>
      <c r="G2" s="7">
        <v>7.03</v>
      </c>
      <c r="H2" s="7">
        <v>0.35</v>
      </c>
      <c r="I2" s="7">
        <v>970</v>
      </c>
      <c r="J2" s="7">
        <v>658</v>
      </c>
      <c r="K2" s="7">
        <v>4.4999999999999998E-2</v>
      </c>
      <c r="L2" s="7">
        <v>200000</v>
      </c>
      <c r="M2" s="7">
        <v>0.15</v>
      </c>
      <c r="N2" s="7">
        <v>0.7</v>
      </c>
      <c r="O2" s="7">
        <v>240</v>
      </c>
      <c r="P2" s="7">
        <v>3840</v>
      </c>
      <c r="Q2" s="7">
        <v>3943.6269524969903</v>
      </c>
    </row>
    <row r="3" spans="1:17" x14ac:dyDescent="0.25">
      <c r="A3" s="7">
        <v>15</v>
      </c>
      <c r="B3" s="7">
        <v>1.1828496632220395</v>
      </c>
      <c r="C3" s="7">
        <v>296.81092635160036</v>
      </c>
      <c r="D3" s="7">
        <v>6.7677822502281009</v>
      </c>
      <c r="E3" s="7">
        <v>6.0480117418263951E-2</v>
      </c>
      <c r="F3" s="7">
        <v>100000</v>
      </c>
      <c r="G3" s="7">
        <v>1.3408715184325499</v>
      </c>
      <c r="H3" s="7">
        <v>0.39556442274947695</v>
      </c>
      <c r="I3" s="7">
        <v>790.93868519158525</v>
      </c>
      <c r="J3" s="7">
        <v>546.00694936772857</v>
      </c>
      <c r="K3" s="7">
        <v>3.8768483588584916E-2</v>
      </c>
      <c r="L3" s="7">
        <v>106454.6044396933</v>
      </c>
      <c r="M3" s="7">
        <v>0.15315175787683846</v>
      </c>
      <c r="N3" s="7">
        <v>0.34864513360333166</v>
      </c>
      <c r="O3" s="7">
        <v>178.51896646784718</v>
      </c>
      <c r="P3" s="7">
        <v>1760.1551828051163</v>
      </c>
      <c r="Q3" s="7">
        <v>1817.4131408813919</v>
      </c>
    </row>
    <row r="4" spans="1:17" x14ac:dyDescent="0.25">
      <c r="A4" s="7">
        <v>22</v>
      </c>
      <c r="B4" s="7">
        <v>1.1952862759437497</v>
      </c>
      <c r="C4" s="7">
        <v>291.27168218722085</v>
      </c>
      <c r="D4" s="7">
        <v>27.101005677265615</v>
      </c>
      <c r="E4" s="7">
        <v>9.742015493596444E-2</v>
      </c>
      <c r="F4" s="7">
        <v>100000</v>
      </c>
      <c r="G4" s="7">
        <v>8.9855198604522037</v>
      </c>
      <c r="H4" s="7">
        <v>0.40283178029797151</v>
      </c>
      <c r="I4" s="7">
        <v>861.66563295829997</v>
      </c>
      <c r="J4" s="7">
        <v>276.42727573538082</v>
      </c>
      <c r="K4" s="7">
        <v>7.1517871642631486E-2</v>
      </c>
      <c r="L4" s="7">
        <v>127897.17904801262</v>
      </c>
      <c r="M4" s="7">
        <v>8.2609989500509767E-2</v>
      </c>
      <c r="N4" s="7">
        <v>0.61776686885141863</v>
      </c>
      <c r="O4" s="7">
        <v>236.67296596391347</v>
      </c>
      <c r="P4" s="7">
        <v>1451.4269959285243</v>
      </c>
      <c r="Q4" s="7">
        <v>1416.9452711983395</v>
      </c>
    </row>
    <row r="5" spans="1:17" x14ac:dyDescent="0.25">
      <c r="A5" s="7">
        <v>24</v>
      </c>
      <c r="B5" s="7">
        <v>1.1640393612746744</v>
      </c>
      <c r="C5" s="7">
        <v>291.97399255435079</v>
      </c>
      <c r="D5" s="7">
        <v>50.654994940303382</v>
      </c>
      <c r="E5" s="7">
        <v>2.9843587330807258E-2</v>
      </c>
      <c r="F5" s="7">
        <v>100000</v>
      </c>
      <c r="G5" s="7">
        <v>5.4593646986504609</v>
      </c>
      <c r="H5" s="7">
        <v>0.49016937382789011</v>
      </c>
      <c r="I5" s="7">
        <v>857.92142937870767</v>
      </c>
      <c r="J5" s="7">
        <v>253.58857399438031</v>
      </c>
      <c r="K5" s="7">
        <v>2.0653442582655078E-2</v>
      </c>
      <c r="L5" s="7">
        <v>141404.30159888495</v>
      </c>
      <c r="M5" s="7">
        <v>0.12869265049690123</v>
      </c>
      <c r="N5" s="7">
        <v>0.73085817414276599</v>
      </c>
      <c r="O5" s="7">
        <v>209.15763161040462</v>
      </c>
      <c r="P5" s="7">
        <v>1305.9986184287263</v>
      </c>
      <c r="Q5" s="7">
        <v>1250.0108642904597</v>
      </c>
    </row>
    <row r="6" spans="1:17" x14ac:dyDescent="0.25">
      <c r="A6" s="7">
        <v>29</v>
      </c>
      <c r="B6" s="7">
        <v>1.192881360291782</v>
      </c>
      <c r="C6" s="7">
        <v>288.52898729417041</v>
      </c>
      <c r="D6" s="7">
        <v>32.891900007384578</v>
      </c>
      <c r="E6" s="7">
        <v>0.1046764897467838</v>
      </c>
      <c r="F6" s="7">
        <v>100000</v>
      </c>
      <c r="G6" s="7">
        <v>7.2920782759195166</v>
      </c>
      <c r="H6" s="7">
        <v>0.47603118051697124</v>
      </c>
      <c r="I6" s="7">
        <v>835.10310300206663</v>
      </c>
      <c r="J6" s="7">
        <v>183.92367652960826</v>
      </c>
      <c r="K6" s="7">
        <v>1.9447873018323653E-2</v>
      </c>
      <c r="L6" s="7">
        <v>181869.80329317073</v>
      </c>
      <c r="M6" s="7">
        <v>8.9691270496328482E-2</v>
      </c>
      <c r="N6" s="7">
        <v>0.48543763667907303</v>
      </c>
      <c r="O6" s="7">
        <v>237.64128636579139</v>
      </c>
      <c r="P6" s="7">
        <v>1816.8678948432689</v>
      </c>
      <c r="Q6" s="7">
        <v>1734.6947339329563</v>
      </c>
    </row>
    <row r="7" spans="1:17" x14ac:dyDescent="0.25">
      <c r="A7" s="7">
        <v>31</v>
      </c>
      <c r="B7" s="7">
        <v>1.1930558886696785</v>
      </c>
      <c r="C7" s="7">
        <v>289.46344053305347</v>
      </c>
      <c r="D7" s="7">
        <v>58.286930760548074</v>
      </c>
      <c r="E7" s="7">
        <v>0.10250220159227058</v>
      </c>
      <c r="F7" s="7">
        <v>100000</v>
      </c>
      <c r="G7" s="7">
        <v>6.3375536876358955</v>
      </c>
      <c r="H7" s="7">
        <v>0.47840632234069924</v>
      </c>
      <c r="I7" s="7">
        <v>788.12346200345928</v>
      </c>
      <c r="J7" s="7">
        <v>204.70767607058383</v>
      </c>
      <c r="K7" s="7">
        <v>6.7879494518092845E-2</v>
      </c>
      <c r="L7" s="7">
        <v>131598.97197896792</v>
      </c>
      <c r="M7" s="7">
        <v>0.14304126917818061</v>
      </c>
      <c r="N7" s="7">
        <v>0.57523634112786315</v>
      </c>
      <c r="O7" s="7">
        <v>218.94931976689168</v>
      </c>
      <c r="P7" s="7">
        <v>1018.6932128625606</v>
      </c>
      <c r="Q7" s="7">
        <v>1037.6498551657933</v>
      </c>
    </row>
    <row r="8" spans="1:17" x14ac:dyDescent="0.25">
      <c r="A8" s="7">
        <v>36</v>
      </c>
      <c r="B8" s="7">
        <v>1.178500125892028</v>
      </c>
      <c r="C8" s="7">
        <v>294.60252557111784</v>
      </c>
      <c r="D8" s="7">
        <v>19.170035283687369</v>
      </c>
      <c r="E8" s="7">
        <v>9.8013905050097841E-2</v>
      </c>
      <c r="F8" s="7">
        <v>100000</v>
      </c>
      <c r="G8" s="7">
        <v>7.3466280153191192</v>
      </c>
      <c r="H8" s="7">
        <v>0.49088336668694615</v>
      </c>
      <c r="I8" s="7">
        <v>856.31287472278541</v>
      </c>
      <c r="J8" s="7">
        <v>344.35399465389651</v>
      </c>
      <c r="K8" s="7">
        <v>2.8058406342656717E-2</v>
      </c>
      <c r="L8" s="7">
        <v>159616.17026625064</v>
      </c>
      <c r="M8" s="7">
        <v>0.13811824158493241</v>
      </c>
      <c r="N8" s="7">
        <v>0.43311913338077407</v>
      </c>
      <c r="O8" s="7">
        <v>217.79803088145661</v>
      </c>
      <c r="P8" s="7">
        <v>1546.6410125941852</v>
      </c>
      <c r="Q8" s="7">
        <v>1503.2884925081671</v>
      </c>
    </row>
    <row r="9" spans="1:17" x14ac:dyDescent="0.25">
      <c r="A9" s="7">
        <v>38</v>
      </c>
      <c r="B9" s="7">
        <v>1.1889287414935117</v>
      </c>
      <c r="C9" s="7">
        <v>291.06940689477733</v>
      </c>
      <c r="D9" s="7">
        <v>26.972370283866351</v>
      </c>
      <c r="E9" s="7">
        <v>8.0638743342430805E-2</v>
      </c>
      <c r="F9" s="7">
        <v>100000</v>
      </c>
      <c r="G9" s="7">
        <v>5.5954386376726344</v>
      </c>
      <c r="H9" s="7">
        <v>0.47622992502897815</v>
      </c>
      <c r="I9" s="7">
        <v>839.56005394844306</v>
      </c>
      <c r="J9" s="7">
        <v>357.65388930399376</v>
      </c>
      <c r="K9" s="7">
        <v>6.5519187830564721E-2</v>
      </c>
      <c r="L9" s="7">
        <v>177533.296027351</v>
      </c>
      <c r="M9" s="7">
        <v>9.8581702586257092E-2</v>
      </c>
      <c r="N9" s="7">
        <v>0.55217921004766435</v>
      </c>
      <c r="O9" s="7">
        <v>236.28154299156657</v>
      </c>
      <c r="P9" s="7">
        <v>1788.3765405500199</v>
      </c>
      <c r="Q9" s="7">
        <v>1700.9722436790398</v>
      </c>
    </row>
    <row r="10" spans="1:17" x14ac:dyDescent="0.25">
      <c r="A10" s="7">
        <v>47</v>
      </c>
      <c r="B10" s="7">
        <v>1.1811919788629377</v>
      </c>
      <c r="C10" s="7">
        <v>291.81867203424366</v>
      </c>
      <c r="D10" s="7">
        <v>21.33318491213857</v>
      </c>
      <c r="E10" s="7">
        <v>0.10372675466286212</v>
      </c>
      <c r="F10" s="7">
        <v>100000</v>
      </c>
      <c r="G10" s="7">
        <v>6.1758122951783667</v>
      </c>
      <c r="H10" s="7">
        <v>0.48093346356083788</v>
      </c>
      <c r="I10" s="7">
        <v>823.82395268073981</v>
      </c>
      <c r="J10" s="7">
        <v>373.16372394798213</v>
      </c>
      <c r="K10" s="7">
        <v>5.0810432128744545E-2</v>
      </c>
      <c r="L10" s="7">
        <v>170721.79731896269</v>
      </c>
      <c r="M10" s="7">
        <v>0.10064101505026155</v>
      </c>
      <c r="N10" s="7">
        <v>0.50774234581776956</v>
      </c>
      <c r="O10" s="7">
        <v>226.06488510865768</v>
      </c>
      <c r="P10" s="7">
        <v>1714.7591759787701</v>
      </c>
      <c r="Q10" s="7">
        <v>1653.3514224622559</v>
      </c>
    </row>
    <row r="11" spans="1:17" x14ac:dyDescent="0.25">
      <c r="A11" s="7">
        <v>54</v>
      </c>
      <c r="B11" s="7">
        <v>1.1826205155949339</v>
      </c>
      <c r="C11" s="7">
        <v>291.84340925146751</v>
      </c>
      <c r="D11" s="7">
        <v>26.884254463798747</v>
      </c>
      <c r="E11" s="7">
        <v>0.10745551423253377</v>
      </c>
      <c r="F11" s="7">
        <v>100000</v>
      </c>
      <c r="G11" s="7">
        <v>2.6343304007316757</v>
      </c>
      <c r="H11" s="7">
        <v>0.47942402285377855</v>
      </c>
      <c r="I11" s="7">
        <v>806.53200227427772</v>
      </c>
      <c r="J11" s="7">
        <v>296.12902941594695</v>
      </c>
      <c r="K11" s="7">
        <v>1.907451881133454E-2</v>
      </c>
      <c r="L11" s="7">
        <v>164820.96791401942</v>
      </c>
      <c r="M11" s="7">
        <v>0.11899775984590451</v>
      </c>
      <c r="N11" s="7">
        <v>0.5523511256561614</v>
      </c>
      <c r="O11" s="7">
        <v>224.83134000589499</v>
      </c>
      <c r="P11" s="7">
        <v>1281.7817359008038</v>
      </c>
      <c r="Q11" s="7">
        <v>1242.1904151965209</v>
      </c>
    </row>
    <row r="12" spans="1:17" x14ac:dyDescent="0.25">
      <c r="A12" s="7">
        <v>65</v>
      </c>
      <c r="B12" s="7">
        <v>1.1855594712086346</v>
      </c>
      <c r="C12" s="7">
        <v>291.83279725748935</v>
      </c>
      <c r="D12" s="7">
        <v>32.548512320869399</v>
      </c>
      <c r="E12" s="7">
        <v>9.2255963213526193E-2</v>
      </c>
      <c r="F12" s="7">
        <v>100000</v>
      </c>
      <c r="G12" s="7">
        <v>5.4595592823537267</v>
      </c>
      <c r="H12" s="7">
        <v>0.48897176440352841</v>
      </c>
      <c r="I12" s="7">
        <v>806.2843119350598</v>
      </c>
      <c r="J12" s="7">
        <v>281.5039214605988</v>
      </c>
      <c r="K12" s="7">
        <v>5.4600306107078195E-2</v>
      </c>
      <c r="L12" s="7">
        <v>157598.34025336261</v>
      </c>
      <c r="M12" s="7">
        <v>0.11239539107483561</v>
      </c>
      <c r="N12" s="7">
        <v>0.52410619390087565</v>
      </c>
      <c r="O12" s="7">
        <v>230.53697927985863</v>
      </c>
      <c r="P12" s="7">
        <v>1362.6056687304597</v>
      </c>
      <c r="Q12" s="7">
        <v>1336.4100838954837</v>
      </c>
    </row>
    <row r="13" spans="1:17" x14ac:dyDescent="0.25">
      <c r="A13" s="7">
        <v>66</v>
      </c>
      <c r="B13" s="7">
        <v>1.1833595035814022</v>
      </c>
      <c r="C13" s="7">
        <v>290.42877842720236</v>
      </c>
      <c r="D13" s="7">
        <v>33.068788709437371</v>
      </c>
      <c r="E13" s="7">
        <v>9.3390346543842276E-2</v>
      </c>
      <c r="F13" s="7">
        <v>100000</v>
      </c>
      <c r="G13" s="7">
        <v>4.0306713296062764</v>
      </c>
      <c r="H13" s="7">
        <v>0.48822678204836067</v>
      </c>
      <c r="I13" s="7">
        <v>808.40310395187373</v>
      </c>
      <c r="J13" s="7">
        <v>286.04074034611733</v>
      </c>
      <c r="K13" s="7">
        <v>5.918957989651915E-2</v>
      </c>
      <c r="L13" s="7">
        <v>170281.54649033022</v>
      </c>
      <c r="M13" s="7">
        <v>9.8533660491743946E-2</v>
      </c>
      <c r="N13" s="7">
        <v>0.51988309000206911</v>
      </c>
      <c r="O13" s="7">
        <v>232.38645843179583</v>
      </c>
      <c r="P13" s="7">
        <v>1470.1189202226715</v>
      </c>
      <c r="Q13" s="7">
        <v>1438.240873297611</v>
      </c>
    </row>
    <row r="14" spans="1:17" x14ac:dyDescent="0.25">
      <c r="A14" s="7">
        <v>67</v>
      </c>
      <c r="B14" s="7">
        <v>1.1871400018517386</v>
      </c>
      <c r="C14" s="7">
        <v>291.60513845704151</v>
      </c>
      <c r="D14" s="7">
        <v>42.36870002607499</v>
      </c>
      <c r="E14" s="7">
        <v>9.4180619167423874E-2</v>
      </c>
      <c r="F14" s="7">
        <v>100000</v>
      </c>
      <c r="G14" s="7">
        <v>4.9030487791461201</v>
      </c>
      <c r="H14" s="7">
        <v>0.48708210846921396</v>
      </c>
      <c r="I14" s="7">
        <v>805.79305828627139</v>
      </c>
      <c r="J14" s="7">
        <v>363.31685088118996</v>
      </c>
      <c r="K14" s="7">
        <v>6.1055082458770144E-2</v>
      </c>
      <c r="L14" s="7">
        <v>162626.80251624947</v>
      </c>
      <c r="M14" s="7">
        <v>0.11030166859290808</v>
      </c>
      <c r="N14" s="7">
        <v>0.50776695765086577</v>
      </c>
      <c r="O14" s="7">
        <v>229.03235638016432</v>
      </c>
      <c r="P14" s="7">
        <v>1573.6006669880176</v>
      </c>
      <c r="Q14" s="7">
        <v>1634.0581759127599</v>
      </c>
    </row>
    <row r="15" spans="1:17" x14ac:dyDescent="0.25">
      <c r="A15" s="7">
        <v>71</v>
      </c>
      <c r="B15" s="7">
        <v>1.1829641020699393</v>
      </c>
      <c r="C15" s="7">
        <v>291.23641526508362</v>
      </c>
      <c r="D15" s="7">
        <v>35.704061018484559</v>
      </c>
      <c r="E15" s="7">
        <v>9.2664117903620002E-2</v>
      </c>
      <c r="F15" s="7">
        <v>100000</v>
      </c>
      <c r="G15" s="7">
        <v>4.6908262454666971</v>
      </c>
      <c r="H15" s="7">
        <v>0.4849230893150458</v>
      </c>
      <c r="I15" s="7">
        <v>792.78726810119679</v>
      </c>
      <c r="J15" s="7">
        <v>327.95068950740938</v>
      </c>
      <c r="K15" s="7">
        <v>5.947655219983615E-2</v>
      </c>
      <c r="L15" s="7">
        <v>156076.05616719607</v>
      </c>
      <c r="M15" s="7">
        <v>0.10146400555717155</v>
      </c>
      <c r="N15" s="7">
        <v>0.52403927417978424</v>
      </c>
      <c r="O15" s="7">
        <v>231.38008432578755</v>
      </c>
      <c r="P15" s="7">
        <v>1496.7822149012641</v>
      </c>
      <c r="Q15" s="7">
        <v>1454.6481557818406</v>
      </c>
    </row>
    <row r="16" spans="1:17" x14ac:dyDescent="0.25">
      <c r="A16" s="7">
        <v>77</v>
      </c>
      <c r="B16" s="7">
        <v>1.1854845373183667</v>
      </c>
      <c r="C16" s="7">
        <v>290.77013029024982</v>
      </c>
      <c r="D16" s="7">
        <v>34.444084085420855</v>
      </c>
      <c r="E16" s="7">
        <v>9.7765201082857106E-2</v>
      </c>
      <c r="F16" s="7">
        <v>100000</v>
      </c>
      <c r="G16" s="7">
        <v>4.4986858808580292</v>
      </c>
      <c r="H16" s="7">
        <v>0.4858440296257493</v>
      </c>
      <c r="I16" s="7">
        <v>803.08000120549536</v>
      </c>
      <c r="J16" s="7">
        <v>334.60496005045127</v>
      </c>
      <c r="K16" s="7">
        <v>5.714066692010307E-2</v>
      </c>
      <c r="L16" s="7">
        <v>161223.65031853344</v>
      </c>
      <c r="M16" s="7">
        <v>0.10340369113196905</v>
      </c>
      <c r="N16" s="7">
        <v>0.52587595452358837</v>
      </c>
      <c r="O16" s="7">
        <v>230.6855581632914</v>
      </c>
      <c r="P16" s="7">
        <v>1568.5220065632197</v>
      </c>
      <c r="Q16" s="7">
        <v>1519.6842719184278</v>
      </c>
    </row>
    <row r="17" spans="1:17" x14ac:dyDescent="0.25">
      <c r="A17" s="7">
        <v>79</v>
      </c>
      <c r="B17" s="7">
        <v>1.1843020623947855</v>
      </c>
      <c r="C17" s="7">
        <v>290.99102868483658</v>
      </c>
      <c r="D17" s="7">
        <v>37.560532492898545</v>
      </c>
      <c r="E17" s="7">
        <v>9.6779767696443059E-2</v>
      </c>
      <c r="F17" s="7">
        <v>100000</v>
      </c>
      <c r="G17" s="7">
        <v>3.1810871864974111</v>
      </c>
      <c r="H17" s="7">
        <v>0.48599320836370707</v>
      </c>
      <c r="I17" s="7">
        <v>798.08356327017225</v>
      </c>
      <c r="J17" s="7">
        <v>369.56884009614998</v>
      </c>
      <c r="K17" s="7">
        <v>5.7425862139986725E-2</v>
      </c>
      <c r="L17" s="7">
        <v>155531.12677210901</v>
      </c>
      <c r="M17" s="7">
        <v>0.10551575544724785</v>
      </c>
      <c r="N17" s="7">
        <v>0.52928284835856654</v>
      </c>
      <c r="O17" s="7">
        <v>227.99295555586357</v>
      </c>
      <c r="P17" s="7">
        <v>1532.9853989576786</v>
      </c>
      <c r="Q17" s="7">
        <v>1516.3667732120302</v>
      </c>
    </row>
    <row r="18" spans="1:17" x14ac:dyDescent="0.25">
      <c r="A18" s="7">
        <v>80</v>
      </c>
      <c r="B18" s="7">
        <v>1.1862407584668053</v>
      </c>
      <c r="C18" s="7">
        <v>291.05182990597422</v>
      </c>
      <c r="D18" s="7">
        <v>39.339641686489514</v>
      </c>
      <c r="E18" s="7">
        <v>9.6077509619003784E-2</v>
      </c>
      <c r="F18" s="7">
        <v>100000</v>
      </c>
      <c r="G18" s="7">
        <v>3.6553264523488411</v>
      </c>
      <c r="H18" s="7">
        <v>0.48128867929495256</v>
      </c>
      <c r="I18" s="7">
        <v>798.66778061779632</v>
      </c>
      <c r="J18" s="7">
        <v>321.66880653819135</v>
      </c>
      <c r="K18" s="7">
        <v>4.284277583873615E-2</v>
      </c>
      <c r="L18" s="7">
        <v>157381.78243785552</v>
      </c>
      <c r="M18" s="7">
        <v>0.10359916903641195</v>
      </c>
      <c r="N18" s="7">
        <v>0.51676457898539374</v>
      </c>
      <c r="O18" s="7">
        <v>228.83894336414346</v>
      </c>
      <c r="P18" s="7">
        <v>1464.6312864249271</v>
      </c>
      <c r="Q18" s="7">
        <v>1414.599283407144</v>
      </c>
    </row>
    <row r="19" spans="1:17" x14ac:dyDescent="0.25">
      <c r="A19" s="7">
        <v>82</v>
      </c>
      <c r="B19" s="7">
        <v>1.1851313890113504</v>
      </c>
      <c r="C19" s="7">
        <v>291.50922105751624</v>
      </c>
      <c r="D19" s="7">
        <v>34.281083108108035</v>
      </c>
      <c r="E19" s="7">
        <v>9.7081502544542397E-2</v>
      </c>
      <c r="F19" s="7">
        <v>100000</v>
      </c>
      <c r="G19" s="7">
        <v>3.2528040066046886</v>
      </c>
      <c r="H19" s="7">
        <v>0.48179767971056991</v>
      </c>
      <c r="I19" s="7">
        <v>803.67092394290603</v>
      </c>
      <c r="J19" s="7">
        <v>339.20101084295067</v>
      </c>
      <c r="K19" s="7">
        <v>4.9682711008652125E-2</v>
      </c>
      <c r="L19" s="7">
        <v>162844.03542261923</v>
      </c>
      <c r="M19" s="7">
        <v>0.10653679584407126</v>
      </c>
      <c r="N19" s="7">
        <v>0.52784930904260552</v>
      </c>
      <c r="O19" s="7">
        <v>229.34942277089891</v>
      </c>
      <c r="P19" s="7">
        <v>1427.7880450267385</v>
      </c>
      <c r="Q19" s="7">
        <v>1427.1927726280919</v>
      </c>
    </row>
    <row r="20" spans="1:17" x14ac:dyDescent="0.25">
      <c r="A20" s="7">
        <v>84</v>
      </c>
      <c r="B20" s="7">
        <v>1.1856530315995668</v>
      </c>
      <c r="C20" s="7">
        <v>290.64032204935648</v>
      </c>
      <c r="D20" s="7">
        <v>39.711566052286386</v>
      </c>
      <c r="E20" s="7">
        <v>9.4592587589421712E-2</v>
      </c>
      <c r="F20" s="7">
        <v>100000</v>
      </c>
      <c r="G20" s="7">
        <v>4.6626574582782716</v>
      </c>
      <c r="H20" s="7">
        <v>0.48359842154365096</v>
      </c>
      <c r="I20" s="7">
        <v>801.6436218168169</v>
      </c>
      <c r="J20" s="7">
        <v>305.70116008367756</v>
      </c>
      <c r="K20" s="7">
        <v>4.3550362449614723E-2</v>
      </c>
      <c r="L20" s="7">
        <v>156147.75828730818</v>
      </c>
      <c r="M20" s="7">
        <v>0.10389635553916281</v>
      </c>
      <c r="N20" s="7">
        <v>0.51438012211398554</v>
      </c>
      <c r="O20" s="7">
        <v>229.83625284946856</v>
      </c>
      <c r="P20" s="7">
        <v>1453.1688142939668</v>
      </c>
      <c r="Q20" s="7">
        <v>1443.5026788140458</v>
      </c>
    </row>
    <row r="21" spans="1:17" x14ac:dyDescent="0.25">
      <c r="A21" s="7">
        <v>86</v>
      </c>
      <c r="B21" s="7">
        <v>1.1841520217788457</v>
      </c>
      <c r="C21" s="7">
        <v>290.78340151234164</v>
      </c>
      <c r="D21" s="7">
        <v>39.127664979965786</v>
      </c>
      <c r="E21" s="7">
        <v>9.3559460651039025E-2</v>
      </c>
      <c r="F21" s="7">
        <v>100000</v>
      </c>
      <c r="G21" s="7">
        <v>4.1793224832497771</v>
      </c>
      <c r="H21" s="7">
        <v>0.48315558917965085</v>
      </c>
      <c r="I21" s="7">
        <v>803.85688689722497</v>
      </c>
      <c r="J21" s="7">
        <v>340.39454112079994</v>
      </c>
      <c r="K21" s="7">
        <v>4.4609162485350573E-2</v>
      </c>
      <c r="L21" s="7">
        <v>164806.93923989002</v>
      </c>
      <c r="M21" s="7">
        <v>0.10374066348429611</v>
      </c>
      <c r="N21" s="7">
        <v>0.52488780165027771</v>
      </c>
      <c r="O21" s="7">
        <v>228.53239678607733</v>
      </c>
      <c r="P21" s="7">
        <v>1499.9287792819623</v>
      </c>
      <c r="Q21" s="7">
        <v>1567.7940803290621</v>
      </c>
    </row>
    <row r="22" spans="1:17" x14ac:dyDescent="0.25">
      <c r="A22" s="7">
        <v>87</v>
      </c>
      <c r="B22" s="7">
        <v>1.18552534518398</v>
      </c>
      <c r="C22" s="7">
        <v>290.74099769585735</v>
      </c>
      <c r="D22" s="7">
        <v>40.397992666813991</v>
      </c>
      <c r="E22" s="7">
        <v>9.3641941458909528E-2</v>
      </c>
      <c r="F22" s="7">
        <v>100000</v>
      </c>
      <c r="G22" s="7">
        <v>4.029684741724056</v>
      </c>
      <c r="H22" s="7">
        <v>0.48450622502431528</v>
      </c>
      <c r="I22" s="7">
        <v>797.70744100068782</v>
      </c>
      <c r="J22" s="7">
        <v>344.96530274509541</v>
      </c>
      <c r="K22" s="7">
        <v>5.24631846305742E-2</v>
      </c>
      <c r="L22" s="7">
        <v>161735.53160267882</v>
      </c>
      <c r="M22" s="7">
        <v>0.10578191324335906</v>
      </c>
      <c r="N22" s="7">
        <v>0.52477547312600892</v>
      </c>
      <c r="O22" s="7">
        <v>228.97648789422709</v>
      </c>
      <c r="P22" s="7">
        <v>1510.0899309743247</v>
      </c>
      <c r="Q22" s="7">
        <v>1557.5138512775811</v>
      </c>
    </row>
    <row r="23" spans="1:17" x14ac:dyDescent="0.25">
      <c r="A23" s="7">
        <v>89</v>
      </c>
      <c r="B23" s="7">
        <v>1.1860485952146349</v>
      </c>
      <c r="C23" s="7">
        <v>291.42197206820714</v>
      </c>
      <c r="D23" s="7">
        <v>34.282923710504413</v>
      </c>
      <c r="E23" s="7">
        <v>9.301933499875277E-2</v>
      </c>
      <c r="F23" s="7">
        <v>100000</v>
      </c>
      <c r="G23" s="7">
        <v>3.2926589387467193</v>
      </c>
      <c r="H23" s="7">
        <v>0.4809800865511924</v>
      </c>
      <c r="I23" s="7">
        <v>798.48849468207277</v>
      </c>
      <c r="J23" s="7">
        <v>362.07647502035564</v>
      </c>
      <c r="K23" s="7">
        <v>5.2813930759783634E-2</v>
      </c>
      <c r="L23" s="7">
        <v>158207.7060104401</v>
      </c>
      <c r="M23" s="7">
        <v>0.10498802130274572</v>
      </c>
      <c r="N23" s="7">
        <v>0.52195258829595426</v>
      </c>
      <c r="O23" s="7">
        <v>227.1460915355363</v>
      </c>
      <c r="P23" s="7">
        <v>1431.7877088591026</v>
      </c>
      <c r="Q23" s="7">
        <v>1482.5651323416314</v>
      </c>
    </row>
    <row r="24" spans="1:17" x14ac:dyDescent="0.25">
      <c r="A24" s="7">
        <v>90</v>
      </c>
      <c r="B24" s="7">
        <v>1.1858752550375851</v>
      </c>
      <c r="C24" s="7">
        <v>290.86281065801023</v>
      </c>
      <c r="D24" s="7">
        <v>37.232261909337538</v>
      </c>
      <c r="E24" s="7">
        <v>9.3924769011825435E-2</v>
      </c>
      <c r="F24" s="7">
        <v>100000</v>
      </c>
      <c r="G24" s="7">
        <v>3.7895032141033917</v>
      </c>
      <c r="H24" s="7">
        <v>0.48670340140011886</v>
      </c>
      <c r="I24" s="7">
        <v>802.95101796548499</v>
      </c>
      <c r="J24" s="7">
        <v>315.34189205680758</v>
      </c>
      <c r="K24" s="7">
        <v>5.6113600877691669E-2</v>
      </c>
      <c r="L24" s="7">
        <v>163088.21362313678</v>
      </c>
      <c r="M24" s="7">
        <v>0.10615601208100128</v>
      </c>
      <c r="N24" s="7">
        <v>0.52218393885575065</v>
      </c>
      <c r="O24" s="7">
        <v>227.93917952733005</v>
      </c>
      <c r="P24" s="7">
        <v>1466.0187974650639</v>
      </c>
      <c r="Q24" s="7">
        <v>1449.9876287871084</v>
      </c>
    </row>
    <row r="25" spans="1:17" x14ac:dyDescent="0.25">
      <c r="A25" s="7">
        <v>92</v>
      </c>
      <c r="B25" s="7">
        <v>1.1855350964840903</v>
      </c>
      <c r="C25" s="7">
        <v>291.00562476936051</v>
      </c>
      <c r="D25" s="7">
        <v>38.514034682805274</v>
      </c>
      <c r="E25" s="7">
        <v>9.4934991352608286E-2</v>
      </c>
      <c r="F25" s="7">
        <v>100000</v>
      </c>
      <c r="G25" s="7">
        <v>3.7029535453706592</v>
      </c>
      <c r="H25" s="7">
        <v>0.48482905995432052</v>
      </c>
      <c r="I25" s="7">
        <v>802.90555228785945</v>
      </c>
      <c r="J25" s="7">
        <v>322.88704759985109</v>
      </c>
      <c r="K25" s="7">
        <v>5.2697057399560751E-2</v>
      </c>
      <c r="L25" s="7">
        <v>163265.95998641523</v>
      </c>
      <c r="M25" s="7">
        <v>0.10532995882254317</v>
      </c>
      <c r="N25" s="7">
        <v>0.52143358773076931</v>
      </c>
      <c r="O25" s="7">
        <v>229.27102655209995</v>
      </c>
      <c r="P25" s="7">
        <v>1472.0713485591862</v>
      </c>
      <c r="Q25" s="7">
        <v>1461.5178795717002</v>
      </c>
    </row>
    <row r="26" spans="1:17" x14ac:dyDescent="0.25">
      <c r="A26" s="7">
        <v>94</v>
      </c>
      <c r="B26" s="7">
        <v>1.1857066984527016</v>
      </c>
      <c r="C26" s="7">
        <v>290.84396586946798</v>
      </c>
      <c r="D26" s="7">
        <v>35.167520170731642</v>
      </c>
      <c r="E26" s="7">
        <v>9.5033057644105717E-2</v>
      </c>
      <c r="F26" s="7">
        <v>100000</v>
      </c>
      <c r="G26" s="7">
        <v>4.352817273063101</v>
      </c>
      <c r="H26" s="7">
        <v>0.48617833444206282</v>
      </c>
      <c r="I26" s="7">
        <v>802.11527911802648</v>
      </c>
      <c r="J26" s="7">
        <v>337.38239376234753</v>
      </c>
      <c r="K26" s="7">
        <v>4.4176965315393835E-2</v>
      </c>
      <c r="L26" s="7">
        <v>158261.70864294984</v>
      </c>
      <c r="M26" s="7">
        <v>0.10611949097343262</v>
      </c>
      <c r="N26" s="7">
        <v>0.51545825723047323</v>
      </c>
      <c r="O26" s="7">
        <v>227.62738763305708</v>
      </c>
      <c r="P26" s="7">
        <v>1446.3023194929167</v>
      </c>
      <c r="Q26" s="7">
        <v>1512.0118935497521</v>
      </c>
    </row>
    <row r="27" spans="1:17" x14ac:dyDescent="0.25">
      <c r="A27" s="7">
        <v>95</v>
      </c>
      <c r="B27" s="7">
        <v>1.1844925721621857</v>
      </c>
      <c r="C27" s="7">
        <v>290.48691748490677</v>
      </c>
      <c r="D27" s="7">
        <v>35.027250484065746</v>
      </c>
      <c r="E27" s="7">
        <v>9.6257384115847139E-2</v>
      </c>
      <c r="F27" s="7">
        <v>100000</v>
      </c>
      <c r="G27" s="7">
        <v>3.8197551650434955</v>
      </c>
      <c r="H27" s="7">
        <v>0.48592874403898945</v>
      </c>
      <c r="I27" s="7">
        <v>795.39393201836754</v>
      </c>
      <c r="J27" s="7">
        <v>325.00721631812718</v>
      </c>
      <c r="K27" s="7">
        <v>5.5707538431412053E-2</v>
      </c>
      <c r="L27" s="7">
        <v>160498.73676813845</v>
      </c>
      <c r="M27" s="7">
        <v>0.10376030943712708</v>
      </c>
      <c r="N27" s="7">
        <v>0.52073045456208134</v>
      </c>
      <c r="O27" s="7">
        <v>228.91297408158931</v>
      </c>
      <c r="P27" s="7">
        <v>1435.9465960518555</v>
      </c>
      <c r="Q27" s="7">
        <v>1466.6577607282015</v>
      </c>
    </row>
    <row r="28" spans="1:17" x14ac:dyDescent="0.25">
      <c r="A28" s="7">
        <v>96</v>
      </c>
      <c r="B28" s="7">
        <v>1.1842577330748294</v>
      </c>
      <c r="C28" s="7">
        <v>291.31889878841037</v>
      </c>
      <c r="D28" s="7">
        <v>38.52625350750872</v>
      </c>
      <c r="E28" s="7">
        <v>9.4556161165282634E-2</v>
      </c>
      <c r="F28" s="7">
        <v>100000</v>
      </c>
      <c r="G28" s="7">
        <v>4.2776250451782802</v>
      </c>
      <c r="H28" s="7">
        <v>0.48392904886348048</v>
      </c>
      <c r="I28" s="7">
        <v>794.07172570189755</v>
      </c>
      <c r="J28" s="7">
        <v>333.7578666798338</v>
      </c>
      <c r="K28" s="7">
        <v>4.5658602528124162E-2</v>
      </c>
      <c r="L28" s="7">
        <v>159479.41042059145</v>
      </c>
      <c r="M28" s="7">
        <v>0.10653590832396945</v>
      </c>
      <c r="N28" s="7">
        <v>0.51808116898185319</v>
      </c>
      <c r="O28" s="7">
        <v>227.6814036002672</v>
      </c>
      <c r="P28" s="7">
        <v>1460.6416283881131</v>
      </c>
      <c r="Q28" s="7">
        <v>1489.2763603902931</v>
      </c>
    </row>
    <row r="29" spans="1:17" x14ac:dyDescent="0.25">
      <c r="A29" s="7">
        <v>97</v>
      </c>
      <c r="B29" s="7">
        <v>1.1847540923148889</v>
      </c>
      <c r="C29" s="7">
        <v>290.91863526061917</v>
      </c>
      <c r="D29" s="7">
        <v>36.138546803310213</v>
      </c>
      <c r="E29" s="7">
        <v>9.6494218395234352E-2</v>
      </c>
      <c r="F29" s="7">
        <v>100000</v>
      </c>
      <c r="G29" s="7">
        <v>3.7206632680327902</v>
      </c>
      <c r="H29" s="7">
        <v>0.48243464018936782</v>
      </c>
      <c r="I29" s="7">
        <v>791.99003421051293</v>
      </c>
      <c r="J29" s="7">
        <v>322.05663640586658</v>
      </c>
      <c r="K29" s="7">
        <v>4.7125714747737489E-2</v>
      </c>
      <c r="L29" s="7">
        <v>163292.96567991914</v>
      </c>
      <c r="M29" s="7">
        <v>0.10585671856134821</v>
      </c>
      <c r="N29" s="7">
        <v>0.52230647616728876</v>
      </c>
      <c r="O29" s="7">
        <v>227.63429883055744</v>
      </c>
      <c r="P29" s="7">
        <v>1457.4494756899621</v>
      </c>
      <c r="Q29" s="7">
        <v>1454.4379269599958</v>
      </c>
    </row>
    <row r="30" spans="1:17" x14ac:dyDescent="0.25">
      <c r="A30" s="7">
        <v>98</v>
      </c>
      <c r="B30" s="7">
        <v>1.1846711673626336</v>
      </c>
      <c r="C30" s="7">
        <v>291.01048363962042</v>
      </c>
      <c r="D30" s="7">
        <v>36.980809572723167</v>
      </c>
      <c r="E30" s="7">
        <v>9.3809681374594833E-2</v>
      </c>
      <c r="F30" s="7">
        <v>100000</v>
      </c>
      <c r="G30" s="7">
        <v>3.5404487436729357</v>
      </c>
      <c r="H30" s="7">
        <v>0.4866526489117512</v>
      </c>
      <c r="I30" s="7">
        <v>793.32462639421874</v>
      </c>
      <c r="J30" s="7">
        <v>339.08007034730474</v>
      </c>
      <c r="K30" s="7">
        <v>4.8949069630672443E-2</v>
      </c>
      <c r="L30" s="7">
        <v>161119.62205546582</v>
      </c>
      <c r="M30" s="7">
        <v>0.1049100460817015</v>
      </c>
      <c r="N30" s="7">
        <v>0.51874158986705532</v>
      </c>
      <c r="O30" s="7">
        <v>227.65935688654793</v>
      </c>
      <c r="P30" s="7">
        <v>1433.8212448783504</v>
      </c>
      <c r="Q30" s="7">
        <v>1477.1790214663415</v>
      </c>
    </row>
    <row r="31" spans="1:17" x14ac:dyDescent="0.25">
      <c r="A31" s="7">
        <v>99</v>
      </c>
      <c r="B31" s="7">
        <v>1.1859303698883341</v>
      </c>
      <c r="C31" s="7">
        <v>291.04895408536288</v>
      </c>
      <c r="D31" s="7">
        <v>38.21345992209136</v>
      </c>
      <c r="E31" s="7">
        <v>9.523690690591724E-2</v>
      </c>
      <c r="F31" s="7">
        <v>100000</v>
      </c>
      <c r="G31" s="7">
        <v>4.0787471511508286</v>
      </c>
      <c r="H31" s="7">
        <v>0.48286520786558551</v>
      </c>
      <c r="I31" s="7">
        <v>793.19512929366999</v>
      </c>
      <c r="J31" s="7">
        <v>341.90224109178985</v>
      </c>
      <c r="K31" s="7">
        <v>4.7828196775232826E-2</v>
      </c>
      <c r="L31" s="7">
        <v>158915.3400638981</v>
      </c>
      <c r="M31" s="7">
        <v>0.10617641957624196</v>
      </c>
      <c r="N31" s="7">
        <v>0.51737748790553795</v>
      </c>
      <c r="O31" s="7">
        <v>227.15619983421976</v>
      </c>
      <c r="P31" s="7">
        <v>1475.424094047595</v>
      </c>
      <c r="Q31" s="7">
        <v>1512.6749196317323</v>
      </c>
    </row>
    <row r="32" spans="1:17" x14ac:dyDescent="0.25">
      <c r="A32" s="7">
        <v>100</v>
      </c>
      <c r="B32" s="7">
        <v>1.1844359848275856</v>
      </c>
      <c r="C32" s="7">
        <v>290.88077959273068</v>
      </c>
      <c r="D32" s="7">
        <v>35.421084245276901</v>
      </c>
      <c r="E32" s="7">
        <v>9.4807246895793049E-2</v>
      </c>
      <c r="F32" s="7">
        <v>100000</v>
      </c>
      <c r="G32" s="7">
        <v>3.7428160231835172</v>
      </c>
      <c r="H32" s="7">
        <v>0.4847558554468086</v>
      </c>
      <c r="I32" s="7">
        <v>802.63173158525956</v>
      </c>
      <c r="J32" s="7">
        <v>344.86955854060159</v>
      </c>
      <c r="K32" s="7">
        <v>5.2846145322746702E-2</v>
      </c>
      <c r="L32" s="7">
        <v>160481.76349700024</v>
      </c>
      <c r="M32" s="7">
        <v>0.10398006998535138</v>
      </c>
      <c r="N32" s="7">
        <v>0.51663868934081281</v>
      </c>
      <c r="O32" s="7">
        <v>227.35830792234336</v>
      </c>
      <c r="P32" s="7">
        <v>1464.4269735368537</v>
      </c>
      <c r="Q32" s="7">
        <v>1507.5709387396273</v>
      </c>
    </row>
    <row r="33" spans="1:17" x14ac:dyDescent="0.25">
      <c r="A33" s="7">
        <v>102</v>
      </c>
      <c r="B33" s="7">
        <v>1.1857747174572904</v>
      </c>
      <c r="C33" s="7">
        <v>290.5977481932614</v>
      </c>
      <c r="D33" s="7">
        <v>38.013682694169304</v>
      </c>
      <c r="E33" s="7">
        <v>9.5254203352071479E-2</v>
      </c>
      <c r="F33" s="7">
        <v>100000</v>
      </c>
      <c r="G33" s="7">
        <v>3.6224201179837463</v>
      </c>
      <c r="H33" s="7">
        <v>0.48316949952566624</v>
      </c>
      <c r="I33" s="7">
        <v>793.53902968091893</v>
      </c>
      <c r="J33" s="7">
        <v>316.04710256711519</v>
      </c>
      <c r="K33" s="7">
        <v>4.7801484951317356E-2</v>
      </c>
      <c r="L33" s="7">
        <v>159521.38202933825</v>
      </c>
      <c r="M33" s="7">
        <v>0.10612038920660262</v>
      </c>
      <c r="N33" s="7">
        <v>0.51757640164272256</v>
      </c>
      <c r="O33" s="7">
        <v>228.3838922356245</v>
      </c>
      <c r="P33" s="7">
        <v>1460.225588721813</v>
      </c>
      <c r="Q33" s="7">
        <v>1430.7456173173196</v>
      </c>
    </row>
    <row r="34" spans="1:17" x14ac:dyDescent="0.25">
      <c r="A34" s="7">
        <v>104</v>
      </c>
      <c r="B34" s="7">
        <v>1.1856030783531044</v>
      </c>
      <c r="C34" s="7">
        <v>290.87176820320178</v>
      </c>
      <c r="D34" s="7">
        <v>37.270916706960286</v>
      </c>
      <c r="E34" s="7">
        <v>9.4928295838058771E-2</v>
      </c>
      <c r="F34" s="7">
        <v>100000</v>
      </c>
      <c r="G34" s="7">
        <v>3.8985622521999206</v>
      </c>
      <c r="H34" s="7">
        <v>0.48313568425013043</v>
      </c>
      <c r="I34" s="7">
        <v>796.65075205652408</v>
      </c>
      <c r="J34" s="7">
        <v>338.01091763924535</v>
      </c>
      <c r="K34" s="7">
        <v>4.9304970949501196E-2</v>
      </c>
      <c r="L34" s="7">
        <v>160306.63943405292</v>
      </c>
      <c r="M34" s="7">
        <v>0.10539651131362002</v>
      </c>
      <c r="N34" s="7">
        <v>0.51678500266931326</v>
      </c>
      <c r="O34" s="7">
        <v>228.34806867944664</v>
      </c>
      <c r="P34" s="7">
        <v>1462.8403526874401</v>
      </c>
      <c r="Q34" s="7">
        <v>1500.4122064224721</v>
      </c>
    </row>
    <row r="35" spans="1:17" x14ac:dyDescent="0.25">
      <c r="A35" s="7">
        <v>105</v>
      </c>
      <c r="B35" s="7">
        <v>1.1852717850404861</v>
      </c>
      <c r="C35" s="7">
        <v>290.67238560634337</v>
      </c>
      <c r="D35" s="7">
        <v>35.948298640150689</v>
      </c>
      <c r="E35" s="7">
        <v>9.3973519432397054E-2</v>
      </c>
      <c r="F35" s="7">
        <v>100000</v>
      </c>
      <c r="G35" s="7">
        <v>3.9063098142613386</v>
      </c>
      <c r="H35" s="7">
        <v>0.4854855178159625</v>
      </c>
      <c r="I35" s="7">
        <v>795.78655202404423</v>
      </c>
      <c r="J35" s="7">
        <v>324.92020896263239</v>
      </c>
      <c r="K35" s="7">
        <v>4.8881131379969328E-2</v>
      </c>
      <c r="L35" s="7">
        <v>160969.66214199801</v>
      </c>
      <c r="M35" s="7">
        <v>0.10524203670840609</v>
      </c>
      <c r="N35" s="7">
        <v>0.521277334663242</v>
      </c>
      <c r="O35" s="7">
        <v>228.54443626817346</v>
      </c>
      <c r="P35" s="7">
        <v>1448.2696794330286</v>
      </c>
      <c r="Q35" s="7">
        <v>1470.3786713717782</v>
      </c>
    </row>
    <row r="36" spans="1:17" x14ac:dyDescent="0.25">
      <c r="A36" s="7">
        <v>106</v>
      </c>
      <c r="B36" s="7">
        <v>1.185401268927079</v>
      </c>
      <c r="C36" s="7">
        <v>291.13596004691209</v>
      </c>
      <c r="D36" s="7">
        <v>36.123689588223677</v>
      </c>
      <c r="E36" s="7">
        <v>9.5870573770627701E-2</v>
      </c>
      <c r="F36" s="7">
        <v>100000</v>
      </c>
      <c r="G36" s="7">
        <v>4.1414911644811525</v>
      </c>
      <c r="H36" s="7">
        <v>0.48631752012515284</v>
      </c>
      <c r="I36" s="7">
        <v>797.24697166407134</v>
      </c>
      <c r="J36" s="7">
        <v>316.3361377701188</v>
      </c>
      <c r="K36" s="7">
        <v>4.6246750046409005E-2</v>
      </c>
      <c r="L36" s="7">
        <v>159279.91376759589</v>
      </c>
      <c r="M36" s="7">
        <v>0.10474522804541563</v>
      </c>
      <c r="N36" s="7">
        <v>0.51772328175695015</v>
      </c>
      <c r="O36" s="7">
        <v>227.44824674153534</v>
      </c>
      <c r="P36" s="7">
        <v>1437.7518393226655</v>
      </c>
      <c r="Q36" s="7">
        <v>1428.8184341581582</v>
      </c>
    </row>
    <row r="37" spans="1:17" x14ac:dyDescent="0.25">
      <c r="A37" s="7">
        <v>107</v>
      </c>
      <c r="B37" s="7">
        <v>1.1851976153587032</v>
      </c>
      <c r="C37" s="7">
        <v>290.68702310774239</v>
      </c>
      <c r="D37" s="7">
        <v>35.89033134622278</v>
      </c>
      <c r="E37" s="7">
        <v>9.6223071745720701E-2</v>
      </c>
      <c r="F37" s="7">
        <v>100000</v>
      </c>
      <c r="G37" s="7">
        <v>3.6291745213869442</v>
      </c>
      <c r="H37" s="7">
        <v>0.48628739263145609</v>
      </c>
      <c r="I37" s="7">
        <v>797.72890102731412</v>
      </c>
      <c r="J37" s="7">
        <v>338.87518191506615</v>
      </c>
      <c r="K37" s="7">
        <v>4.5501870489188335E-2</v>
      </c>
      <c r="L37" s="7">
        <v>159661.18203705383</v>
      </c>
      <c r="M37" s="7">
        <v>0.10530185205537931</v>
      </c>
      <c r="N37" s="7">
        <v>0.51812318186809758</v>
      </c>
      <c r="O37" s="7">
        <v>227.7932778067607</v>
      </c>
      <c r="P37" s="7">
        <v>1467.6055199768898</v>
      </c>
      <c r="Q37" s="7">
        <v>1487.8828664353859</v>
      </c>
    </row>
    <row r="38" spans="1:17" x14ac:dyDescent="0.25">
      <c r="A38" s="7">
        <v>108</v>
      </c>
      <c r="B38" s="7">
        <v>1.1850841535980055</v>
      </c>
      <c r="C38" s="7">
        <v>290.68586277171801</v>
      </c>
      <c r="D38" s="7">
        <v>36.183763869694097</v>
      </c>
      <c r="E38" s="7">
        <v>9.5872160516786875E-2</v>
      </c>
      <c r="F38" s="7">
        <v>100000</v>
      </c>
      <c r="G38" s="7">
        <v>3.8720937636453177</v>
      </c>
      <c r="H38" s="7">
        <v>0.48500321057333939</v>
      </c>
      <c r="I38" s="7">
        <v>798.9325823417023</v>
      </c>
      <c r="J38" s="7">
        <v>342.01320219848606</v>
      </c>
      <c r="K38" s="7">
        <v>4.9272912856550916E-2</v>
      </c>
      <c r="L38" s="7">
        <v>160972.97381231358</v>
      </c>
      <c r="M38" s="7">
        <v>0.10460493158266659</v>
      </c>
      <c r="N38" s="7">
        <v>0.51786970774799024</v>
      </c>
      <c r="O38" s="7">
        <v>228.07182974203531</v>
      </c>
      <c r="P38" s="7">
        <v>1471.8776316125029</v>
      </c>
      <c r="Q38" s="7">
        <v>1520.974965073452</v>
      </c>
    </row>
    <row r="39" spans="1:17" x14ac:dyDescent="0.25">
      <c r="A39" s="7">
        <v>109</v>
      </c>
      <c r="B39" s="7">
        <v>1.1858639892750469</v>
      </c>
      <c r="C39" s="7">
        <v>290.65548439735971</v>
      </c>
      <c r="D39" s="7">
        <v>35.87430108503294</v>
      </c>
      <c r="E39" s="7">
        <v>9.5892767484571248E-2</v>
      </c>
      <c r="F39" s="7">
        <v>100000</v>
      </c>
      <c r="G39" s="7">
        <v>3.6987676245543457</v>
      </c>
      <c r="H39" s="7">
        <v>0.48632620391154585</v>
      </c>
      <c r="I39" s="7">
        <v>802.09849515831604</v>
      </c>
      <c r="J39" s="7">
        <v>320.1752626777336</v>
      </c>
      <c r="K39" s="7">
        <v>4.5322889105799347E-2</v>
      </c>
      <c r="L39" s="7">
        <v>159204.21919069265</v>
      </c>
      <c r="M39" s="7">
        <v>0.10482837350209348</v>
      </c>
      <c r="N39" s="7">
        <v>0.5200366399651194</v>
      </c>
      <c r="O39" s="7">
        <v>228.43487261444594</v>
      </c>
      <c r="P39" s="7">
        <v>1439.4361633860874</v>
      </c>
      <c r="Q39" s="7">
        <v>1435.0519516513959</v>
      </c>
    </row>
    <row r="40" spans="1:17" x14ac:dyDescent="0.25">
      <c r="A40" s="7">
        <v>110</v>
      </c>
      <c r="B40" s="7">
        <v>1.1853949322602806</v>
      </c>
      <c r="C40" s="7">
        <v>291.12202172624427</v>
      </c>
      <c r="D40" s="7">
        <v>35.52893535464073</v>
      </c>
      <c r="E40" s="7">
        <v>9.4133346535832704E-2</v>
      </c>
      <c r="F40" s="7">
        <v>100000</v>
      </c>
      <c r="G40" s="7">
        <v>4.2085448063279447</v>
      </c>
      <c r="H40" s="7">
        <v>0.48656018566549136</v>
      </c>
      <c r="I40" s="7">
        <v>801.33025889562145</v>
      </c>
      <c r="J40" s="7">
        <v>337.20452280253585</v>
      </c>
      <c r="K40" s="7">
        <v>4.8899883062166263E-2</v>
      </c>
      <c r="L40" s="7">
        <v>161064.15635614653</v>
      </c>
      <c r="M40" s="7">
        <v>0.10538884518099706</v>
      </c>
      <c r="N40" s="7">
        <v>0.51886881125052753</v>
      </c>
      <c r="O40" s="7">
        <v>227.9160629496011</v>
      </c>
      <c r="P40" s="7">
        <v>1455.187054720202</v>
      </c>
      <c r="Q40" s="7">
        <v>1502.4643951253311</v>
      </c>
    </row>
    <row r="41" spans="1:17" x14ac:dyDescent="0.25">
      <c r="A41" s="7">
        <v>111</v>
      </c>
      <c r="B41" s="7">
        <v>1.1849720774346273</v>
      </c>
      <c r="C41" s="7">
        <v>291.12774403722307</v>
      </c>
      <c r="D41" s="7">
        <v>36.104362974988959</v>
      </c>
      <c r="E41" s="7">
        <v>9.5289777477784762E-2</v>
      </c>
      <c r="F41" s="7">
        <v>100000</v>
      </c>
      <c r="G41" s="7">
        <v>3.8421426182170233</v>
      </c>
      <c r="H41" s="7">
        <v>0.48609334280712363</v>
      </c>
      <c r="I41" s="7">
        <v>800.21509976482821</v>
      </c>
      <c r="J41" s="7">
        <v>326.80530442912101</v>
      </c>
      <c r="K41" s="7">
        <v>4.6624755079652518E-2</v>
      </c>
      <c r="L41" s="7">
        <v>161190.5607343702</v>
      </c>
      <c r="M41" s="7">
        <v>0.10601402740008199</v>
      </c>
      <c r="N41" s="7">
        <v>0.51835321108129973</v>
      </c>
      <c r="O41" s="7">
        <v>227.54355263606948</v>
      </c>
      <c r="P41" s="7">
        <v>1460.3262172706766</v>
      </c>
      <c r="Q41" s="7">
        <v>1453.5467334838395</v>
      </c>
    </row>
    <row r="42" spans="1:17" x14ac:dyDescent="0.25">
      <c r="A42" s="7">
        <v>112</v>
      </c>
      <c r="B42" s="7">
        <v>1.1856004381152114</v>
      </c>
      <c r="C42" s="7">
        <v>291.08537854430801</v>
      </c>
      <c r="D42" s="7">
        <v>36.246176841758711</v>
      </c>
      <c r="E42" s="7">
        <v>9.4681578353009985E-2</v>
      </c>
      <c r="F42" s="7">
        <v>100000</v>
      </c>
      <c r="G42" s="7">
        <v>3.6810489289296342</v>
      </c>
      <c r="H42" s="7">
        <v>0.48502259454148533</v>
      </c>
      <c r="I42" s="7">
        <v>800.62488367077754</v>
      </c>
      <c r="J42" s="7">
        <v>318.72553649446587</v>
      </c>
      <c r="K42" s="7">
        <v>4.7269471852693576E-2</v>
      </c>
      <c r="L42" s="7">
        <v>159230.8598120519</v>
      </c>
      <c r="M42" s="7">
        <v>0.10543678541827572</v>
      </c>
      <c r="N42" s="7">
        <v>0.52001667840913746</v>
      </c>
      <c r="O42" s="7">
        <v>228.36971513629561</v>
      </c>
      <c r="P42" s="7">
        <v>1470.5175583634991</v>
      </c>
      <c r="Q42" s="7">
        <v>1407.3689248272494</v>
      </c>
    </row>
    <row r="43" spans="1:17" x14ac:dyDescent="0.25">
      <c r="A43" s="7">
        <v>113</v>
      </c>
      <c r="B43" s="7">
        <v>1.1852554221876754</v>
      </c>
      <c r="C43" s="7">
        <v>291.01448995182022</v>
      </c>
      <c r="D43" s="7">
        <v>36.39104930922722</v>
      </c>
      <c r="E43" s="7">
        <v>9.4314805798965298E-2</v>
      </c>
      <c r="F43" s="7">
        <v>100000</v>
      </c>
      <c r="G43" s="7">
        <v>3.7297737481786779</v>
      </c>
      <c r="H43" s="7">
        <v>0.4838598046652709</v>
      </c>
      <c r="I43" s="7">
        <v>801.46548894526404</v>
      </c>
      <c r="J43" s="7">
        <v>324.73218377557771</v>
      </c>
      <c r="K43" s="7">
        <v>4.6423093545839435E-2</v>
      </c>
      <c r="L43" s="7">
        <v>160484.71107263354</v>
      </c>
      <c r="M43" s="7">
        <v>0.10531563806183572</v>
      </c>
      <c r="N43" s="7">
        <v>0.5178399653853849</v>
      </c>
      <c r="O43" s="7">
        <v>228.45472692562365</v>
      </c>
      <c r="P43" s="7">
        <v>1447.9894559678667</v>
      </c>
      <c r="Q43" s="7">
        <v>1441.2355955614985</v>
      </c>
    </row>
    <row r="44" spans="1:17" x14ac:dyDescent="0.25">
      <c r="A44" s="7">
        <v>114</v>
      </c>
      <c r="B44" s="7">
        <v>1.1855613109669594</v>
      </c>
      <c r="C44" s="7">
        <v>290.72241714581457</v>
      </c>
      <c r="D44" s="7">
        <v>37.007556427004992</v>
      </c>
      <c r="E44" s="7">
        <v>9.4855322870259703E-2</v>
      </c>
      <c r="F44" s="7">
        <v>100000</v>
      </c>
      <c r="G44" s="7">
        <v>3.9806787648457846</v>
      </c>
      <c r="H44" s="7">
        <v>0.48652589791195761</v>
      </c>
      <c r="I44" s="7">
        <v>796.88150633739565</v>
      </c>
      <c r="J44" s="7">
        <v>320.44326501993908</v>
      </c>
      <c r="K44" s="7">
        <v>4.6215335038521238E-2</v>
      </c>
      <c r="L44" s="7">
        <v>160718.66065643032</v>
      </c>
      <c r="M44" s="7">
        <v>0.1049617471975946</v>
      </c>
      <c r="N44" s="7">
        <v>0.51834946916845137</v>
      </c>
      <c r="O44" s="7">
        <v>227.97145912964211</v>
      </c>
      <c r="P44" s="7">
        <v>1448.0351707812581</v>
      </c>
      <c r="Q44" s="7">
        <v>1465.1203504486984</v>
      </c>
    </row>
    <row r="45" spans="1:17" x14ac:dyDescent="0.25">
      <c r="A45" s="7">
        <v>115</v>
      </c>
      <c r="B45" s="7">
        <v>1.1857110421347192</v>
      </c>
      <c r="C45" s="7">
        <v>290.89563011481096</v>
      </c>
      <c r="D45" s="7">
        <v>36.660495044914221</v>
      </c>
      <c r="E45" s="7">
        <v>9.4759804887836349E-2</v>
      </c>
      <c r="F45" s="7">
        <v>100000</v>
      </c>
      <c r="G45" s="7">
        <v>3.6830730229944182</v>
      </c>
      <c r="H45" s="7">
        <v>0.48578175749484537</v>
      </c>
      <c r="I45" s="7">
        <v>795.88560247383646</v>
      </c>
      <c r="J45" s="7">
        <v>319.31812963688452</v>
      </c>
      <c r="K45" s="7">
        <v>4.6551016278369148E-2</v>
      </c>
      <c r="L45" s="7">
        <v>160906.01099883055</v>
      </c>
      <c r="M45" s="7">
        <v>0.10502464713703268</v>
      </c>
      <c r="N45" s="7">
        <v>0.51939369971097704</v>
      </c>
      <c r="O45" s="7">
        <v>228.1153785277842</v>
      </c>
      <c r="P45" s="7">
        <v>1461.6311667083723</v>
      </c>
      <c r="Q45" s="7">
        <v>1432.1975041956684</v>
      </c>
    </row>
    <row r="46" spans="1:17" x14ac:dyDescent="0.25">
      <c r="A46" s="7">
        <v>116</v>
      </c>
      <c r="B46" s="7">
        <v>1.1850950278349788</v>
      </c>
      <c r="C46" s="7">
        <v>290.69982398139234</v>
      </c>
      <c r="D46" s="7">
        <v>36.038995745798871</v>
      </c>
      <c r="E46" s="7">
        <v>9.5523771429742554E-2</v>
      </c>
      <c r="F46" s="7">
        <v>100000</v>
      </c>
      <c r="G46" s="7">
        <v>3.7046293258923053</v>
      </c>
      <c r="H46" s="7">
        <v>0.48651774213409049</v>
      </c>
      <c r="I46" s="7">
        <v>801.13657550063022</v>
      </c>
      <c r="J46" s="7">
        <v>332.66766354973095</v>
      </c>
      <c r="K46" s="7">
        <v>4.8705080606317841E-2</v>
      </c>
      <c r="L46" s="7">
        <v>159228.65898581737</v>
      </c>
      <c r="M46" s="7">
        <v>0.1053332934196814</v>
      </c>
      <c r="N46" s="7">
        <v>0.51819026581486993</v>
      </c>
      <c r="O46" s="7">
        <v>227.92147462103742</v>
      </c>
      <c r="P46" s="7">
        <v>1459.3209697080085</v>
      </c>
      <c r="Q46" s="7">
        <v>1472.2497841705845</v>
      </c>
    </row>
    <row r="47" spans="1:17" x14ac:dyDescent="0.25">
      <c r="A47" s="7">
        <v>117</v>
      </c>
      <c r="B47" s="7">
        <v>1.1851146863121906</v>
      </c>
      <c r="C47" s="7">
        <v>290.71118505485668</v>
      </c>
      <c r="D47" s="7">
        <v>36.969780037076156</v>
      </c>
      <c r="E47" s="7">
        <v>9.4574725330425533E-2</v>
      </c>
      <c r="F47" s="7">
        <v>100000</v>
      </c>
      <c r="G47" s="7">
        <v>4.1063735445250806</v>
      </c>
      <c r="H47" s="7">
        <v>0.48455345937146416</v>
      </c>
      <c r="I47" s="7">
        <v>796.96193110300237</v>
      </c>
      <c r="J47" s="7">
        <v>330.08101555211516</v>
      </c>
      <c r="K47" s="7">
        <v>4.9205703838672371E-2</v>
      </c>
      <c r="L47" s="7">
        <v>160714.82491904515</v>
      </c>
      <c r="M47" s="7">
        <v>0.10495504164243215</v>
      </c>
      <c r="N47" s="7">
        <v>0.51825352825563442</v>
      </c>
      <c r="O47" s="7">
        <v>227.64039196800925</v>
      </c>
      <c r="P47" s="7">
        <v>1454.0085593393812</v>
      </c>
      <c r="Q47" s="7">
        <v>1502.7739869592988</v>
      </c>
    </row>
    <row r="48" spans="1:17" x14ac:dyDescent="0.25">
      <c r="A48" s="7">
        <v>118</v>
      </c>
      <c r="B48" s="7">
        <v>1.1857873553771774</v>
      </c>
      <c r="C48" s="7">
        <v>290.77934642943802</v>
      </c>
      <c r="D48" s="7">
        <v>36.694019529868278</v>
      </c>
      <c r="E48" s="7">
        <v>9.5449400909107585E-2</v>
      </c>
      <c r="F48" s="7">
        <v>100000</v>
      </c>
      <c r="G48" s="7">
        <v>3.9426447942131251</v>
      </c>
      <c r="H48" s="7">
        <v>0.48616588524291382</v>
      </c>
      <c r="I48" s="7">
        <v>801.68947515730633</v>
      </c>
      <c r="J48" s="7">
        <v>331.35981009439155</v>
      </c>
      <c r="K48" s="7">
        <v>4.5427383362102544E-2</v>
      </c>
      <c r="L48" s="7">
        <v>159805.50074676634</v>
      </c>
      <c r="M48" s="7">
        <v>0.10461888150133668</v>
      </c>
      <c r="N48" s="7">
        <v>0.51966483128764163</v>
      </c>
      <c r="O48" s="7">
        <v>227.6181385595971</v>
      </c>
      <c r="P48" s="7">
        <v>1462.6421608377384</v>
      </c>
      <c r="Q48" s="7">
        <v>1487.0443308477334</v>
      </c>
    </row>
    <row r="49" spans="1:17" x14ac:dyDescent="0.25">
      <c r="A49" s="7">
        <v>119</v>
      </c>
      <c r="B49" s="7">
        <v>1.1858174537261141</v>
      </c>
      <c r="C49" s="7">
        <v>291.04573583873088</v>
      </c>
      <c r="D49" s="7">
        <v>36.049494784991253</v>
      </c>
      <c r="E49" s="7">
        <v>9.4658922411520796E-2</v>
      </c>
      <c r="F49" s="7">
        <v>100000</v>
      </c>
      <c r="G49" s="7">
        <v>4.0678672215285241</v>
      </c>
      <c r="H49" s="7">
        <v>0.48572644676521021</v>
      </c>
      <c r="I49" s="7">
        <v>797.59263464900482</v>
      </c>
      <c r="J49" s="7">
        <v>323.93652036508826</v>
      </c>
      <c r="K49" s="7">
        <v>4.8135945982078363E-2</v>
      </c>
      <c r="L49" s="7">
        <v>161138.83243113835</v>
      </c>
      <c r="M49" s="7">
        <v>0.10591634178980673</v>
      </c>
      <c r="N49" s="7">
        <v>0.51821749107579784</v>
      </c>
      <c r="O49" s="7">
        <v>227.70863110418253</v>
      </c>
      <c r="P49" s="7">
        <v>1449.4018275222757</v>
      </c>
      <c r="Q49" s="7">
        <v>1462.0242576754463</v>
      </c>
    </row>
    <row r="50" spans="1:17" x14ac:dyDescent="0.25">
      <c r="A50" s="7">
        <v>120</v>
      </c>
      <c r="B50" s="7">
        <v>1.1850585793397121</v>
      </c>
      <c r="C50" s="7">
        <v>291.01723007987738</v>
      </c>
      <c r="D50" s="7">
        <v>35.977406455844083</v>
      </c>
      <c r="E50" s="7">
        <v>9.5170409920974447E-2</v>
      </c>
      <c r="F50" s="7">
        <v>100000</v>
      </c>
      <c r="G50" s="7">
        <v>3.8536087259522702</v>
      </c>
      <c r="H50" s="7">
        <v>0.48420960743946106</v>
      </c>
      <c r="I50" s="7">
        <v>797.50779088735533</v>
      </c>
      <c r="J50" s="7">
        <v>321.98913468212061</v>
      </c>
      <c r="K50" s="7">
        <v>4.892804169276202E-2</v>
      </c>
      <c r="L50" s="7">
        <v>159540.47792794689</v>
      </c>
      <c r="M50" s="7">
        <v>0.10590255435189391</v>
      </c>
      <c r="N50" s="7">
        <v>0.51861773392421218</v>
      </c>
      <c r="O50" s="7">
        <v>227.99200975247032</v>
      </c>
      <c r="P50" s="7">
        <v>1455.0503528432882</v>
      </c>
      <c r="Q50" s="7">
        <v>1433.0910328039245</v>
      </c>
    </row>
    <row r="51" spans="1:17" x14ac:dyDescent="0.25">
      <c r="A51" s="7">
        <v>121</v>
      </c>
      <c r="B51" s="7">
        <v>1.1857675782763282</v>
      </c>
      <c r="C51" s="7">
        <v>290.94260013052354</v>
      </c>
      <c r="D51" s="7">
        <v>36.35383209759879</v>
      </c>
      <c r="E51" s="7">
        <v>9.450754420231354E-2</v>
      </c>
      <c r="F51" s="7">
        <v>100000</v>
      </c>
      <c r="G51" s="7">
        <v>3.9303450904458312</v>
      </c>
      <c r="H51" s="7">
        <v>0.48565350166309251</v>
      </c>
      <c r="I51" s="7">
        <v>800.10358213714278</v>
      </c>
      <c r="J51" s="7">
        <v>331.70736230814816</v>
      </c>
      <c r="K51" s="7">
        <v>4.9121704371373316E-2</v>
      </c>
      <c r="L51" s="7">
        <v>159918.43591897577</v>
      </c>
      <c r="M51" s="7">
        <v>0.10503710524679406</v>
      </c>
      <c r="N51" s="7">
        <v>0.51913068688334663</v>
      </c>
      <c r="O51" s="7">
        <v>228.21739702360929</v>
      </c>
      <c r="P51" s="7">
        <v>1459.5661111692773</v>
      </c>
      <c r="Q51" s="7">
        <v>1474.6718928016999</v>
      </c>
    </row>
    <row r="52" spans="1:17" x14ac:dyDescent="0.25">
      <c r="A52" s="7">
        <v>122</v>
      </c>
      <c r="B52" s="7">
        <v>1.1855197723245849</v>
      </c>
      <c r="C52" s="7">
        <v>290.83257081905748</v>
      </c>
      <c r="D52" s="7">
        <v>36.19044714810282</v>
      </c>
      <c r="E52" s="7">
        <v>9.4779865284073922E-2</v>
      </c>
      <c r="F52" s="7">
        <v>100000</v>
      </c>
      <c r="G52" s="7">
        <v>3.7751554258818527</v>
      </c>
      <c r="H52" s="7">
        <v>0.4853091640070461</v>
      </c>
      <c r="I52" s="7">
        <v>799.62556963272095</v>
      </c>
      <c r="J52" s="7">
        <v>323.69243851590284</v>
      </c>
      <c r="K52" s="7">
        <v>4.8989829144396653E-2</v>
      </c>
      <c r="L52" s="7">
        <v>160008.90620699408</v>
      </c>
      <c r="M52" s="7">
        <v>0.1058715204332266</v>
      </c>
      <c r="N52" s="7">
        <v>0.51839298032855319</v>
      </c>
      <c r="O52" s="7">
        <v>228.05719349621569</v>
      </c>
      <c r="P52" s="7">
        <v>1469.341544399869</v>
      </c>
      <c r="Q52" s="7">
        <v>1447.7388822283174</v>
      </c>
    </row>
    <row r="53" spans="1:17" x14ac:dyDescent="0.25">
      <c r="A53" s="7">
        <v>123</v>
      </c>
      <c r="B53" s="7">
        <v>1.1851954851847732</v>
      </c>
      <c r="C53" s="7">
        <v>291.04515596634627</v>
      </c>
      <c r="D53" s="7">
        <v>36.5555365978705</v>
      </c>
      <c r="E53" s="7">
        <v>9.4344858608573418E-2</v>
      </c>
      <c r="F53" s="7">
        <v>100000</v>
      </c>
      <c r="G53" s="7">
        <v>3.7654543036391757</v>
      </c>
      <c r="H53" s="7">
        <v>0.48525363921145975</v>
      </c>
      <c r="I53" s="7">
        <v>796.36027534818777</v>
      </c>
      <c r="J53" s="7">
        <v>330.84405416033854</v>
      </c>
      <c r="K53" s="7">
        <v>4.8642804531995543E-2</v>
      </c>
      <c r="L53" s="7">
        <v>160949.53766279345</v>
      </c>
      <c r="M53" s="7">
        <v>0.10523488701484963</v>
      </c>
      <c r="N53" s="7">
        <v>0.51861474117432893</v>
      </c>
      <c r="O53" s="7">
        <v>228.08696855024834</v>
      </c>
      <c r="P53" s="7">
        <v>1469.1260444287418</v>
      </c>
      <c r="Q53" s="7">
        <v>1462.4297931859546</v>
      </c>
    </row>
    <row r="54" spans="1:17" x14ac:dyDescent="0.25">
      <c r="A54" s="7">
        <v>124</v>
      </c>
      <c r="B54" s="7">
        <v>1.1857400411015437</v>
      </c>
      <c r="C54" s="7">
        <v>290.70727034594802</v>
      </c>
      <c r="D54" s="7">
        <v>36.200944649358192</v>
      </c>
      <c r="E54" s="7">
        <v>9.5352867956127269E-2</v>
      </c>
      <c r="F54" s="7">
        <v>100000</v>
      </c>
      <c r="G54" s="7">
        <v>3.7727490512490642</v>
      </c>
      <c r="H54" s="7">
        <v>0.48489533897314541</v>
      </c>
      <c r="I54" s="7">
        <v>801.42696824455015</v>
      </c>
      <c r="J54" s="7">
        <v>329.38343744135011</v>
      </c>
      <c r="K54" s="7">
        <v>4.6868594806323181E-2</v>
      </c>
      <c r="L54" s="7">
        <v>159283.31420160539</v>
      </c>
      <c r="M54" s="7">
        <v>0.10480211021012395</v>
      </c>
      <c r="N54" s="7">
        <v>0.51838693594971275</v>
      </c>
      <c r="O54" s="7">
        <v>228.13643484325027</v>
      </c>
      <c r="P54" s="7">
        <v>1462.0216110168008</v>
      </c>
      <c r="Q54" s="7">
        <v>1467.1086161068451</v>
      </c>
    </row>
    <row r="55" spans="1:17" x14ac:dyDescent="0.25">
      <c r="A55" s="7">
        <v>125</v>
      </c>
      <c r="B55" s="7">
        <v>1.1852633121892369</v>
      </c>
      <c r="C55" s="7">
        <v>291.0182681596653</v>
      </c>
      <c r="D55" s="7">
        <v>36.626700609393517</v>
      </c>
      <c r="E55" s="7">
        <v>9.5492107429794623E-2</v>
      </c>
      <c r="F55" s="7">
        <v>100000</v>
      </c>
      <c r="G55" s="7">
        <v>3.7115391685033297</v>
      </c>
      <c r="H55" s="7">
        <v>0.48432749335631081</v>
      </c>
      <c r="I55" s="7">
        <v>801.4724911447596</v>
      </c>
      <c r="J55" s="7">
        <v>330.30596663223486</v>
      </c>
      <c r="K55" s="7">
        <v>4.7949040774583368E-2</v>
      </c>
      <c r="L55" s="7">
        <v>160300.21218953459</v>
      </c>
      <c r="M55" s="7">
        <v>0.10573609152227664</v>
      </c>
      <c r="N55" s="7">
        <v>0.5183416331779187</v>
      </c>
      <c r="O55" s="7">
        <v>227.95257523336542</v>
      </c>
      <c r="P55" s="7">
        <v>1461.0929443136065</v>
      </c>
      <c r="Q55" s="7">
        <v>1457.7052740785803</v>
      </c>
    </row>
    <row r="56" spans="1:17" x14ac:dyDescent="0.25">
      <c r="A56" s="7">
        <v>126</v>
      </c>
      <c r="B56" s="7">
        <v>1.1851560210651304</v>
      </c>
      <c r="C56" s="7">
        <v>290.91480648443616</v>
      </c>
      <c r="D56" s="7">
        <v>36.097670537420505</v>
      </c>
      <c r="E56" s="7">
        <v>9.519948953435807E-2</v>
      </c>
      <c r="F56" s="7">
        <v>100000</v>
      </c>
      <c r="G56" s="7">
        <v>3.9443097718112137</v>
      </c>
      <c r="H56" s="7">
        <v>0.48501803661479814</v>
      </c>
      <c r="I56" s="7">
        <v>798.62329553674772</v>
      </c>
      <c r="J56" s="7">
        <v>328.81910594198604</v>
      </c>
      <c r="K56" s="7">
        <v>4.6450157106143468E-2</v>
      </c>
      <c r="L56" s="7">
        <v>160131.21420944165</v>
      </c>
      <c r="M56" s="7">
        <v>0.10497208866063697</v>
      </c>
      <c r="N56" s="7">
        <v>0.51865297724801096</v>
      </c>
      <c r="O56" s="7">
        <v>227.95747478730448</v>
      </c>
      <c r="P56" s="7">
        <v>1457.8860669175187</v>
      </c>
      <c r="Q56" s="7">
        <v>1469.3200459400468</v>
      </c>
    </row>
    <row r="57" spans="1:17" x14ac:dyDescent="0.25">
      <c r="A57" s="7">
        <v>127</v>
      </c>
      <c r="B57" s="7">
        <v>1.1851761250997923</v>
      </c>
      <c r="C57" s="7">
        <v>291.02087036954026</v>
      </c>
      <c r="D57" s="7">
        <v>36.157249465343682</v>
      </c>
      <c r="E57" s="7">
        <v>9.5152484932385276E-2</v>
      </c>
      <c r="F57" s="7">
        <v>100000</v>
      </c>
      <c r="G57" s="7">
        <v>4.0702874752163201</v>
      </c>
      <c r="H57" s="7">
        <v>0.4857855483743912</v>
      </c>
      <c r="I57" s="7">
        <v>801.50987037318441</v>
      </c>
      <c r="J57" s="7">
        <v>329.25009933650239</v>
      </c>
      <c r="K57" s="7">
        <v>4.8125144347117677E-2</v>
      </c>
      <c r="L57" s="7">
        <v>160737.75001685836</v>
      </c>
      <c r="M57" s="7">
        <v>0.10548417312625856</v>
      </c>
      <c r="N57" s="7">
        <v>0.51838729930191108</v>
      </c>
      <c r="O57" s="7">
        <v>227.81395030689424</v>
      </c>
      <c r="P57" s="7">
        <v>1456.1529388703539</v>
      </c>
      <c r="Q57" s="7">
        <v>1478.010920801833</v>
      </c>
    </row>
    <row r="58" spans="1:17" x14ac:dyDescent="0.25">
      <c r="A58" s="7">
        <v>128</v>
      </c>
      <c r="B58" s="7">
        <v>1.1853382960026033</v>
      </c>
      <c r="C58" s="7">
        <v>290.92067560882919</v>
      </c>
      <c r="D58" s="7">
        <v>36.628143071212698</v>
      </c>
      <c r="E58" s="7">
        <v>9.4467065515530024E-2</v>
      </c>
      <c r="F58" s="7">
        <v>100000</v>
      </c>
      <c r="G58" s="7">
        <v>3.902738082405897</v>
      </c>
      <c r="H58" s="7">
        <v>0.48521683152365624</v>
      </c>
      <c r="I58" s="7">
        <v>797.05621020953413</v>
      </c>
      <c r="J58" s="7">
        <v>324.46384823627363</v>
      </c>
      <c r="K58" s="7">
        <v>4.5681007170769297E-2</v>
      </c>
      <c r="L58" s="7">
        <v>160521.17145940432</v>
      </c>
      <c r="M58" s="7">
        <v>0.10485407831390012</v>
      </c>
      <c r="N58" s="7">
        <v>0.51882822130734318</v>
      </c>
      <c r="O58" s="7">
        <v>228.04083320869304</v>
      </c>
      <c r="P58" s="7">
        <v>1458.0865803043059</v>
      </c>
      <c r="Q58" s="7">
        <v>1457.6898068014343</v>
      </c>
    </row>
    <row r="59" spans="1:17" x14ac:dyDescent="0.25">
      <c r="A59" s="7">
        <v>129</v>
      </c>
      <c r="B59" s="7">
        <v>1.1856959832265177</v>
      </c>
      <c r="C59" s="7">
        <v>290.78885546810477</v>
      </c>
      <c r="D59" s="7">
        <v>36.499318725066146</v>
      </c>
      <c r="E59" s="7">
        <v>9.4973669302469546E-2</v>
      </c>
      <c r="F59" s="7">
        <v>100000</v>
      </c>
      <c r="G59" s="7">
        <v>3.7854017655629755</v>
      </c>
      <c r="H59" s="7">
        <v>0.48539851454008037</v>
      </c>
      <c r="I59" s="7">
        <v>799.36074974661221</v>
      </c>
      <c r="J59" s="7">
        <v>326.69627173583183</v>
      </c>
      <c r="K59" s="7">
        <v>4.6826349441206408E-2</v>
      </c>
      <c r="L59" s="7">
        <v>159616.72723592762</v>
      </c>
      <c r="M59" s="7">
        <v>0.10535797077078742</v>
      </c>
      <c r="N59" s="7">
        <v>0.51853668821738597</v>
      </c>
      <c r="O59" s="7">
        <v>227.78069408951652</v>
      </c>
      <c r="P59" s="7">
        <v>1461.7129304067219</v>
      </c>
      <c r="Q59" s="7">
        <v>1459.4152110360374</v>
      </c>
    </row>
    <row r="60" spans="1:17" x14ac:dyDescent="0.25">
      <c r="A60" s="7">
        <v>130</v>
      </c>
      <c r="B60" s="7">
        <v>1.18525856375966</v>
      </c>
      <c r="C60" s="7">
        <v>290.98680209040049</v>
      </c>
      <c r="D60" s="7">
        <v>36.288346232972458</v>
      </c>
      <c r="E60" s="7">
        <v>9.5061646642080097E-2</v>
      </c>
      <c r="F60" s="7">
        <v>100000</v>
      </c>
      <c r="G60" s="7">
        <v>3.9436950370473189</v>
      </c>
      <c r="H60" s="7">
        <v>0.48488497248502749</v>
      </c>
      <c r="I60" s="7">
        <v>800.13108069340478</v>
      </c>
      <c r="J60" s="7">
        <v>322.55233255154275</v>
      </c>
      <c r="K60" s="7">
        <v>4.683185686497511E-2</v>
      </c>
      <c r="L60" s="7">
        <v>159545.25479787713</v>
      </c>
      <c r="M60" s="7">
        <v>0.10490405328717116</v>
      </c>
      <c r="N60" s="7">
        <v>0.51848529535396237</v>
      </c>
      <c r="O60" s="7">
        <v>228.00741410095375</v>
      </c>
      <c r="P60" s="7">
        <v>1467.4369096414093</v>
      </c>
      <c r="Q60" s="7">
        <v>1444.4015201750954</v>
      </c>
    </row>
    <row r="61" spans="1:17" x14ac:dyDescent="0.25">
      <c r="A61" s="7">
        <v>131</v>
      </c>
      <c r="B61" s="7">
        <v>1.1852799590341787</v>
      </c>
      <c r="C61" s="7">
        <v>290.72423755618689</v>
      </c>
      <c r="D61" s="7">
        <v>36.610870288037489</v>
      </c>
      <c r="E61" s="7">
        <v>9.4703906031032917E-2</v>
      </c>
      <c r="F61" s="7">
        <v>100000</v>
      </c>
      <c r="G61" s="7">
        <v>3.8932073383816608</v>
      </c>
      <c r="H61" s="7">
        <v>0.48493268861094696</v>
      </c>
      <c r="I61" s="7">
        <v>798.3829996273721</v>
      </c>
      <c r="J61" s="7">
        <v>322.5831729083859</v>
      </c>
      <c r="K61" s="7">
        <v>4.6069709122255095E-2</v>
      </c>
      <c r="L61" s="7">
        <v>160344.40171670858</v>
      </c>
      <c r="M61" s="7">
        <v>0.104868745128636</v>
      </c>
      <c r="N61" s="7">
        <v>0.51889902996607418</v>
      </c>
      <c r="O61" s="7">
        <v>228.01301954368424</v>
      </c>
      <c r="P61" s="7">
        <v>1468.6345913489129</v>
      </c>
      <c r="Q61" s="7">
        <v>1461.950699799163</v>
      </c>
    </row>
    <row r="62" spans="1:17" x14ac:dyDescent="0.25">
      <c r="A62" s="7">
        <v>132</v>
      </c>
      <c r="B62" s="7">
        <v>1.1856141493766079</v>
      </c>
      <c r="C62" s="7">
        <v>290.78202393822448</v>
      </c>
      <c r="D62" s="7">
        <v>36.565809082446975</v>
      </c>
      <c r="E62" s="7">
        <v>9.5025836186423684E-2</v>
      </c>
      <c r="F62" s="7">
        <v>100000</v>
      </c>
      <c r="G62" s="7">
        <v>3.8166347839601849</v>
      </c>
      <c r="H62" s="7">
        <v>0.48539885683628992</v>
      </c>
      <c r="I62" s="7">
        <v>798.52337270693351</v>
      </c>
      <c r="J62" s="7">
        <v>325.42552680397176</v>
      </c>
      <c r="K62" s="7">
        <v>4.7202519875606926E-2</v>
      </c>
      <c r="L62" s="7">
        <v>159342.332707286</v>
      </c>
      <c r="M62" s="7">
        <v>0.10532010732073932</v>
      </c>
      <c r="N62" s="7">
        <v>0.51863903935973743</v>
      </c>
      <c r="O62" s="7">
        <v>227.89845430686552</v>
      </c>
      <c r="P62" s="7">
        <v>1463.4787779529131</v>
      </c>
      <c r="Q62" s="7">
        <v>1455.862520684539</v>
      </c>
    </row>
    <row r="63" spans="1:17" x14ac:dyDescent="0.25">
      <c r="A63" s="7">
        <v>133</v>
      </c>
      <c r="B63" s="7">
        <v>1.1857319868232925</v>
      </c>
      <c r="C63" s="7">
        <v>290.90975501790183</v>
      </c>
      <c r="D63" s="7">
        <v>36.137607479599538</v>
      </c>
      <c r="E63" s="7">
        <v>9.4614734377824333E-2</v>
      </c>
      <c r="F63" s="7">
        <v>100000</v>
      </c>
      <c r="G63" s="7">
        <v>3.7794500730893694</v>
      </c>
      <c r="H63" s="7">
        <v>0.48499891702281517</v>
      </c>
      <c r="I63" s="7">
        <v>798.04396426368464</v>
      </c>
      <c r="J63" s="7">
        <v>325.30700811216673</v>
      </c>
      <c r="K63" s="7">
        <v>4.7833789087243762E-2</v>
      </c>
      <c r="L63" s="7">
        <v>160491.62319061809</v>
      </c>
      <c r="M63" s="7">
        <v>0.10492217367002118</v>
      </c>
      <c r="N63" s="7">
        <v>0.51888291542211473</v>
      </c>
      <c r="O63" s="7">
        <v>228.13194001577443</v>
      </c>
      <c r="P63" s="7">
        <v>1466.939308398667</v>
      </c>
      <c r="Q63" s="7">
        <v>1450.4744742658731</v>
      </c>
    </row>
    <row r="64" spans="1:17" x14ac:dyDescent="0.25">
      <c r="A64" s="7">
        <v>134</v>
      </c>
      <c r="B64" s="7">
        <v>1.185626339569696</v>
      </c>
      <c r="C64" s="7">
        <v>290.95761490217478</v>
      </c>
      <c r="D64" s="7">
        <v>36.212548784108087</v>
      </c>
      <c r="E64" s="7">
        <v>9.4998545347857205E-2</v>
      </c>
      <c r="F64" s="7">
        <v>100000</v>
      </c>
      <c r="G64" s="7">
        <v>3.8401536121039568</v>
      </c>
      <c r="H64" s="7">
        <v>0.48489412057561598</v>
      </c>
      <c r="I64" s="7">
        <v>800.93964818438894</v>
      </c>
      <c r="J64" s="7">
        <v>327.29806976361323</v>
      </c>
      <c r="K64" s="7">
        <v>4.6258671421775047E-2</v>
      </c>
      <c r="L64" s="7">
        <v>160014.37264440898</v>
      </c>
      <c r="M64" s="7">
        <v>0.10557134980941911</v>
      </c>
      <c r="N64" s="7">
        <v>0.51859627482629156</v>
      </c>
      <c r="O64" s="7">
        <v>228.02948583674296</v>
      </c>
      <c r="P64" s="7">
        <v>1459.1582384259268</v>
      </c>
      <c r="Q64" s="7">
        <v>1456.2442299653121</v>
      </c>
    </row>
    <row r="65" spans="1:17" x14ac:dyDescent="0.25">
      <c r="A65" s="7">
        <v>135</v>
      </c>
      <c r="B65" s="7">
        <v>1.1854151689968901</v>
      </c>
      <c r="C65" s="7">
        <v>290.88993107979394</v>
      </c>
      <c r="D65" s="7">
        <v>36.329490202788584</v>
      </c>
      <c r="E65" s="7">
        <v>9.54827767147646E-2</v>
      </c>
      <c r="F65" s="7">
        <v>100000</v>
      </c>
      <c r="G65" s="7">
        <v>3.8655850748299772</v>
      </c>
      <c r="H65" s="7">
        <v>0.48564158220307579</v>
      </c>
      <c r="I65" s="7">
        <v>797.32653392934992</v>
      </c>
      <c r="J65" s="7">
        <v>329.3199740558556</v>
      </c>
      <c r="K65" s="7">
        <v>4.7560400967755684E-2</v>
      </c>
      <c r="L65" s="7">
        <v>159388.79091258618</v>
      </c>
      <c r="M65" s="7">
        <v>0.10562314557057265</v>
      </c>
      <c r="N65" s="7">
        <v>0.51867461079961941</v>
      </c>
      <c r="O65" s="7">
        <v>227.9663564493186</v>
      </c>
      <c r="P65" s="7">
        <v>1460.832127523754</v>
      </c>
      <c r="Q65" s="7">
        <v>1463.0677676561099</v>
      </c>
    </row>
    <row r="66" spans="1:17" x14ac:dyDescent="0.25">
      <c r="A66" s="7">
        <v>136</v>
      </c>
      <c r="B66" s="7">
        <v>1.1855222664955791</v>
      </c>
      <c r="C66" s="7">
        <v>290.77590220739904</v>
      </c>
      <c r="D66" s="7">
        <v>36.59080634999868</v>
      </c>
      <c r="E66" s="7">
        <v>9.5284655848783623E-2</v>
      </c>
      <c r="F66" s="7">
        <v>100000</v>
      </c>
      <c r="G66" s="7">
        <v>3.8596556710848389</v>
      </c>
      <c r="H66" s="7">
        <v>0.4856814545808813</v>
      </c>
      <c r="I66" s="7">
        <v>799.2043841516014</v>
      </c>
      <c r="J66" s="7">
        <v>327.71161376979654</v>
      </c>
      <c r="K66" s="7">
        <v>4.6400408073514567E-2</v>
      </c>
      <c r="L66" s="7">
        <v>160178.68138624507</v>
      </c>
      <c r="M66" s="7">
        <v>0.10488264263380719</v>
      </c>
      <c r="N66" s="7">
        <v>0.51854842612635277</v>
      </c>
      <c r="O66" s="7">
        <v>228.08775192898489</v>
      </c>
      <c r="P66" s="7">
        <v>1466.3190475776539</v>
      </c>
      <c r="Q66" s="7">
        <v>1470.6954803689659</v>
      </c>
    </row>
    <row r="67" spans="1:17" x14ac:dyDescent="0.25">
      <c r="A67" s="7">
        <v>137</v>
      </c>
      <c r="B67" s="7">
        <v>1.1854062905566081</v>
      </c>
      <c r="C67" s="7">
        <v>290.83023563293824</v>
      </c>
      <c r="D67" s="7">
        <v>36.568942139150529</v>
      </c>
      <c r="E67" s="7">
        <v>9.4601829882322838E-2</v>
      </c>
      <c r="F67" s="7">
        <v>100000</v>
      </c>
      <c r="G67" s="7">
        <v>3.7848974523268355</v>
      </c>
      <c r="H67" s="7">
        <v>0.48552156745431568</v>
      </c>
      <c r="I67" s="7">
        <v>799.04428346663462</v>
      </c>
      <c r="J67" s="7">
        <v>324.03289950313194</v>
      </c>
      <c r="K67" s="7">
        <v>4.6770197883820822E-2</v>
      </c>
      <c r="L67" s="7">
        <v>160731.40963073517</v>
      </c>
      <c r="M67" s="7">
        <v>0.10524502951486668</v>
      </c>
      <c r="N67" s="7">
        <v>0.51851376442367603</v>
      </c>
      <c r="O67" s="7">
        <v>227.95217037302822</v>
      </c>
      <c r="P67" s="7">
        <v>1463.634216918482</v>
      </c>
      <c r="Q67" s="7">
        <v>1456.0591771771942</v>
      </c>
    </row>
    <row r="68" spans="1:17" x14ac:dyDescent="0.25">
      <c r="A68" s="7">
        <v>138</v>
      </c>
      <c r="B68" s="7">
        <v>1.185444097324758</v>
      </c>
      <c r="C68" s="7">
        <v>290.97492454290364</v>
      </c>
      <c r="D68" s="7">
        <v>36.243157988660919</v>
      </c>
      <c r="E68" s="7">
        <v>9.5326091572553784E-2</v>
      </c>
      <c r="F68" s="7">
        <v>100000</v>
      </c>
      <c r="G68" s="7">
        <v>3.9315695790235625</v>
      </c>
      <c r="H68" s="7">
        <v>0.48528969942915873</v>
      </c>
      <c r="I68" s="7">
        <v>797.42204869758848</v>
      </c>
      <c r="J68" s="7">
        <v>327.80582542901311</v>
      </c>
      <c r="K68" s="7">
        <v>4.6241624905716323E-2</v>
      </c>
      <c r="L68" s="7">
        <v>160432.9471568173</v>
      </c>
      <c r="M68" s="7">
        <v>0.10538756257946338</v>
      </c>
      <c r="N68" s="7">
        <v>0.51878102462350328</v>
      </c>
      <c r="O68" s="7">
        <v>228.07155517736652</v>
      </c>
      <c r="P68" s="7">
        <v>1468.3261426361439</v>
      </c>
      <c r="Q68" s="7">
        <v>1463.9112506519814</v>
      </c>
    </row>
    <row r="69" spans="1:17" x14ac:dyDescent="0.25">
      <c r="A69" s="7">
        <v>139</v>
      </c>
      <c r="B69" s="7">
        <v>1.1855285057328888</v>
      </c>
      <c r="C69" s="7">
        <v>290.89693827370712</v>
      </c>
      <c r="D69" s="7">
        <v>36.449961242549755</v>
      </c>
      <c r="E69" s="7">
        <v>9.5386093496849692E-2</v>
      </c>
      <c r="F69" s="7">
        <v>100000</v>
      </c>
      <c r="G69" s="7">
        <v>3.8575295256164108</v>
      </c>
      <c r="H69" s="7">
        <v>0.4855077929851524</v>
      </c>
      <c r="I69" s="7">
        <v>799.2456519697364</v>
      </c>
      <c r="J69" s="7">
        <v>328.74268205818356</v>
      </c>
      <c r="K69" s="7">
        <v>4.7311000670276986E-2</v>
      </c>
      <c r="L69" s="7">
        <v>160555.77315306079</v>
      </c>
      <c r="M69" s="7">
        <v>0.10496627240539405</v>
      </c>
      <c r="N69" s="7">
        <v>0.51858299002620556</v>
      </c>
      <c r="O69" s="7">
        <v>227.95205956131548</v>
      </c>
      <c r="P69" s="7">
        <v>1464.9257255127286</v>
      </c>
      <c r="Q69" s="7">
        <v>1469.013663201411</v>
      </c>
    </row>
    <row r="70" spans="1:17" x14ac:dyDescent="0.25">
      <c r="A70" s="7">
        <v>140</v>
      </c>
      <c r="B70" s="7">
        <v>1.1855719335713921</v>
      </c>
      <c r="C70" s="7">
        <v>290.75396144212647</v>
      </c>
      <c r="D70" s="7">
        <v>36.321463968810654</v>
      </c>
      <c r="E70" s="7">
        <v>9.5438544145614396E-2</v>
      </c>
      <c r="F70" s="7">
        <v>100000</v>
      </c>
      <c r="G70" s="7">
        <v>3.8063154458116415</v>
      </c>
      <c r="H70" s="7">
        <v>0.48505266838679995</v>
      </c>
      <c r="I70" s="7">
        <v>799.95699161810285</v>
      </c>
      <c r="J70" s="7">
        <v>326.75845944435991</v>
      </c>
      <c r="K70" s="7">
        <v>4.6316222871899342E-2</v>
      </c>
      <c r="L70" s="7">
        <v>159584.21536561308</v>
      </c>
      <c r="M70" s="7">
        <v>0.10540990426215952</v>
      </c>
      <c r="N70" s="7">
        <v>0.51879459992342036</v>
      </c>
      <c r="O70" s="7">
        <v>228.09571335953254</v>
      </c>
      <c r="P70" s="7">
        <v>1461.8615881535745</v>
      </c>
      <c r="Q70" s="7">
        <v>1461.028672255743</v>
      </c>
    </row>
    <row r="71" spans="1:17" x14ac:dyDescent="0.25">
      <c r="A71" s="7">
        <v>141</v>
      </c>
      <c r="B71" s="7">
        <v>1.1853826509489855</v>
      </c>
      <c r="C71" s="7">
        <v>290.77599661514643</v>
      </c>
      <c r="D71" s="7">
        <v>36.354235826862045</v>
      </c>
      <c r="E71" s="7">
        <v>9.4777667442690089E-2</v>
      </c>
      <c r="F71" s="7">
        <v>100000</v>
      </c>
      <c r="G71" s="7">
        <v>3.9202247208416439</v>
      </c>
      <c r="H71" s="7">
        <v>0.48518252235838832</v>
      </c>
      <c r="I71" s="7">
        <v>800.65098268411521</v>
      </c>
      <c r="J71" s="7">
        <v>325.39049195048585</v>
      </c>
      <c r="K71" s="7">
        <v>4.6705895600217789E-2</v>
      </c>
      <c r="L71" s="7">
        <v>159812.83183104458</v>
      </c>
      <c r="M71" s="7">
        <v>0.10541760971412462</v>
      </c>
      <c r="N71" s="7">
        <v>0.5187756511693461</v>
      </c>
      <c r="O71" s="7">
        <v>228.099040715287</v>
      </c>
      <c r="P71" s="7">
        <v>1459.8936351496575</v>
      </c>
      <c r="Q71" s="7">
        <v>1464.8450181102889</v>
      </c>
    </row>
    <row r="72" spans="1:17" x14ac:dyDescent="0.25">
      <c r="A72" s="7">
        <v>142</v>
      </c>
      <c r="B72" s="7">
        <v>1.1856261460291531</v>
      </c>
      <c r="C72" s="7">
        <v>290.91620914076003</v>
      </c>
      <c r="D72" s="7">
        <v>36.341543545555588</v>
      </c>
      <c r="E72" s="7">
        <v>9.5474500671764273E-2</v>
      </c>
      <c r="F72" s="7">
        <v>100000</v>
      </c>
      <c r="G72" s="7">
        <v>3.8487852542442096</v>
      </c>
      <c r="H72" s="7">
        <v>0.48561592221742417</v>
      </c>
      <c r="I72" s="7">
        <v>798.14865135061905</v>
      </c>
      <c r="J72" s="7">
        <v>325.81875579174829</v>
      </c>
      <c r="K72" s="7">
        <v>4.7072241205961603E-2</v>
      </c>
      <c r="L72" s="7">
        <v>160048.24344656049</v>
      </c>
      <c r="M72" s="7">
        <v>0.10504929735157666</v>
      </c>
      <c r="N72" s="7">
        <v>0.51877231380120881</v>
      </c>
      <c r="O72" s="7">
        <v>228.03990215327755</v>
      </c>
      <c r="P72" s="7">
        <v>1462.5216769103904</v>
      </c>
      <c r="Q72" s="7">
        <v>1454.4712988451865</v>
      </c>
    </row>
    <row r="73" spans="1:17" x14ac:dyDescent="0.25">
      <c r="A73" s="7">
        <v>143</v>
      </c>
      <c r="B73" s="7">
        <v>1.1855754122560536</v>
      </c>
      <c r="C73" s="7">
        <v>290.90975582651237</v>
      </c>
      <c r="D73" s="7">
        <v>36.145149870602701</v>
      </c>
      <c r="E73" s="7">
        <v>9.5468042899526331E-2</v>
      </c>
      <c r="F73" s="7">
        <v>100000</v>
      </c>
      <c r="G73" s="7">
        <v>3.801774374809606</v>
      </c>
      <c r="H73" s="7">
        <v>0.48567116955761308</v>
      </c>
      <c r="I73" s="7">
        <v>798.50116378777227</v>
      </c>
      <c r="J73" s="7">
        <v>324.73400732971163</v>
      </c>
      <c r="K73" s="7">
        <v>4.7591745715708032E-2</v>
      </c>
      <c r="L73" s="7">
        <v>159629.23627624908</v>
      </c>
      <c r="M73" s="7">
        <v>0.10503198656185357</v>
      </c>
      <c r="N73" s="7">
        <v>0.51853739443979974</v>
      </c>
      <c r="O73" s="7">
        <v>228.07965319649981</v>
      </c>
      <c r="P73" s="7">
        <v>1463.4063441576868</v>
      </c>
      <c r="Q73" s="7">
        <v>1445.0355215673844</v>
      </c>
    </row>
    <row r="74" spans="1:17" x14ac:dyDescent="0.25">
      <c r="A74" s="7">
        <v>144</v>
      </c>
      <c r="B74" s="7">
        <v>1.1856090318087609</v>
      </c>
      <c r="C74" s="7">
        <v>290.79791708909499</v>
      </c>
      <c r="D74" s="7">
        <v>36.548778553059691</v>
      </c>
      <c r="E74" s="7">
        <v>9.4928060607234785E-2</v>
      </c>
      <c r="F74" s="7">
        <v>100000</v>
      </c>
      <c r="G74" s="7">
        <v>3.8415297374709181</v>
      </c>
      <c r="H74" s="7">
        <v>0.48552643206434098</v>
      </c>
      <c r="I74" s="7">
        <v>798.792696173737</v>
      </c>
      <c r="J74" s="7">
        <v>325.08359325532376</v>
      </c>
      <c r="K74" s="7">
        <v>4.6713563817659495E-2</v>
      </c>
      <c r="L74" s="7">
        <v>159978.87070989652</v>
      </c>
      <c r="M74" s="7">
        <v>0.10552445504701222</v>
      </c>
      <c r="N74" s="7">
        <v>0.51860757458143814</v>
      </c>
      <c r="O74" s="7">
        <v>228.05087444658352</v>
      </c>
      <c r="P74" s="7">
        <v>1467.038359351576</v>
      </c>
      <c r="Q74" s="7">
        <v>1459.1662892939567</v>
      </c>
    </row>
    <row r="75" spans="1:17" x14ac:dyDescent="0.25">
      <c r="A75" s="7">
        <v>145</v>
      </c>
      <c r="B75" s="7">
        <v>1.1854533270012069</v>
      </c>
      <c r="C75" s="7">
        <v>290.84532474555812</v>
      </c>
      <c r="D75" s="7">
        <v>36.428698844798284</v>
      </c>
      <c r="E75" s="7">
        <v>9.5313681000684769E-2</v>
      </c>
      <c r="F75" s="7">
        <v>100000</v>
      </c>
      <c r="G75" s="7">
        <v>3.8622520979745585</v>
      </c>
      <c r="H75" s="7">
        <v>0.4852751883645719</v>
      </c>
      <c r="I75" s="7">
        <v>797.86428467452083</v>
      </c>
      <c r="J75" s="7">
        <v>324.12210000655961</v>
      </c>
      <c r="K75" s="7">
        <v>4.6248387966452545E-2</v>
      </c>
      <c r="L75" s="7">
        <v>159450.52387167944</v>
      </c>
      <c r="M75" s="7">
        <v>0.10512713271011034</v>
      </c>
      <c r="N75" s="7">
        <v>0.51861809950799953</v>
      </c>
      <c r="O75" s="7">
        <v>228.04652479347399</v>
      </c>
      <c r="P75" s="7">
        <v>1464.717009761235</v>
      </c>
      <c r="Q75" s="7">
        <v>1450.7875957498836</v>
      </c>
    </row>
    <row r="76" spans="1:17" x14ac:dyDescent="0.25">
      <c r="A76" s="7">
        <v>146</v>
      </c>
      <c r="B76" s="7">
        <v>1.1854963330913411</v>
      </c>
      <c r="C76" s="7">
        <v>290.90508914957155</v>
      </c>
      <c r="D76" s="7">
        <v>36.184029926058379</v>
      </c>
      <c r="E76" s="7">
        <v>9.5104631324375105E-2</v>
      </c>
      <c r="F76" s="7">
        <v>100000</v>
      </c>
      <c r="G76" s="7">
        <v>3.8848717971865216</v>
      </c>
      <c r="H76" s="7">
        <v>0.48548285628963633</v>
      </c>
      <c r="I76" s="7">
        <v>797.63502489845769</v>
      </c>
      <c r="J76" s="7">
        <v>324.10662059789286</v>
      </c>
      <c r="K76" s="7">
        <v>4.6963435268912258E-2</v>
      </c>
      <c r="L76" s="7">
        <v>159878.32057443782</v>
      </c>
      <c r="M76" s="7">
        <v>0.10499141940151605</v>
      </c>
      <c r="N76" s="7">
        <v>0.51860198135101165</v>
      </c>
      <c r="O76" s="7">
        <v>227.96737148520032</v>
      </c>
      <c r="P76" s="7">
        <v>1464.2688166560906</v>
      </c>
      <c r="Q76" s="7">
        <v>1450.649399067559</v>
      </c>
    </row>
    <row r="77" spans="1:17" x14ac:dyDescent="0.25">
      <c r="A77" s="7">
        <v>147</v>
      </c>
      <c r="B77" s="7">
        <v>1.1856070499860287</v>
      </c>
      <c r="C77" s="7">
        <v>290.94757848424331</v>
      </c>
      <c r="D77" s="7">
        <v>36.418664270373014</v>
      </c>
      <c r="E77" s="7">
        <v>9.4702307302388877E-2</v>
      </c>
      <c r="F77" s="7">
        <v>100000</v>
      </c>
      <c r="G77" s="7">
        <v>3.8031917313178809</v>
      </c>
      <c r="H77" s="7">
        <v>0.48517623715746544</v>
      </c>
      <c r="I77" s="7">
        <v>799.45356490751567</v>
      </c>
      <c r="J77" s="7">
        <v>326.27542943643061</v>
      </c>
      <c r="K77" s="7">
        <v>4.7499214477010387E-2</v>
      </c>
      <c r="L77" s="7">
        <v>160205.0815782196</v>
      </c>
      <c r="M77" s="7">
        <v>0.10543734065058881</v>
      </c>
      <c r="N77" s="7">
        <v>0.51865841567965465</v>
      </c>
      <c r="O77" s="7">
        <v>228.05280395347236</v>
      </c>
      <c r="P77" s="7">
        <v>1465.401391262578</v>
      </c>
      <c r="Q77" s="7">
        <v>1452.9543964930854</v>
      </c>
    </row>
    <row r="78" spans="1:17" x14ac:dyDescent="0.25">
      <c r="A78" s="7">
        <v>148</v>
      </c>
      <c r="B78" s="7">
        <v>1.1855761904542672</v>
      </c>
      <c r="C78" s="7">
        <v>290.76166044475929</v>
      </c>
      <c r="D78" s="7">
        <v>36.545774937745506</v>
      </c>
      <c r="E78" s="7">
        <v>9.5415046609081108E-2</v>
      </c>
      <c r="F78" s="7">
        <v>100000</v>
      </c>
      <c r="G78" s="7">
        <v>3.9157945359269188</v>
      </c>
      <c r="H78" s="7">
        <v>0.48516260940916323</v>
      </c>
      <c r="I78" s="7">
        <v>799.9107155878005</v>
      </c>
      <c r="J78" s="7">
        <v>327.99224988708045</v>
      </c>
      <c r="K78" s="7">
        <v>4.70512265775292E-2</v>
      </c>
      <c r="L78" s="7">
        <v>159818.53767603886</v>
      </c>
      <c r="M78" s="7">
        <v>0.10545780316083447</v>
      </c>
      <c r="N78" s="7">
        <v>0.51864265676015842</v>
      </c>
      <c r="O78" s="7">
        <v>228.09143450264011</v>
      </c>
      <c r="P78" s="7">
        <v>1461.179667877828</v>
      </c>
      <c r="Q78" s="7">
        <v>1473.7110047860115</v>
      </c>
    </row>
    <row r="79" spans="1:17" x14ac:dyDescent="0.25">
      <c r="A79" s="7">
        <v>149</v>
      </c>
      <c r="B79" s="7">
        <v>1.1854314850739269</v>
      </c>
      <c r="C79" s="7">
        <v>290.89014417312927</v>
      </c>
      <c r="D79" s="7">
        <v>36.548059852824963</v>
      </c>
      <c r="E79" s="7">
        <v>9.5308257662151286E-2</v>
      </c>
      <c r="F79" s="7">
        <v>100000</v>
      </c>
      <c r="G79" s="7">
        <v>3.8189293878626369</v>
      </c>
      <c r="H79" s="7">
        <v>0.48528720695682248</v>
      </c>
      <c r="I79" s="7">
        <v>798.00627489277633</v>
      </c>
      <c r="J79" s="7">
        <v>328.67261822376742</v>
      </c>
      <c r="K79" s="7">
        <v>4.7536424527997077E-2</v>
      </c>
      <c r="L79" s="7">
        <v>160216.95401733922</v>
      </c>
      <c r="M79" s="7">
        <v>0.10503851333904586</v>
      </c>
      <c r="N79" s="7">
        <v>0.51874993790156043</v>
      </c>
      <c r="O79" s="7">
        <v>228.06347431999856</v>
      </c>
      <c r="P79" s="7">
        <v>1460.7197941187612</v>
      </c>
      <c r="Q79" s="7">
        <v>1464.2832534141417</v>
      </c>
    </row>
    <row r="80" spans="1:17" x14ac:dyDescent="0.25">
      <c r="A80" s="7">
        <v>150</v>
      </c>
      <c r="B80" s="7">
        <v>1.1854822700855621</v>
      </c>
      <c r="C80" s="7">
        <v>290.78786489333032</v>
      </c>
      <c r="D80" s="7">
        <v>36.152599952844376</v>
      </c>
      <c r="E80" s="7">
        <v>9.5222385217486855E-2</v>
      </c>
      <c r="F80" s="7">
        <v>100000</v>
      </c>
      <c r="G80" s="7">
        <v>3.8657168149096366</v>
      </c>
      <c r="H80" s="7">
        <v>0.485365113777809</v>
      </c>
      <c r="I80" s="7">
        <v>798.88415684781421</v>
      </c>
      <c r="J80" s="7">
        <v>324.13415271057772</v>
      </c>
      <c r="K80" s="7">
        <v>4.7402892347673378E-2</v>
      </c>
      <c r="L80" s="7">
        <v>159542.51216095692</v>
      </c>
      <c r="M80" s="7">
        <v>0.10499498899731519</v>
      </c>
      <c r="N80" s="7">
        <v>0.51856933914298453</v>
      </c>
      <c r="O80" s="7">
        <v>228.03140890358236</v>
      </c>
      <c r="P80" s="7">
        <v>1462.2987070667441</v>
      </c>
      <c r="Q80" s="7">
        <v>1453.9559702394108</v>
      </c>
    </row>
    <row r="81" spans="1:17" x14ac:dyDescent="0.25">
      <c r="A81" s="7">
        <v>151</v>
      </c>
      <c r="B81" s="7">
        <v>1.1854914122271589</v>
      </c>
      <c r="C81" s="7">
        <v>290.84741963068421</v>
      </c>
      <c r="D81" s="7">
        <v>36.23953751249806</v>
      </c>
      <c r="E81" s="7">
        <v>9.5220396889995826E-2</v>
      </c>
      <c r="F81" s="7">
        <v>100000</v>
      </c>
      <c r="G81" s="7">
        <v>3.8986379036459708</v>
      </c>
      <c r="H81" s="7">
        <v>0.48566504958754619</v>
      </c>
      <c r="I81" s="7">
        <v>799.31178153206076</v>
      </c>
      <c r="J81" s="7">
        <v>326.16980255777088</v>
      </c>
      <c r="K81" s="7">
        <v>4.6636054019058168E-2</v>
      </c>
      <c r="L81" s="7">
        <v>159894.4532343719</v>
      </c>
      <c r="M81" s="7">
        <v>0.10513709287625203</v>
      </c>
      <c r="N81" s="7">
        <v>0.51873617090894453</v>
      </c>
      <c r="O81" s="7">
        <v>228.0714279136337</v>
      </c>
      <c r="P81" s="7">
        <v>1463.5497060708699</v>
      </c>
      <c r="Q81" s="7">
        <v>1461.3519673147748</v>
      </c>
    </row>
    <row r="82" spans="1:17" x14ac:dyDescent="0.25">
      <c r="A82" s="7">
        <v>152</v>
      </c>
      <c r="B82" s="7">
        <v>1.1854482168902125</v>
      </c>
      <c r="C82" s="7">
        <v>290.83352564129143</v>
      </c>
      <c r="D82" s="7">
        <v>36.356140550006671</v>
      </c>
      <c r="E82" s="7">
        <v>9.5301584103894235E-2</v>
      </c>
      <c r="F82" s="7">
        <v>100000</v>
      </c>
      <c r="G82" s="7">
        <v>3.8785137013809488</v>
      </c>
      <c r="H82" s="7">
        <v>0.48537098079500546</v>
      </c>
      <c r="I82" s="7">
        <v>799.1606755822927</v>
      </c>
      <c r="J82" s="7">
        <v>327.39697772810132</v>
      </c>
      <c r="K82" s="7">
        <v>4.7520144122601041E-2</v>
      </c>
      <c r="L82" s="7">
        <v>159578.71373578921</v>
      </c>
      <c r="M82" s="7">
        <v>0.10545026164502092</v>
      </c>
      <c r="N82" s="7">
        <v>0.51872533717270097</v>
      </c>
      <c r="O82" s="7">
        <v>228.03811826538967</v>
      </c>
      <c r="P82" s="7">
        <v>1465.9907601824439</v>
      </c>
      <c r="Q82" s="7">
        <v>1463.0761995235735</v>
      </c>
    </row>
    <row r="83" spans="1:17" x14ac:dyDescent="0.25">
      <c r="A83" s="7">
        <v>153</v>
      </c>
      <c r="B83" s="7">
        <v>1.1856035711458119</v>
      </c>
      <c r="C83" s="7">
        <v>290.93170221808919</v>
      </c>
      <c r="D83" s="7">
        <v>36.258221151472064</v>
      </c>
      <c r="E83" s="7">
        <v>9.4736819283808477E-2</v>
      </c>
      <c r="F83" s="7">
        <v>100000</v>
      </c>
      <c r="G83" s="7">
        <v>3.896210377353488</v>
      </c>
      <c r="H83" s="7">
        <v>0.48534099246050799</v>
      </c>
      <c r="I83" s="7">
        <v>797.97811650955975</v>
      </c>
      <c r="J83" s="7">
        <v>325.20721992492645</v>
      </c>
      <c r="K83" s="7">
        <v>4.6661959677425265E-2</v>
      </c>
      <c r="L83" s="7">
        <v>159515.62127833717</v>
      </c>
      <c r="M83" s="7">
        <v>0.10547641654480573</v>
      </c>
      <c r="N83" s="7">
        <v>0.51860389642263638</v>
      </c>
      <c r="O83" s="7">
        <v>228.05569616650334</v>
      </c>
      <c r="P83" s="7">
        <v>1461.4333635964251</v>
      </c>
      <c r="Q83" s="7">
        <v>1450.9800933050501</v>
      </c>
    </row>
    <row r="84" spans="1:17" x14ac:dyDescent="0.25">
      <c r="A84" s="7">
        <v>154</v>
      </c>
      <c r="B84" s="7">
        <v>1.1854990352072166</v>
      </c>
      <c r="C84" s="7">
        <v>290.76558157553853</v>
      </c>
      <c r="D84" s="7">
        <v>36.165053659493381</v>
      </c>
      <c r="E84" s="7">
        <v>9.5142353830287893E-2</v>
      </c>
      <c r="F84" s="7">
        <v>100000</v>
      </c>
      <c r="G84" s="7">
        <v>3.838112015296562</v>
      </c>
      <c r="H84" s="7">
        <v>0.48562591267835314</v>
      </c>
      <c r="I84" s="7">
        <v>798.38217418830288</v>
      </c>
      <c r="J84" s="7">
        <v>327.29468994206843</v>
      </c>
      <c r="K84" s="7">
        <v>4.7176278863301176E-2</v>
      </c>
      <c r="L84" s="7">
        <v>160040.19989279981</v>
      </c>
      <c r="M84" s="7">
        <v>0.1051579750381415</v>
      </c>
      <c r="N84" s="7">
        <v>0.51874928603862147</v>
      </c>
      <c r="O84" s="7">
        <v>228.08503056936746</v>
      </c>
      <c r="P84" s="7">
        <v>1464.9430366043221</v>
      </c>
      <c r="Q84" s="7">
        <v>1465.5561265076321</v>
      </c>
    </row>
    <row r="85" spans="1:17" x14ac:dyDescent="0.25">
      <c r="A85" s="7">
        <v>155</v>
      </c>
      <c r="B85" s="7">
        <v>1.1855536024971818</v>
      </c>
      <c r="C85" s="7">
        <v>290.86251267688397</v>
      </c>
      <c r="D85" s="7">
        <v>36.157964106157337</v>
      </c>
      <c r="E85" s="7">
        <v>9.5076956378051483E-2</v>
      </c>
      <c r="F85" s="7">
        <v>100000</v>
      </c>
      <c r="G85" s="7">
        <v>3.8267740589682262</v>
      </c>
      <c r="H85" s="7">
        <v>0.48522926502017039</v>
      </c>
      <c r="I85" s="7">
        <v>799.04526311616007</v>
      </c>
      <c r="J85" s="7">
        <v>325.90915567151688</v>
      </c>
      <c r="K85" s="7">
        <v>4.6477038100140991E-2</v>
      </c>
      <c r="L85" s="7">
        <v>159622.35228058681</v>
      </c>
      <c r="M85" s="7">
        <v>0.10535738268409478</v>
      </c>
      <c r="N85" s="7">
        <v>0.51861183055291771</v>
      </c>
      <c r="O85" s="7">
        <v>227.9892176927184</v>
      </c>
      <c r="P85" s="7">
        <v>1464.1196738494118</v>
      </c>
      <c r="Q85" s="7">
        <v>1453.3142515348081</v>
      </c>
    </row>
    <row r="86" spans="1:17" x14ac:dyDescent="0.25">
      <c r="A86" s="7">
        <v>156</v>
      </c>
      <c r="B86" s="7">
        <v>1.1854521428721563</v>
      </c>
      <c r="C86" s="7">
        <v>290.8236859762701</v>
      </c>
      <c r="D86" s="7">
        <v>36.256726769803407</v>
      </c>
      <c r="E86" s="7">
        <v>9.526291049844586E-2</v>
      </c>
      <c r="F86" s="7">
        <v>100000</v>
      </c>
      <c r="G86" s="7">
        <v>3.8112364488577448</v>
      </c>
      <c r="H86" s="7">
        <v>0.48551812933188548</v>
      </c>
      <c r="I86" s="7">
        <v>798.55411949690824</v>
      </c>
      <c r="J86" s="7">
        <v>326.56533095516676</v>
      </c>
      <c r="K86" s="7">
        <v>4.6960274570308998E-2</v>
      </c>
      <c r="L86" s="7">
        <v>159776.27235040118</v>
      </c>
      <c r="M86" s="7">
        <v>0.10527556033794198</v>
      </c>
      <c r="N86" s="7">
        <v>0.51858767695305552</v>
      </c>
      <c r="O86" s="7">
        <v>228.03940228003452</v>
      </c>
      <c r="P86" s="7">
        <v>1463.1789412480473</v>
      </c>
      <c r="Q86" s="7">
        <v>1457.4608473141489</v>
      </c>
    </row>
    <row r="87" spans="1:17" x14ac:dyDescent="0.25">
      <c r="A87" s="7">
        <v>157</v>
      </c>
      <c r="B87" s="7">
        <v>1.185522565926256</v>
      </c>
      <c r="C87" s="7">
        <v>290.83115727946119</v>
      </c>
      <c r="D87" s="7">
        <v>36.24206087256907</v>
      </c>
      <c r="E87" s="7">
        <v>9.4770030341833331E-2</v>
      </c>
      <c r="F87" s="7">
        <v>100000</v>
      </c>
      <c r="G87" s="7">
        <v>3.8046941421336697</v>
      </c>
      <c r="H87" s="7">
        <v>0.48563535042784561</v>
      </c>
      <c r="I87" s="7">
        <v>799.26590439069435</v>
      </c>
      <c r="J87" s="7">
        <v>326.49012235831731</v>
      </c>
      <c r="K87" s="7">
        <v>4.6571712345739633E-2</v>
      </c>
      <c r="L87" s="7">
        <v>160205.43858464996</v>
      </c>
      <c r="M87" s="7">
        <v>0.10500095576171417</v>
      </c>
      <c r="N87" s="7">
        <v>0.51861987435098955</v>
      </c>
      <c r="O87" s="7">
        <v>228.09119226002835</v>
      </c>
      <c r="P87" s="7">
        <v>1465.3755682898795</v>
      </c>
      <c r="Q87" s="7">
        <v>1459.0994499044536</v>
      </c>
    </row>
    <row r="88" spans="1:17" x14ac:dyDescent="0.25">
      <c r="A88" s="7">
        <v>158</v>
      </c>
      <c r="B88" s="7">
        <v>1.1855177134345782</v>
      </c>
      <c r="C88" s="7">
        <v>290.83429952943538</v>
      </c>
      <c r="D88" s="7">
        <v>36.509770992631182</v>
      </c>
      <c r="E88" s="7">
        <v>9.4966204736624316E-2</v>
      </c>
      <c r="F88" s="7">
        <v>100000</v>
      </c>
      <c r="G88" s="7">
        <v>3.8365595191584867</v>
      </c>
      <c r="H88" s="7">
        <v>0.48543775438611814</v>
      </c>
      <c r="I88" s="7">
        <v>798.54357061674659</v>
      </c>
      <c r="J88" s="7">
        <v>324.52828815656301</v>
      </c>
      <c r="K88" s="7">
        <v>4.6753687115279739E-2</v>
      </c>
      <c r="L88" s="7">
        <v>160003.52536300253</v>
      </c>
      <c r="M88" s="7">
        <v>0.10515502119273923</v>
      </c>
      <c r="N88" s="7">
        <v>0.51873234180311789</v>
      </c>
      <c r="O88" s="7">
        <v>228.00400515564559</v>
      </c>
      <c r="P88" s="7">
        <v>1462.1729252508983</v>
      </c>
      <c r="Q88" s="7">
        <v>1455.2471354994268</v>
      </c>
    </row>
    <row r="89" spans="1:17" x14ac:dyDescent="0.25">
      <c r="A89" s="7">
        <v>159</v>
      </c>
      <c r="B89" s="7">
        <v>1.1854470528784926</v>
      </c>
      <c r="C89" s="7">
        <v>290.81527939930493</v>
      </c>
      <c r="D89" s="7">
        <v>36.197900105888046</v>
      </c>
      <c r="E89" s="7">
        <v>9.4970535434090411E-2</v>
      </c>
      <c r="F89" s="7">
        <v>100000</v>
      </c>
      <c r="G89" s="7">
        <v>3.8851606872799622</v>
      </c>
      <c r="H89" s="7">
        <v>0.48562042872248706</v>
      </c>
      <c r="I89" s="7">
        <v>798.62671194658799</v>
      </c>
      <c r="J89" s="7">
        <v>327.96737821877792</v>
      </c>
      <c r="K89" s="7">
        <v>4.7405425289063823E-2</v>
      </c>
      <c r="L89" s="7">
        <v>159715.90051801759</v>
      </c>
      <c r="M89" s="7">
        <v>0.10509595277224512</v>
      </c>
      <c r="N89" s="7">
        <v>0.51868878339007674</v>
      </c>
      <c r="O89" s="7">
        <v>228.08776988078492</v>
      </c>
      <c r="P89" s="7">
        <v>1460.7631314199568</v>
      </c>
      <c r="Q89" s="7">
        <v>1465.9348953919762</v>
      </c>
    </row>
    <row r="90" spans="1:17" x14ac:dyDescent="0.25">
      <c r="A90" s="7">
        <v>160</v>
      </c>
      <c r="B90" s="7">
        <v>1.1854953181649059</v>
      </c>
      <c r="C90" s="7">
        <v>290.84608878030554</v>
      </c>
      <c r="D90" s="7">
        <v>36.346156646610339</v>
      </c>
      <c r="E90" s="7">
        <v>9.4752854968323363E-2</v>
      </c>
      <c r="F90" s="7">
        <v>100000</v>
      </c>
      <c r="G90" s="7">
        <v>3.8138433489463837</v>
      </c>
      <c r="H90" s="7">
        <v>0.48527610497519019</v>
      </c>
      <c r="I90" s="7">
        <v>798.32793384083516</v>
      </c>
      <c r="J90" s="7">
        <v>326.28105319864869</v>
      </c>
      <c r="K90" s="7">
        <v>4.6479525409890803E-2</v>
      </c>
      <c r="L90" s="7">
        <v>159958.79429443192</v>
      </c>
      <c r="M90" s="7">
        <v>0.10530225006758492</v>
      </c>
      <c r="N90" s="7">
        <v>0.51866207068918624</v>
      </c>
      <c r="O90" s="7">
        <v>228.0559835602061</v>
      </c>
      <c r="P90" s="7">
        <v>1463.6448772341171</v>
      </c>
      <c r="Q90" s="7">
        <v>1457.0044584968637</v>
      </c>
    </row>
    <row r="91" spans="1:17" x14ac:dyDescent="0.25">
      <c r="A91" s="7">
        <v>161</v>
      </c>
      <c r="B91" s="7">
        <v>1.1855528540432965</v>
      </c>
      <c r="C91" s="7">
        <v>290.82046238001641</v>
      </c>
      <c r="D91" s="7">
        <v>36.277860298598</v>
      </c>
      <c r="E91" s="7">
        <v>9.5185523932791713E-2</v>
      </c>
      <c r="F91" s="7">
        <v>100000</v>
      </c>
      <c r="G91" s="7">
        <v>3.8370159321018713</v>
      </c>
      <c r="H91" s="7">
        <v>0.48550491528695766</v>
      </c>
      <c r="I91" s="7">
        <v>798.8134544262291</v>
      </c>
      <c r="J91" s="7">
        <v>327.71601660839957</v>
      </c>
      <c r="K91" s="7">
        <v>4.707538222393743E-2</v>
      </c>
      <c r="L91" s="7">
        <v>159652.91344513994</v>
      </c>
      <c r="M91" s="7">
        <v>0.10528803454911556</v>
      </c>
      <c r="N91" s="7">
        <v>0.51870882092947657</v>
      </c>
      <c r="O91" s="7">
        <v>227.99511827012748</v>
      </c>
      <c r="P91" s="7">
        <v>1462.9544692550667</v>
      </c>
      <c r="Q91" s="7">
        <v>1462.2225411956242</v>
      </c>
    </row>
    <row r="92" spans="1:17" x14ac:dyDescent="0.25">
      <c r="A92" s="7">
        <v>162</v>
      </c>
      <c r="B92" s="7">
        <v>1.1855324390431996</v>
      </c>
      <c r="C92" s="7">
        <v>290.86816360341402</v>
      </c>
      <c r="D92" s="7">
        <v>36.475776184495842</v>
      </c>
      <c r="E92" s="7">
        <v>9.5105116014589444E-2</v>
      </c>
      <c r="F92" s="7">
        <v>100000</v>
      </c>
      <c r="G92" s="7">
        <v>3.8561210199972034</v>
      </c>
      <c r="H92" s="7">
        <v>0.48551841086224645</v>
      </c>
      <c r="I92" s="7">
        <v>798.98061857621724</v>
      </c>
      <c r="J92" s="7">
        <v>324.55025362218936</v>
      </c>
      <c r="K92" s="7">
        <v>4.6576065805872972E-2</v>
      </c>
      <c r="L92" s="7">
        <v>159872.1083740617</v>
      </c>
      <c r="M92" s="7">
        <v>0.10538577539536396</v>
      </c>
      <c r="N92" s="7">
        <v>0.51869416060351514</v>
      </c>
      <c r="O92" s="7">
        <v>228.06265274037386</v>
      </c>
      <c r="P92" s="7">
        <v>1463.3271414225158</v>
      </c>
      <c r="Q92" s="7">
        <v>1453.6189482717818</v>
      </c>
    </row>
    <row r="93" spans="1:17" x14ac:dyDescent="0.25">
      <c r="A93" s="7">
        <v>163</v>
      </c>
      <c r="B93" s="7">
        <v>1.1855382037143358</v>
      </c>
      <c r="C93" s="7">
        <v>290.87445665203853</v>
      </c>
      <c r="D93" s="7">
        <v>36.372599064800681</v>
      </c>
      <c r="E93" s="7">
        <v>9.5092431125261279E-2</v>
      </c>
      <c r="F93" s="7">
        <v>100000</v>
      </c>
      <c r="G93" s="7">
        <v>3.8235137807542841</v>
      </c>
      <c r="H93" s="7">
        <v>0.48526468518798854</v>
      </c>
      <c r="I93" s="7">
        <v>798.28794883584317</v>
      </c>
      <c r="J93" s="7">
        <v>326.70275059042177</v>
      </c>
      <c r="K93" s="7">
        <v>4.7310033952203914E-2</v>
      </c>
      <c r="L93" s="7">
        <v>160169.27516147625</v>
      </c>
      <c r="M93" s="7">
        <v>0.10545827226202435</v>
      </c>
      <c r="N93" s="7">
        <v>0.51862647829413333</v>
      </c>
      <c r="O93" s="7">
        <v>228.07811922717744</v>
      </c>
      <c r="P93" s="7">
        <v>1461.6223274586507</v>
      </c>
      <c r="Q93" s="7">
        <v>1458.6460754229265</v>
      </c>
    </row>
    <row r="94" spans="1:17" x14ac:dyDescent="0.25">
      <c r="A94" s="7">
        <v>164</v>
      </c>
      <c r="B94" s="7">
        <v>1.185537676897402</v>
      </c>
      <c r="C94" s="7">
        <v>290.85817882739298</v>
      </c>
      <c r="D94" s="7">
        <v>36.379385971648546</v>
      </c>
      <c r="E94" s="7">
        <v>9.5120373777051639E-2</v>
      </c>
      <c r="F94" s="7">
        <v>100000</v>
      </c>
      <c r="G94" s="7">
        <v>3.8444768180230016</v>
      </c>
      <c r="H94" s="7">
        <v>0.48543109341668261</v>
      </c>
      <c r="I94" s="7">
        <v>798.36126249783399</v>
      </c>
      <c r="J94" s="7">
        <v>326.69646745747707</v>
      </c>
      <c r="K94" s="7">
        <v>4.7299414917609597E-2</v>
      </c>
      <c r="L94" s="7">
        <v>159817.6339569421</v>
      </c>
      <c r="M94" s="7">
        <v>0.10534211415203466</v>
      </c>
      <c r="N94" s="7">
        <v>0.51865709714201835</v>
      </c>
      <c r="O94" s="7">
        <v>228.07514064438328</v>
      </c>
      <c r="P94" s="7">
        <v>1462.1801319094889</v>
      </c>
      <c r="Q94" s="7">
        <v>1458.679527545748</v>
      </c>
    </row>
    <row r="95" spans="1:17" x14ac:dyDescent="0.25">
      <c r="A95" s="7">
        <v>165</v>
      </c>
      <c r="B95" s="7">
        <v>1.1854959131792595</v>
      </c>
      <c r="C95" s="7">
        <v>290.85126323557012</v>
      </c>
      <c r="D95" s="7">
        <v>36.496124714486221</v>
      </c>
      <c r="E95" s="7">
        <v>9.5007306603241304E-2</v>
      </c>
      <c r="F95" s="7">
        <v>100000</v>
      </c>
      <c r="G95" s="7">
        <v>3.8282385130554517</v>
      </c>
      <c r="H95" s="7">
        <v>0.48558954694931999</v>
      </c>
      <c r="I95" s="7">
        <v>798.68131943144454</v>
      </c>
      <c r="J95" s="7">
        <v>325.82280088357754</v>
      </c>
      <c r="K95" s="7">
        <v>4.7167318162591954E-2</v>
      </c>
      <c r="L95" s="7">
        <v>160092.61231928715</v>
      </c>
      <c r="M95" s="7">
        <v>0.1051148050170669</v>
      </c>
      <c r="N95" s="7">
        <v>0.51859696619709494</v>
      </c>
      <c r="O95" s="7">
        <v>228.04114435206469</v>
      </c>
      <c r="P95" s="7">
        <v>1461.9564238719383</v>
      </c>
      <c r="Q95" s="7">
        <v>1457.9615532029929</v>
      </c>
    </row>
    <row r="96" spans="1:17" x14ac:dyDescent="0.25">
      <c r="A96" s="7">
        <v>166</v>
      </c>
      <c r="B96" s="7">
        <v>1.1855390433720281</v>
      </c>
      <c r="C96" s="7">
        <v>290.83707367587436</v>
      </c>
      <c r="D96" s="7">
        <v>36.229048798104571</v>
      </c>
      <c r="E96" s="7">
        <v>9.5144513540614276E-2</v>
      </c>
      <c r="F96" s="7">
        <v>100000</v>
      </c>
      <c r="G96" s="7">
        <v>3.8270165329465637</v>
      </c>
      <c r="H96" s="7">
        <v>0.48553103734113778</v>
      </c>
      <c r="I96" s="7">
        <v>799.08043234763045</v>
      </c>
      <c r="J96" s="7">
        <v>325.0626497921287</v>
      </c>
      <c r="K96" s="7">
        <v>4.6612748107600487E-2</v>
      </c>
      <c r="L96" s="7">
        <v>160021.63423752063</v>
      </c>
      <c r="M96" s="7">
        <v>0.10516004344727867</v>
      </c>
      <c r="N96" s="7">
        <v>0.51860936629949494</v>
      </c>
      <c r="O96" s="7">
        <v>228.00495771534781</v>
      </c>
      <c r="P96" s="7">
        <v>1461.2867186917442</v>
      </c>
      <c r="Q96" s="7">
        <v>1455.0535203851105</v>
      </c>
    </row>
    <row r="97" spans="1:17" x14ac:dyDescent="0.25">
      <c r="A97" s="7">
        <v>167</v>
      </c>
      <c r="B97" s="7">
        <v>1.1855390524874292</v>
      </c>
      <c r="C97" s="7">
        <v>290.84770025755097</v>
      </c>
      <c r="D97" s="7">
        <v>36.370712849635176</v>
      </c>
      <c r="E97" s="7">
        <v>9.493427179074003E-2</v>
      </c>
      <c r="F97" s="7">
        <v>100000</v>
      </c>
      <c r="G97" s="7">
        <v>3.8063926610920236</v>
      </c>
      <c r="H97" s="7">
        <v>0.48528945184037359</v>
      </c>
      <c r="I97" s="7">
        <v>798.35802116657703</v>
      </c>
      <c r="J97" s="7">
        <v>326.23369296545332</v>
      </c>
      <c r="K97" s="7">
        <v>4.7071724060926794E-2</v>
      </c>
      <c r="L97" s="7">
        <v>159871.54121473824</v>
      </c>
      <c r="M97" s="7">
        <v>0.10504020351324873</v>
      </c>
      <c r="N97" s="7">
        <v>0.51865838294239452</v>
      </c>
      <c r="O97" s="7">
        <v>228.07169975464333</v>
      </c>
      <c r="P97" s="7">
        <v>1465.0438660849345</v>
      </c>
      <c r="Q97" s="7">
        <v>1455.7966911759504</v>
      </c>
    </row>
    <row r="98" spans="1:17" x14ac:dyDescent="0.25">
      <c r="A98" s="7">
        <v>168</v>
      </c>
      <c r="B98" s="7">
        <v>1.1855067182585071</v>
      </c>
      <c r="C98" s="7">
        <v>290.82028867482614</v>
      </c>
      <c r="D98" s="7">
        <v>36.357736412940405</v>
      </c>
      <c r="E98" s="7">
        <v>9.4766178410189417E-2</v>
      </c>
      <c r="F98" s="7">
        <v>100000</v>
      </c>
      <c r="G98" s="7">
        <v>3.8092688377440678</v>
      </c>
      <c r="H98" s="7">
        <v>0.48547060529569491</v>
      </c>
      <c r="I98" s="7">
        <v>798.50047024008484</v>
      </c>
      <c r="J98" s="7">
        <v>326.14963029555764</v>
      </c>
      <c r="K98" s="7">
        <v>4.7189477488354746E-2</v>
      </c>
      <c r="L98" s="7">
        <v>160108.11715880106</v>
      </c>
      <c r="M98" s="7">
        <v>0.10523986751116947</v>
      </c>
      <c r="N98" s="7">
        <v>0.51867808593131914</v>
      </c>
      <c r="O98" s="7">
        <v>228.07454840305263</v>
      </c>
      <c r="P98" s="7">
        <v>1461.7830035357945</v>
      </c>
      <c r="Q98" s="7">
        <v>1458.7271838735833</v>
      </c>
    </row>
    <row r="99" spans="1:17" x14ac:dyDescent="0.25">
      <c r="A99" s="7">
        <v>169</v>
      </c>
      <c r="B99" s="7">
        <v>1.1855408277013195</v>
      </c>
      <c r="C99" s="7">
        <v>290.81959271243306</v>
      </c>
      <c r="D99" s="7">
        <v>36.340828534912418</v>
      </c>
      <c r="E99" s="7">
        <v>9.4917987115718735E-2</v>
      </c>
      <c r="F99" s="7">
        <v>100000</v>
      </c>
      <c r="G99" s="7">
        <v>3.825868314251577</v>
      </c>
      <c r="H99" s="7">
        <v>0.48544971704243489</v>
      </c>
      <c r="I99" s="7">
        <v>798.82412320139076</v>
      </c>
      <c r="J99" s="7">
        <v>325.094025605664</v>
      </c>
      <c r="K99" s="7">
        <v>4.6941544553084448E-2</v>
      </c>
      <c r="L99" s="7">
        <v>159742.83836934276</v>
      </c>
      <c r="M99" s="7">
        <v>0.10540092672370233</v>
      </c>
      <c r="N99" s="7">
        <v>0.51864880546861214</v>
      </c>
      <c r="O99" s="7">
        <v>228.04510697533075</v>
      </c>
      <c r="P99" s="7">
        <v>1464.2286152712952</v>
      </c>
      <c r="Q99" s="7">
        <v>1454.5446081958289</v>
      </c>
    </row>
    <row r="100" spans="1:17" x14ac:dyDescent="0.25">
      <c r="A100" s="7">
        <v>170</v>
      </c>
      <c r="B100" s="7">
        <v>1.1855496810968709</v>
      </c>
      <c r="C100" s="7">
        <v>290.83084234836844</v>
      </c>
      <c r="D100" s="7">
        <v>36.374606784890801</v>
      </c>
      <c r="E100" s="7">
        <v>9.5011244025506481E-2</v>
      </c>
      <c r="F100" s="7">
        <v>100000</v>
      </c>
      <c r="G100" s="7">
        <v>3.83810924134769</v>
      </c>
      <c r="H100" s="7">
        <v>0.48556408061283451</v>
      </c>
      <c r="I100" s="7">
        <v>799.07614721012101</v>
      </c>
      <c r="J100" s="7">
        <v>325.51717180299391</v>
      </c>
      <c r="K100" s="7">
        <v>4.7284321511722675E-2</v>
      </c>
      <c r="L100" s="7">
        <v>159663.0589473038</v>
      </c>
      <c r="M100" s="7">
        <v>0.1054412197292072</v>
      </c>
      <c r="N100" s="7">
        <v>0.51870170961845652</v>
      </c>
      <c r="O100" s="7">
        <v>228.07038732960183</v>
      </c>
      <c r="P100" s="7">
        <v>1462.0279374368886</v>
      </c>
      <c r="Q100" s="7">
        <v>1455.5627762026197</v>
      </c>
    </row>
    <row r="101" spans="1:17" x14ac:dyDescent="0.25">
      <c r="A101" s="7">
        <v>171</v>
      </c>
      <c r="B101" s="7">
        <v>1.185515784240025</v>
      </c>
      <c r="C101" s="7">
        <v>290.8698788299069</v>
      </c>
      <c r="D101" s="7">
        <v>36.317385658047421</v>
      </c>
      <c r="E101" s="7">
        <v>9.4827421570802831E-2</v>
      </c>
      <c r="F101" s="7">
        <v>100000</v>
      </c>
      <c r="G101" s="7">
        <v>3.8105736246341269</v>
      </c>
      <c r="H101" s="7">
        <v>0.48548712200464061</v>
      </c>
      <c r="I101" s="7">
        <v>798.59788974478363</v>
      </c>
      <c r="J101" s="7">
        <v>326.95291920884745</v>
      </c>
      <c r="K101" s="7">
        <v>4.7277936615324145E-2</v>
      </c>
      <c r="L101" s="7">
        <v>159859.46289517597</v>
      </c>
      <c r="M101" s="7">
        <v>0.10521665743076881</v>
      </c>
      <c r="N101" s="7">
        <v>0.51864295966360285</v>
      </c>
      <c r="O101" s="7">
        <v>228.07087338703775</v>
      </c>
      <c r="P101" s="7">
        <v>1464.1093041582296</v>
      </c>
      <c r="Q101" s="7">
        <v>1456.6737684573091</v>
      </c>
    </row>
    <row r="102" spans="1:17" x14ac:dyDescent="0.25">
      <c r="A102" s="7">
        <v>172</v>
      </c>
      <c r="B102" s="7">
        <v>1.185523183559237</v>
      </c>
      <c r="C102" s="7">
        <v>290.8542826154391</v>
      </c>
      <c r="D102" s="7">
        <v>36.331633323953803</v>
      </c>
      <c r="E102" s="7">
        <v>9.4934418155934813E-2</v>
      </c>
      <c r="F102" s="7">
        <v>100000</v>
      </c>
      <c r="G102" s="7">
        <v>3.8420220309361017</v>
      </c>
      <c r="H102" s="7">
        <v>0.48543259554713625</v>
      </c>
      <c r="I102" s="7">
        <v>798.38669865136967</v>
      </c>
      <c r="J102" s="7">
        <v>324.67560367418105</v>
      </c>
      <c r="K102" s="7">
        <v>4.7219647472955921E-2</v>
      </c>
      <c r="L102" s="7">
        <v>159858.30835404122</v>
      </c>
      <c r="M102" s="7">
        <v>0.10529278505122214</v>
      </c>
      <c r="N102" s="7">
        <v>0.51864593264087089</v>
      </c>
      <c r="O102" s="7">
        <v>228.03984951450013</v>
      </c>
      <c r="P102" s="7">
        <v>1462.0465090075525</v>
      </c>
      <c r="Q102" s="7">
        <v>1452.977166528166</v>
      </c>
    </row>
    <row r="103" spans="1:17" x14ac:dyDescent="0.25">
      <c r="A103" s="7">
        <v>173</v>
      </c>
      <c r="B103" s="7">
        <v>1.1855178091729366</v>
      </c>
      <c r="C103" s="7">
        <v>290.84979564386106</v>
      </c>
      <c r="D103" s="7">
        <v>36.392145688591675</v>
      </c>
      <c r="E103" s="7">
        <v>9.4918929342469746E-2</v>
      </c>
      <c r="F103" s="7">
        <v>100000</v>
      </c>
      <c r="G103" s="7">
        <v>3.8121768295194882</v>
      </c>
      <c r="H103" s="7">
        <v>0.48534985101239059</v>
      </c>
      <c r="I103" s="7">
        <v>798.35318516895734</v>
      </c>
      <c r="J103" s="7">
        <v>324.90247305816331</v>
      </c>
      <c r="K103" s="7">
        <v>4.7090647198880044E-2</v>
      </c>
      <c r="L103" s="7">
        <v>159827.27723345341</v>
      </c>
      <c r="M103" s="7">
        <v>0.10538029449306954</v>
      </c>
      <c r="N103" s="7">
        <v>0.51867430973039008</v>
      </c>
      <c r="O103" s="7">
        <v>228.06865327921486</v>
      </c>
      <c r="P103" s="7">
        <v>1461.5574463878381</v>
      </c>
      <c r="Q103" s="7">
        <v>1451.9690178647215</v>
      </c>
    </row>
    <row r="104" spans="1:17" x14ac:dyDescent="0.25">
      <c r="A104" s="7">
        <v>174</v>
      </c>
      <c r="B104" s="7">
        <v>1.1855328521819155</v>
      </c>
      <c r="C104" s="7">
        <v>290.86693891356327</v>
      </c>
      <c r="D104" s="7">
        <v>36.244673152148948</v>
      </c>
      <c r="E104" s="7">
        <v>9.4778489697059279E-2</v>
      </c>
      <c r="F104" s="7">
        <v>100000</v>
      </c>
      <c r="G104" s="7">
        <v>3.8254002565508558</v>
      </c>
      <c r="H104" s="7">
        <v>0.48553188281135423</v>
      </c>
      <c r="I104" s="7">
        <v>799.07688221485864</v>
      </c>
      <c r="J104" s="7">
        <v>326.72975513207336</v>
      </c>
      <c r="K104" s="7">
        <v>4.6988748248469075E-2</v>
      </c>
      <c r="L104" s="7">
        <v>159720.36098882195</v>
      </c>
      <c r="M104" s="7">
        <v>0.10524134241047303</v>
      </c>
      <c r="N104" s="7">
        <v>0.51862022509964623</v>
      </c>
      <c r="O104" s="7">
        <v>228.02922732503058</v>
      </c>
      <c r="P104" s="7">
        <v>1463.3362600791077</v>
      </c>
      <c r="Q104" s="7">
        <v>1456.2197908298622</v>
      </c>
    </row>
    <row r="105" spans="1:17" x14ac:dyDescent="0.25">
      <c r="A105" s="7">
        <v>175</v>
      </c>
      <c r="B105" s="7">
        <v>1.1855150352915031</v>
      </c>
      <c r="C105" s="7">
        <v>290.82431113069867</v>
      </c>
      <c r="D105" s="7">
        <v>36.340083911168854</v>
      </c>
      <c r="E105" s="7">
        <v>9.4838359768365646E-2</v>
      </c>
      <c r="F105" s="7">
        <v>100000</v>
      </c>
      <c r="G105" s="7">
        <v>3.8237008968060802</v>
      </c>
      <c r="H105" s="7">
        <v>0.48557445234228896</v>
      </c>
      <c r="I105" s="7">
        <v>799.03174165262419</v>
      </c>
      <c r="J105" s="7">
        <v>326.06288848580255</v>
      </c>
      <c r="K105" s="7">
        <v>4.6830896657647461E-2</v>
      </c>
      <c r="L105" s="7">
        <v>159698.64144039148</v>
      </c>
      <c r="M105" s="7">
        <v>0.10512890617453459</v>
      </c>
      <c r="N105" s="7">
        <v>0.5186114525705765</v>
      </c>
      <c r="O105" s="7">
        <v>228.03484788673256</v>
      </c>
      <c r="P105" s="7">
        <v>1464.7250507085628</v>
      </c>
      <c r="Q105" s="7">
        <v>1456.7832200737248</v>
      </c>
    </row>
    <row r="106" spans="1:17" x14ac:dyDescent="0.25">
      <c r="A106" s="7">
        <v>176</v>
      </c>
      <c r="B106" s="7">
        <v>1.1855464951332864</v>
      </c>
      <c r="C106" s="7">
        <v>290.8691551909144</v>
      </c>
      <c r="D106" s="7">
        <v>36.233082866478377</v>
      </c>
      <c r="E106" s="7">
        <v>9.4779500852809506E-2</v>
      </c>
      <c r="F106" s="7">
        <v>100000</v>
      </c>
      <c r="G106" s="7">
        <v>3.8283544030678236</v>
      </c>
      <c r="H106" s="7">
        <v>0.4854721623492233</v>
      </c>
      <c r="I106" s="7">
        <v>798.98406414417798</v>
      </c>
      <c r="J106" s="7">
        <v>325.14408468591864</v>
      </c>
      <c r="K106" s="7">
        <v>4.7002291577570153E-2</v>
      </c>
      <c r="L106" s="7">
        <v>159691.10581540607</v>
      </c>
      <c r="M106" s="7">
        <v>0.10535240884928888</v>
      </c>
      <c r="N106" s="7">
        <v>0.51865275577657366</v>
      </c>
      <c r="O106" s="7">
        <v>228.07373346365026</v>
      </c>
      <c r="P106" s="7">
        <v>1464.5729085461089</v>
      </c>
      <c r="Q106" s="7">
        <v>1451.2074666480112</v>
      </c>
    </row>
    <row r="107" spans="1:17" x14ac:dyDescent="0.25">
      <c r="A107" s="7">
        <v>177</v>
      </c>
      <c r="B107" s="7">
        <v>1.1855294145285216</v>
      </c>
      <c r="C107" s="7">
        <v>290.83865444256418</v>
      </c>
      <c r="D107" s="7">
        <v>36.273541248674952</v>
      </c>
      <c r="E107" s="7">
        <v>9.4847187754250564E-2</v>
      </c>
      <c r="F107" s="7">
        <v>100000</v>
      </c>
      <c r="G107" s="7">
        <v>3.8210681496035992</v>
      </c>
      <c r="H107" s="7">
        <v>0.48540863829425651</v>
      </c>
      <c r="I107" s="7">
        <v>798.99350727057231</v>
      </c>
      <c r="J107" s="7">
        <v>326.3577983768547</v>
      </c>
      <c r="K107" s="7">
        <v>4.7241045190773191E-2</v>
      </c>
      <c r="L107" s="7">
        <v>159682.60415332555</v>
      </c>
      <c r="M107" s="7">
        <v>0.10531580848717727</v>
      </c>
      <c r="N107" s="7">
        <v>0.5186743860776365</v>
      </c>
      <c r="O107" s="7">
        <v>228.036119200672</v>
      </c>
      <c r="P107" s="7">
        <v>1464.8224704116017</v>
      </c>
      <c r="Q107" s="7">
        <v>1456.2791435301115</v>
      </c>
    </row>
    <row r="108" spans="1:17" x14ac:dyDescent="0.25">
      <c r="A108" s="7">
        <v>178</v>
      </c>
      <c r="B108" s="7">
        <v>1.185536104596993</v>
      </c>
      <c r="C108" s="7">
        <v>290.82162775029343</v>
      </c>
      <c r="D108" s="7">
        <v>36.365723343360401</v>
      </c>
      <c r="E108" s="7">
        <v>9.4893913749867026E-2</v>
      </c>
      <c r="F108" s="7">
        <v>100000</v>
      </c>
      <c r="G108" s="7">
        <v>3.8276410625246529</v>
      </c>
      <c r="H108" s="7">
        <v>0.48546750503200087</v>
      </c>
      <c r="I108" s="7">
        <v>798.59359951579336</v>
      </c>
      <c r="J108" s="7">
        <v>326.40860553292646</v>
      </c>
      <c r="K108" s="7">
        <v>4.7093134318004159E-2</v>
      </c>
      <c r="L108" s="7">
        <v>159988.39787583545</v>
      </c>
      <c r="M108" s="7">
        <v>0.10534519774996561</v>
      </c>
      <c r="N108" s="7">
        <v>0.51867572189552824</v>
      </c>
      <c r="O108" s="7">
        <v>228.0362877034913</v>
      </c>
      <c r="P108" s="7">
        <v>1463.1562674729005</v>
      </c>
      <c r="Q108" s="7">
        <v>1460.0303298016588</v>
      </c>
    </row>
    <row r="109" spans="1:17" x14ac:dyDescent="0.25">
      <c r="A109" s="7">
        <v>179</v>
      </c>
      <c r="B109" s="7">
        <v>1.1855396579208604</v>
      </c>
      <c r="C109" s="7">
        <v>290.8469130485326</v>
      </c>
      <c r="D109" s="7">
        <v>36.342268685081827</v>
      </c>
      <c r="E109" s="7">
        <v>9.4779489519273563E-2</v>
      </c>
      <c r="F109" s="7">
        <v>100000</v>
      </c>
      <c r="G109" s="7">
        <v>3.8115633091317331</v>
      </c>
      <c r="H109" s="7">
        <v>0.48543052388845082</v>
      </c>
      <c r="I109" s="7">
        <v>799.05359108204038</v>
      </c>
      <c r="J109" s="7">
        <v>324.92520159167117</v>
      </c>
      <c r="K109" s="7">
        <v>4.691780042557938E-2</v>
      </c>
      <c r="L109" s="7">
        <v>159724.47242973128</v>
      </c>
      <c r="M109" s="7">
        <v>0.10519037887184958</v>
      </c>
      <c r="N109" s="7">
        <v>0.51869838750543917</v>
      </c>
      <c r="O109" s="7">
        <v>228.06464802810228</v>
      </c>
      <c r="P109" s="7">
        <v>1463.2626075251244</v>
      </c>
      <c r="Q109" s="7">
        <v>1451.4999961435606</v>
      </c>
    </row>
    <row r="110" spans="1:17" x14ac:dyDescent="0.25">
      <c r="A110" s="7">
        <v>180</v>
      </c>
      <c r="B110" s="7">
        <v>1.1855250189681608</v>
      </c>
      <c r="C110" s="7">
        <v>290.86398588008757</v>
      </c>
      <c r="D110" s="7">
        <v>36.246060573078708</v>
      </c>
      <c r="E110" s="7">
        <v>9.4911773500649832E-2</v>
      </c>
      <c r="F110" s="7">
        <v>100000</v>
      </c>
      <c r="G110" s="7">
        <v>3.8158989305315831</v>
      </c>
      <c r="H110" s="7">
        <v>0.4854319706828763</v>
      </c>
      <c r="I110" s="7">
        <v>798.88753957833262</v>
      </c>
      <c r="J110" s="7">
        <v>326.0637961019155</v>
      </c>
      <c r="K110" s="7">
        <v>4.6927561362151649E-2</v>
      </c>
      <c r="L110" s="7">
        <v>159861.28825995987</v>
      </c>
      <c r="M110" s="7">
        <v>0.10519292540368445</v>
      </c>
      <c r="N110" s="7">
        <v>0.51867640119164182</v>
      </c>
      <c r="O110" s="7">
        <v>228.06547925698447</v>
      </c>
      <c r="P110" s="7">
        <v>1461.9406914708177</v>
      </c>
      <c r="Q110" s="7">
        <v>1454.5520606634018</v>
      </c>
    </row>
    <row r="111" spans="1:17" x14ac:dyDescent="0.25">
      <c r="A111" s="7">
        <v>181</v>
      </c>
      <c r="B111" s="7">
        <v>1.1855430903858866</v>
      </c>
      <c r="C111" s="7">
        <v>290.83330787069048</v>
      </c>
      <c r="D111" s="7">
        <v>36.337167574642734</v>
      </c>
      <c r="E111" s="7">
        <v>9.477869262714439E-2</v>
      </c>
      <c r="F111" s="7">
        <v>100000</v>
      </c>
      <c r="G111" s="7">
        <v>3.8166301013768478</v>
      </c>
      <c r="H111" s="7">
        <v>0.48544890116532075</v>
      </c>
      <c r="I111" s="7">
        <v>798.89344376890438</v>
      </c>
      <c r="J111" s="7">
        <v>326.36230272058555</v>
      </c>
      <c r="K111" s="7">
        <v>4.7129277711943432E-2</v>
      </c>
      <c r="L111" s="7">
        <v>159980.63956631042</v>
      </c>
      <c r="M111" s="7">
        <v>0.10535262812288687</v>
      </c>
      <c r="N111" s="7">
        <v>0.51866113847183071</v>
      </c>
      <c r="O111" s="7">
        <v>228.04052979683524</v>
      </c>
      <c r="P111" s="7">
        <v>1464.7054586103245</v>
      </c>
      <c r="Q111" s="7">
        <v>1458.4479230496145</v>
      </c>
    </row>
    <row r="112" spans="1:17" x14ac:dyDescent="0.25">
      <c r="A112" s="7">
        <v>182</v>
      </c>
      <c r="B112" s="7">
        <v>1.185527651616519</v>
      </c>
      <c r="C112" s="7">
        <v>290.8423638579589</v>
      </c>
      <c r="D112" s="7">
        <v>36.253696102501245</v>
      </c>
      <c r="E112" s="7">
        <v>9.489999119659967E-2</v>
      </c>
      <c r="F112" s="7">
        <v>100000</v>
      </c>
      <c r="G112" s="7">
        <v>3.8335694885519551</v>
      </c>
      <c r="H112" s="7">
        <v>0.48539980212924227</v>
      </c>
      <c r="I112" s="7">
        <v>798.60374307162385</v>
      </c>
      <c r="J112" s="7">
        <v>324.79294793503038</v>
      </c>
      <c r="K112" s="7">
        <v>4.7155866686932661E-2</v>
      </c>
      <c r="L112" s="7">
        <v>159830.212136596</v>
      </c>
      <c r="M112" s="7">
        <v>0.10533479211382102</v>
      </c>
      <c r="N112" s="7">
        <v>0.51864449590878037</v>
      </c>
      <c r="O112" s="7">
        <v>228.05608333365205</v>
      </c>
      <c r="P112" s="7">
        <v>1461.9833722275334</v>
      </c>
      <c r="Q112" s="7">
        <v>1452.9329183644659</v>
      </c>
    </row>
    <row r="113" spans="1:17" x14ac:dyDescent="0.25">
      <c r="A113" s="7">
        <v>183</v>
      </c>
      <c r="B113" s="7">
        <v>1.1855462437829478</v>
      </c>
      <c r="C113" s="7">
        <v>290.84358909821503</v>
      </c>
      <c r="D113" s="7">
        <v>36.317225201391082</v>
      </c>
      <c r="E113" s="7">
        <v>9.4830736441289393E-2</v>
      </c>
      <c r="F113" s="7">
        <v>100000</v>
      </c>
      <c r="G113" s="7">
        <v>3.8236597267312589</v>
      </c>
      <c r="H113" s="7">
        <v>0.48538005767588699</v>
      </c>
      <c r="I113" s="7">
        <v>798.75706163049756</v>
      </c>
      <c r="J113" s="7">
        <v>325.85668435191894</v>
      </c>
      <c r="K113" s="7">
        <v>4.7172397847941333E-2</v>
      </c>
      <c r="L113" s="7">
        <v>159975.61587233644</v>
      </c>
      <c r="M113" s="7">
        <v>0.10525585855491822</v>
      </c>
      <c r="N113" s="7">
        <v>0.51864280170264876</v>
      </c>
      <c r="O113" s="7">
        <v>228.05315438118151</v>
      </c>
      <c r="P113" s="7">
        <v>1462.6975397247982</v>
      </c>
      <c r="Q113" s="7">
        <v>1456.6340089488585</v>
      </c>
    </row>
    <row r="114" spans="1:17" x14ac:dyDescent="0.25">
      <c r="A114" s="7">
        <v>184</v>
      </c>
      <c r="B114" s="7">
        <v>1.1855370762209145</v>
      </c>
      <c r="C114" s="7">
        <v>290.85785114285443</v>
      </c>
      <c r="D114" s="7">
        <v>36.306607441614062</v>
      </c>
      <c r="E114" s="7">
        <v>9.4909093688068352E-2</v>
      </c>
      <c r="F114" s="7">
        <v>100000</v>
      </c>
      <c r="G114" s="7">
        <v>3.8151806986807735</v>
      </c>
      <c r="H114" s="7">
        <v>0.48550969605130356</v>
      </c>
      <c r="I114" s="7">
        <v>798.99957124064497</v>
      </c>
      <c r="J114" s="7">
        <v>326.15658992471299</v>
      </c>
      <c r="K114" s="7">
        <v>4.7181389544238422E-2</v>
      </c>
      <c r="L114" s="7">
        <v>159843.08569403051</v>
      </c>
      <c r="M114" s="7">
        <v>0.10535069948128101</v>
      </c>
      <c r="N114" s="7">
        <v>0.51866783770991476</v>
      </c>
      <c r="O114" s="7">
        <v>228.06018476081894</v>
      </c>
      <c r="P114" s="7">
        <v>1462.178219619954</v>
      </c>
      <c r="Q114" s="7">
        <v>1455.3293107564605</v>
      </c>
    </row>
    <row r="115" spans="1:17" x14ac:dyDescent="0.25">
      <c r="A115" s="7">
        <v>185</v>
      </c>
      <c r="B115" s="7">
        <v>1.1855340393804226</v>
      </c>
      <c r="C115" s="7">
        <v>290.86045028721043</v>
      </c>
      <c r="D115" s="7">
        <v>36.323905331945369</v>
      </c>
      <c r="E115" s="7">
        <v>9.4838899799754614E-2</v>
      </c>
      <c r="F115" s="7">
        <v>100000</v>
      </c>
      <c r="G115" s="7">
        <v>3.8210426928784527</v>
      </c>
      <c r="H115" s="7">
        <v>0.48557080243207718</v>
      </c>
      <c r="I115" s="7">
        <v>798.83094967418435</v>
      </c>
      <c r="J115" s="7">
        <v>325.33604631384554</v>
      </c>
      <c r="K115" s="7">
        <v>4.693316703569847E-2</v>
      </c>
      <c r="L115" s="7">
        <v>159780.42195232573</v>
      </c>
      <c r="M115" s="7">
        <v>0.10522398147111194</v>
      </c>
      <c r="N115" s="7">
        <v>0.51862475821096843</v>
      </c>
      <c r="O115" s="7">
        <v>228.06560085355804</v>
      </c>
      <c r="P115" s="7">
        <v>1463.7282250955186</v>
      </c>
      <c r="Q115" s="7">
        <v>1452.7411378158067</v>
      </c>
    </row>
    <row r="116" spans="1:17" x14ac:dyDescent="0.25">
      <c r="A116" s="7">
        <v>186</v>
      </c>
      <c r="B116" s="7">
        <v>1.1855357590716122</v>
      </c>
      <c r="C116" s="7">
        <v>290.82236462039532</v>
      </c>
      <c r="D116" s="7">
        <v>36.308768875127619</v>
      </c>
      <c r="E116" s="7">
        <v>9.4812556834480352E-2</v>
      </c>
      <c r="F116" s="7">
        <v>100000</v>
      </c>
      <c r="G116" s="7">
        <v>3.8196645393936102</v>
      </c>
      <c r="H116" s="7">
        <v>0.48550759539990823</v>
      </c>
      <c r="I116" s="7">
        <v>798.82280465678184</v>
      </c>
      <c r="J116" s="7">
        <v>325.03409795656722</v>
      </c>
      <c r="K116" s="7">
        <v>4.7200245883336836E-2</v>
      </c>
      <c r="L116" s="7">
        <v>159982.59899706929</v>
      </c>
      <c r="M116" s="7">
        <v>0.10519452067982463</v>
      </c>
      <c r="N116" s="7">
        <v>0.51868972776766853</v>
      </c>
      <c r="O116" s="7">
        <v>228.05103797549071</v>
      </c>
      <c r="P116" s="7">
        <v>1464.8160045113943</v>
      </c>
      <c r="Q116" s="7">
        <v>1455.1692122873428</v>
      </c>
    </row>
    <row r="117" spans="1:17" x14ac:dyDescent="0.25">
      <c r="A117" s="7">
        <v>187</v>
      </c>
      <c r="B117" s="7">
        <v>1.1855267721164173</v>
      </c>
      <c r="C117" s="7">
        <v>290.8223932448916</v>
      </c>
      <c r="D117" s="7">
        <v>36.357756333742834</v>
      </c>
      <c r="E117" s="7">
        <v>9.4903381925545496E-2</v>
      </c>
      <c r="F117" s="7">
        <v>100000</v>
      </c>
      <c r="G117" s="7">
        <v>3.8259097851847002</v>
      </c>
      <c r="H117" s="7">
        <v>0.48555278282689052</v>
      </c>
      <c r="I117" s="7">
        <v>799.04101292217365</v>
      </c>
      <c r="J117" s="7">
        <v>325.7444403362577</v>
      </c>
      <c r="K117" s="7">
        <v>4.7063447309727321E-2</v>
      </c>
      <c r="L117" s="7">
        <v>159899.69049008089</v>
      </c>
      <c r="M117" s="7">
        <v>0.10525530711161145</v>
      </c>
      <c r="N117" s="7">
        <v>0.5186397332032493</v>
      </c>
      <c r="O117" s="7">
        <v>228.06500122116216</v>
      </c>
      <c r="P117" s="7">
        <v>1463.5713249143855</v>
      </c>
      <c r="Q117" s="7">
        <v>1457.3693573279816</v>
      </c>
    </row>
    <row r="118" spans="1:17" x14ac:dyDescent="0.25">
      <c r="A118" s="7">
        <v>188</v>
      </c>
      <c r="B118" s="7">
        <v>1.1855315625133709</v>
      </c>
      <c r="C118" s="7">
        <v>290.8434337827033</v>
      </c>
      <c r="D118" s="7">
        <v>36.312249221644556</v>
      </c>
      <c r="E118" s="7">
        <v>9.4840626546009416E-2</v>
      </c>
      <c r="F118" s="7">
        <v>100000</v>
      </c>
      <c r="G118" s="7">
        <v>3.812012211237835</v>
      </c>
      <c r="H118" s="7">
        <v>0.48547810068260272</v>
      </c>
      <c r="I118" s="7">
        <v>798.63708251033586</v>
      </c>
      <c r="J118" s="7">
        <v>325.77074312077764</v>
      </c>
      <c r="K118" s="7">
        <v>4.7166370995231799E-2</v>
      </c>
      <c r="L118" s="7">
        <v>159865.68716636978</v>
      </c>
      <c r="M118" s="7">
        <v>0.1053094557990594</v>
      </c>
      <c r="N118" s="7">
        <v>0.51863797866575245</v>
      </c>
      <c r="O118" s="7">
        <v>228.05548400751425</v>
      </c>
      <c r="P118" s="7">
        <v>1462.3766831418541</v>
      </c>
      <c r="Q118" s="7">
        <v>1454.8624719793952</v>
      </c>
    </row>
    <row r="119" spans="1:17" x14ac:dyDescent="0.25">
      <c r="A119" s="7">
        <v>189</v>
      </c>
      <c r="B119" s="7">
        <v>1.1855364012423881</v>
      </c>
      <c r="C119" s="7">
        <v>290.83157062314461</v>
      </c>
      <c r="D119" s="7">
        <v>36.27868611128045</v>
      </c>
      <c r="E119" s="7">
        <v>9.4784568024957841E-2</v>
      </c>
      <c r="F119" s="7">
        <v>100000</v>
      </c>
      <c r="G119" s="7">
        <v>3.8309875393243145</v>
      </c>
      <c r="H119" s="7">
        <v>0.4854550450503361</v>
      </c>
      <c r="I119" s="7">
        <v>798.95184435991735</v>
      </c>
      <c r="J119" s="7">
        <v>326.20262179474412</v>
      </c>
      <c r="K119" s="7">
        <v>4.7058172094240534E-2</v>
      </c>
      <c r="L119" s="7">
        <v>159763.16201671405</v>
      </c>
      <c r="M119" s="7">
        <v>0.10533843624090314</v>
      </c>
      <c r="N119" s="7">
        <v>0.51867895335454006</v>
      </c>
      <c r="O119" s="7">
        <v>228.04071696472346</v>
      </c>
      <c r="P119" s="7">
        <v>1462.0878890487279</v>
      </c>
      <c r="Q119" s="7">
        <v>1457.3555434808877</v>
      </c>
    </row>
    <row r="120" spans="1:17" x14ac:dyDescent="0.25">
      <c r="A120" s="7">
        <v>190</v>
      </c>
      <c r="B120" s="7">
        <v>1.185541439209358</v>
      </c>
      <c r="C120" s="7">
        <v>290.83688007748765</v>
      </c>
      <c r="D120" s="7">
        <v>36.30924560413758</v>
      </c>
      <c r="E120" s="7">
        <v>9.4858519111334458E-2</v>
      </c>
      <c r="F120" s="7">
        <v>100000</v>
      </c>
      <c r="G120" s="7">
        <v>3.824753647741812</v>
      </c>
      <c r="H120" s="7">
        <v>0.4855701439163681</v>
      </c>
      <c r="I120" s="7">
        <v>798.99636385462441</v>
      </c>
      <c r="J120" s="7">
        <v>325.62016216986814</v>
      </c>
      <c r="K120" s="7">
        <v>4.7170950366279163E-2</v>
      </c>
      <c r="L120" s="7">
        <v>159978.33539540929</v>
      </c>
      <c r="M120" s="7">
        <v>0.105251749574636</v>
      </c>
      <c r="N120" s="7">
        <v>0.51865553395734454</v>
      </c>
      <c r="O120" s="7">
        <v>228.05837432489869</v>
      </c>
      <c r="P120" s="7">
        <v>1464.0801232182775</v>
      </c>
      <c r="Q120" s="7">
        <v>1456.4062511508164</v>
      </c>
    </row>
    <row r="121" spans="1:17" x14ac:dyDescent="0.25">
      <c r="A121" s="7">
        <v>191</v>
      </c>
      <c r="B121" s="7">
        <v>1.185530613655166</v>
      </c>
      <c r="C121" s="7">
        <v>290.84769646264726</v>
      </c>
      <c r="D121" s="7">
        <v>36.260795737334789</v>
      </c>
      <c r="E121" s="7">
        <v>9.4824200914983531E-2</v>
      </c>
      <c r="F121" s="7">
        <v>100000</v>
      </c>
      <c r="G121" s="7">
        <v>3.8208517470930361</v>
      </c>
      <c r="H121" s="7">
        <v>0.48553326533389546</v>
      </c>
      <c r="I121" s="7">
        <v>798.8625399000673</v>
      </c>
      <c r="J121" s="7">
        <v>325.73694877082062</v>
      </c>
      <c r="K121" s="7">
        <v>4.7006866358650166E-2</v>
      </c>
      <c r="L121" s="7">
        <v>159851.1440328584</v>
      </c>
      <c r="M121" s="7">
        <v>0.10529538459329986</v>
      </c>
      <c r="N121" s="7">
        <v>0.51863297626068472</v>
      </c>
      <c r="O121" s="7">
        <v>228.06104378017903</v>
      </c>
      <c r="P121" s="7">
        <v>1464.5559745076152</v>
      </c>
      <c r="Q121" s="7">
        <v>1454.813692935677</v>
      </c>
    </row>
    <row r="122" spans="1:17" x14ac:dyDescent="0.25">
      <c r="A122" s="7">
        <v>192</v>
      </c>
      <c r="B122" s="7">
        <v>1.1855368430064461</v>
      </c>
      <c r="C122" s="7">
        <v>290.8299984978064</v>
      </c>
      <c r="D122" s="7">
        <v>36.338672809999451</v>
      </c>
      <c r="E122" s="7">
        <v>9.4816938314075505E-2</v>
      </c>
      <c r="F122" s="7">
        <v>100000</v>
      </c>
      <c r="G122" s="7">
        <v>3.8277377302804259</v>
      </c>
      <c r="H122" s="7">
        <v>0.48538270045408366</v>
      </c>
      <c r="I122" s="7">
        <v>798.94465140746831</v>
      </c>
      <c r="J122" s="7">
        <v>326.08503123083949</v>
      </c>
      <c r="K122" s="7">
        <v>4.6981666779562344E-2</v>
      </c>
      <c r="L122" s="7">
        <v>159944.91659484169</v>
      </c>
      <c r="M122" s="7">
        <v>0.10530752476530983</v>
      </c>
      <c r="N122" s="7">
        <v>0.5186345428806457</v>
      </c>
      <c r="O122" s="7">
        <v>228.04724784293711</v>
      </c>
      <c r="P122" s="7">
        <v>1463.3786703494513</v>
      </c>
      <c r="Q122" s="7">
        <v>1458.31289029045</v>
      </c>
    </row>
    <row r="123" spans="1:17" x14ac:dyDescent="0.25">
      <c r="A123" s="7">
        <v>193</v>
      </c>
      <c r="B123" s="7">
        <v>1.185541653314061</v>
      </c>
      <c r="C123" s="7">
        <v>290.85221025118477</v>
      </c>
      <c r="D123" s="7">
        <v>36.266770193267789</v>
      </c>
      <c r="E123" s="7">
        <v>9.4856297075130547E-2</v>
      </c>
      <c r="F123" s="7">
        <v>100000</v>
      </c>
      <c r="G123" s="7">
        <v>3.8231692603916918</v>
      </c>
      <c r="H123" s="7">
        <v>0.48549877557373156</v>
      </c>
      <c r="I123" s="7">
        <v>799.02477537251741</v>
      </c>
      <c r="J123" s="7">
        <v>325.8441277910203</v>
      </c>
      <c r="K123" s="7">
        <v>4.6971629941310336E-2</v>
      </c>
      <c r="L123" s="7">
        <v>159881.53579759167</v>
      </c>
      <c r="M123" s="7">
        <v>0.10526805796454469</v>
      </c>
      <c r="N123" s="7">
        <v>0.51864229333893064</v>
      </c>
      <c r="O123" s="7">
        <v>228.06554420329925</v>
      </c>
      <c r="P123" s="7">
        <v>1462.8998149393815</v>
      </c>
      <c r="Q123" s="7">
        <v>1455.2912784603468</v>
      </c>
    </row>
    <row r="124" spans="1:17" x14ac:dyDescent="0.25">
      <c r="A124" s="7">
        <v>194</v>
      </c>
      <c r="B124" s="7">
        <v>1.185530178556552</v>
      </c>
      <c r="C124" s="7">
        <v>290.8356224717536</v>
      </c>
      <c r="D124" s="7">
        <v>36.304425517705432</v>
      </c>
      <c r="E124" s="7">
        <v>9.4906743840575417E-2</v>
      </c>
      <c r="F124" s="7">
        <v>100000</v>
      </c>
      <c r="G124" s="7">
        <v>3.8266653877300407</v>
      </c>
      <c r="H124" s="7">
        <v>0.4854079849950822</v>
      </c>
      <c r="I124" s="7">
        <v>798.71215298440404</v>
      </c>
      <c r="J124" s="7">
        <v>325.44735165654959</v>
      </c>
      <c r="K124" s="7">
        <v>4.7018707617400124E-2</v>
      </c>
      <c r="L124" s="7">
        <v>159813.33621618274</v>
      </c>
      <c r="M124" s="7">
        <v>0.10529908254883123</v>
      </c>
      <c r="N124" s="7">
        <v>0.51867250581381974</v>
      </c>
      <c r="O124" s="7">
        <v>228.04822336709034</v>
      </c>
      <c r="P124" s="7">
        <v>1462.1976620921046</v>
      </c>
      <c r="Q124" s="7">
        <v>1454.9766388825883</v>
      </c>
    </row>
    <row r="125" spans="1:17" x14ac:dyDescent="0.25">
      <c r="A125" s="7">
        <v>195</v>
      </c>
      <c r="B125" s="7">
        <v>1.1855280220599662</v>
      </c>
      <c r="C125" s="7">
        <v>290.85978957697546</v>
      </c>
      <c r="D125" s="7">
        <v>36.263303271798833</v>
      </c>
      <c r="E125" s="7">
        <v>9.4790752825016145E-2</v>
      </c>
      <c r="F125" s="7">
        <v>100000</v>
      </c>
      <c r="G125" s="7">
        <v>3.8245170731533991</v>
      </c>
      <c r="H125" s="7">
        <v>0.48553487008320423</v>
      </c>
      <c r="I125" s="7">
        <v>798.87757027196096</v>
      </c>
      <c r="J125" s="7">
        <v>325.77954450435675</v>
      </c>
      <c r="K125" s="7">
        <v>4.7032217386258457E-2</v>
      </c>
      <c r="L125" s="7">
        <v>159906.44662903104</v>
      </c>
      <c r="M125" s="7">
        <v>0.1052247985361741</v>
      </c>
      <c r="N125" s="7">
        <v>0.51867462846993273</v>
      </c>
      <c r="O125" s="7">
        <v>228.04430098583552</v>
      </c>
      <c r="P125" s="7">
        <v>1463.3765426961943</v>
      </c>
      <c r="Q125" s="7">
        <v>1454.9214511178943</v>
      </c>
    </row>
    <row r="126" spans="1:17" x14ac:dyDescent="0.25">
      <c r="A126" s="7">
        <v>196</v>
      </c>
      <c r="B126" s="7">
        <v>1.1855389420750111</v>
      </c>
      <c r="C126" s="7">
        <v>290.85657987775801</v>
      </c>
      <c r="D126" s="7">
        <v>36.326044361371231</v>
      </c>
      <c r="E126" s="7">
        <v>9.4844848465072615E-2</v>
      </c>
      <c r="F126" s="7">
        <v>100000</v>
      </c>
      <c r="G126" s="7">
        <v>3.8253891622051226</v>
      </c>
      <c r="H126" s="7">
        <v>0.48539281631064363</v>
      </c>
      <c r="I126" s="7">
        <v>798.97643404003077</v>
      </c>
      <c r="J126" s="7">
        <v>325.44356592366836</v>
      </c>
      <c r="K126" s="7">
        <v>4.6974062781676366E-2</v>
      </c>
      <c r="L126" s="7">
        <v>159852.79453709675</v>
      </c>
      <c r="M126" s="7">
        <v>0.10524044620971597</v>
      </c>
      <c r="N126" s="7">
        <v>0.51867954041306741</v>
      </c>
      <c r="O126" s="7">
        <v>228.05855095173357</v>
      </c>
      <c r="P126" s="7">
        <v>1462.8887834068184</v>
      </c>
      <c r="Q126" s="7">
        <v>1454.1211467299654</v>
      </c>
    </row>
    <row r="127" spans="1:17" x14ac:dyDescent="0.25">
      <c r="A127" s="7">
        <v>197</v>
      </c>
      <c r="B127" s="7">
        <v>1.1855359752707084</v>
      </c>
      <c r="C127" s="7">
        <v>290.82777061698579</v>
      </c>
      <c r="D127" s="7">
        <v>36.267951514979138</v>
      </c>
      <c r="E127" s="7">
        <v>9.4833266030974417E-2</v>
      </c>
      <c r="F127" s="7">
        <v>100000</v>
      </c>
      <c r="G127" s="7">
        <v>3.8227111018059432</v>
      </c>
      <c r="H127" s="7">
        <v>0.48553512510576396</v>
      </c>
      <c r="I127" s="7">
        <v>798.8414641868543</v>
      </c>
      <c r="J127" s="7">
        <v>325.46233691381889</v>
      </c>
      <c r="K127" s="7">
        <v>4.7092848555264868E-2</v>
      </c>
      <c r="L127" s="7">
        <v>159973.07687503248</v>
      </c>
      <c r="M127" s="7">
        <v>0.10523511994257242</v>
      </c>
      <c r="N127" s="7">
        <v>0.51863801538859677</v>
      </c>
      <c r="O127" s="7">
        <v>228.06437329232745</v>
      </c>
      <c r="P127" s="7">
        <v>1462.9247822282459</v>
      </c>
      <c r="Q127" s="7">
        <v>1456.0287789877548</v>
      </c>
    </row>
    <row r="128" spans="1:17" x14ac:dyDescent="0.25">
      <c r="A128" s="7">
        <v>198</v>
      </c>
      <c r="B128" s="7">
        <v>1.1855348427532535</v>
      </c>
      <c r="C128" s="7">
        <v>290.85372816814163</v>
      </c>
      <c r="D128" s="7">
        <v>36.284634938787356</v>
      </c>
      <c r="E128" s="7">
        <v>9.4889744282799934E-2</v>
      </c>
      <c r="F128" s="7">
        <v>100000</v>
      </c>
      <c r="G128" s="7">
        <v>3.8132631906695105</v>
      </c>
      <c r="H128" s="7">
        <v>0.48551651045142585</v>
      </c>
      <c r="I128" s="7">
        <v>798.93213271889306</v>
      </c>
      <c r="J128" s="7">
        <v>326.18716718837067</v>
      </c>
      <c r="K128" s="7">
        <v>4.7051107718988468E-2</v>
      </c>
      <c r="L128" s="7">
        <v>159926.88492315152</v>
      </c>
      <c r="M128" s="7">
        <v>0.10530663026996603</v>
      </c>
      <c r="N128" s="7">
        <v>0.51866748489745795</v>
      </c>
      <c r="O128" s="7">
        <v>228.0528821047798</v>
      </c>
      <c r="P128" s="7">
        <v>1462.5243054464249</v>
      </c>
      <c r="Q128" s="7">
        <v>1455.9627184202473</v>
      </c>
    </row>
    <row r="129" spans="1:17" x14ac:dyDescent="0.25">
      <c r="A129" s="7">
        <v>199</v>
      </c>
      <c r="B129" s="7">
        <v>1.1855363470968634</v>
      </c>
      <c r="C129" s="7">
        <v>290.83087229934898</v>
      </c>
      <c r="D129" s="7">
        <v>36.331071013451428</v>
      </c>
      <c r="E129" s="7">
        <v>9.489277627416863E-2</v>
      </c>
      <c r="F129" s="7">
        <v>100000</v>
      </c>
      <c r="G129" s="7">
        <v>3.8275206195466733</v>
      </c>
      <c r="H129" s="7">
        <v>0.48549675486492355</v>
      </c>
      <c r="I129" s="7">
        <v>798.75988858995606</v>
      </c>
      <c r="J129" s="7">
        <v>325.6568669807761</v>
      </c>
      <c r="K129" s="7">
        <v>4.7020590083288683E-2</v>
      </c>
      <c r="L129" s="7">
        <v>159882.53950237707</v>
      </c>
      <c r="M129" s="7">
        <v>0.10530738885673678</v>
      </c>
      <c r="N129" s="7">
        <v>0.5186399566189227</v>
      </c>
      <c r="O129" s="7">
        <v>228.05006714382603</v>
      </c>
      <c r="P129" s="7">
        <v>1463.3031006858707</v>
      </c>
      <c r="Q129" s="7">
        <v>1456.4753524880434</v>
      </c>
    </row>
    <row r="130" spans="1:17" x14ac:dyDescent="0.25">
      <c r="A130" s="7">
        <v>200</v>
      </c>
      <c r="B130" s="7">
        <v>1.1855284146102589</v>
      </c>
      <c r="C130" s="7">
        <v>290.84660696934725</v>
      </c>
      <c r="D130" s="7">
        <v>36.265348916981054</v>
      </c>
      <c r="E130" s="7">
        <v>9.4811269035728854E-2</v>
      </c>
      <c r="F130" s="7">
        <v>100000</v>
      </c>
      <c r="G130" s="7">
        <v>3.8268187458457228</v>
      </c>
      <c r="H130" s="7">
        <v>0.48547708230736902</v>
      </c>
      <c r="I130" s="7">
        <v>798.92464600987103</v>
      </c>
      <c r="J130" s="7">
        <v>326.11960812649733</v>
      </c>
      <c r="K130" s="7">
        <v>4.7085717487389121E-2</v>
      </c>
      <c r="L130" s="7">
        <v>159851.89741414238</v>
      </c>
      <c r="M130" s="7">
        <v>0.10522938080791684</v>
      </c>
      <c r="N130" s="7">
        <v>0.51863741223608928</v>
      </c>
      <c r="O130" s="7">
        <v>228.04827128455418</v>
      </c>
      <c r="P130" s="7">
        <v>1463.0187069929755</v>
      </c>
      <c r="Q130" s="7">
        <v>1456.4719065985919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405"/>
  <sheetViews>
    <sheetView topLeftCell="A396" zoomScale="145" zoomScaleNormal="145" workbookViewId="0">
      <selection activeCell="B405" sqref="B405"/>
    </sheetView>
  </sheetViews>
  <sheetFormatPr defaultRowHeight="15" x14ac:dyDescent="0.25"/>
  <cols>
    <col min="22" max="22" width="10.7109375" bestFit="1" customWidth="1"/>
    <col min="23" max="24" width="14.28515625" bestFit="1" customWidth="1"/>
    <col min="25" max="27" width="14.28515625" customWidth="1"/>
  </cols>
  <sheetData>
    <row r="1" spans="1:18" x14ac:dyDescent="0.25">
      <c r="A1" s="7" t="s">
        <v>49</v>
      </c>
      <c r="B1" s="7" t="s">
        <v>50</v>
      </c>
      <c r="C1" s="7" t="s">
        <v>51</v>
      </c>
      <c r="D1" s="7" t="s">
        <v>52</v>
      </c>
      <c r="E1" s="7" t="s">
        <v>53</v>
      </c>
      <c r="F1" s="7" t="s">
        <v>54</v>
      </c>
      <c r="G1" s="7" t="s">
        <v>55</v>
      </c>
      <c r="H1" s="7" t="s">
        <v>56</v>
      </c>
      <c r="I1" s="7" t="s">
        <v>51</v>
      </c>
      <c r="J1" s="7" t="s">
        <v>52</v>
      </c>
      <c r="K1" s="7" t="s">
        <v>57</v>
      </c>
      <c r="L1" s="7" t="s">
        <v>58</v>
      </c>
      <c r="M1" s="7" t="s">
        <v>59</v>
      </c>
      <c r="N1" s="7" t="s">
        <v>60</v>
      </c>
      <c r="O1" s="7" t="s">
        <v>61</v>
      </c>
      <c r="P1" s="7" t="s">
        <v>63</v>
      </c>
      <c r="Q1" t="s">
        <v>64</v>
      </c>
      <c r="R1" t="s">
        <v>48</v>
      </c>
    </row>
    <row r="2" spans="1:18" x14ac:dyDescent="0.25">
      <c r="A2" s="7">
        <v>1</v>
      </c>
      <c r="B2" s="7">
        <v>1.24</v>
      </c>
      <c r="C2" s="7">
        <v>280</v>
      </c>
      <c r="D2" s="7">
        <v>80</v>
      </c>
      <c r="E2" s="7">
        <v>0.10100000000000001</v>
      </c>
      <c r="F2" s="7">
        <v>100000</v>
      </c>
      <c r="G2" s="7">
        <v>6.12</v>
      </c>
      <c r="H2" s="7">
        <v>0.35</v>
      </c>
      <c r="I2" s="7">
        <v>980</v>
      </c>
      <c r="J2" s="7">
        <v>907</v>
      </c>
      <c r="K2" s="7">
        <v>3.1E-2</v>
      </c>
      <c r="L2" s="7">
        <v>200000</v>
      </c>
      <c r="M2" s="7">
        <v>0.14000000000000001</v>
      </c>
      <c r="N2" s="7">
        <v>0.8</v>
      </c>
      <c r="O2" s="7">
        <v>190</v>
      </c>
      <c r="P2" s="7">
        <v>4970</v>
      </c>
      <c r="Q2">
        <v>4191.6493949131036</v>
      </c>
      <c r="R2" t="s">
        <v>47</v>
      </c>
    </row>
    <row r="3" spans="1:18" x14ac:dyDescent="0.25">
      <c r="A3" s="7">
        <v>2</v>
      </c>
      <c r="B3" s="7">
        <v>1.24</v>
      </c>
      <c r="C3" s="7">
        <v>280</v>
      </c>
      <c r="D3" s="7">
        <v>80</v>
      </c>
      <c r="E3" s="7">
        <v>0.10199999999999999</v>
      </c>
      <c r="F3" s="7">
        <v>100000</v>
      </c>
      <c r="G3" s="7">
        <v>7.03</v>
      </c>
      <c r="H3" s="7">
        <v>0.35</v>
      </c>
      <c r="I3" s="7">
        <v>970</v>
      </c>
      <c r="J3" s="7">
        <v>658</v>
      </c>
      <c r="K3" s="7">
        <v>4.4999999999999998E-2</v>
      </c>
      <c r="L3" s="7">
        <v>200000</v>
      </c>
      <c r="M3" s="7">
        <v>0.15</v>
      </c>
      <c r="N3" s="7">
        <v>0.7</v>
      </c>
      <c r="O3" s="7">
        <v>240</v>
      </c>
      <c r="P3" s="7">
        <v>3840</v>
      </c>
      <c r="Q3">
        <v>3943.6269524969903</v>
      </c>
      <c r="R3" t="s">
        <v>68</v>
      </c>
    </row>
    <row r="4" spans="1:18" x14ac:dyDescent="0.25">
      <c r="A4" s="7">
        <v>3</v>
      </c>
      <c r="B4" s="7">
        <v>1.24</v>
      </c>
      <c r="C4" s="7">
        <v>280</v>
      </c>
      <c r="D4" s="7">
        <v>70</v>
      </c>
      <c r="E4" s="7">
        <v>0.18099999999999999</v>
      </c>
      <c r="F4" s="7">
        <v>100000</v>
      </c>
      <c r="G4" s="7">
        <v>9.9700000000000006</v>
      </c>
      <c r="H4" s="7">
        <v>0.39</v>
      </c>
      <c r="I4" s="7">
        <v>900</v>
      </c>
      <c r="J4" s="7">
        <v>497</v>
      </c>
      <c r="K4" s="7">
        <v>8.1000000000000003E-2</v>
      </c>
      <c r="L4" s="7">
        <v>200000</v>
      </c>
      <c r="M4" s="7">
        <v>0.2</v>
      </c>
      <c r="N4" s="7">
        <v>0.4</v>
      </c>
      <c r="O4" s="7">
        <v>230</v>
      </c>
      <c r="P4" s="7">
        <v>4718</v>
      </c>
      <c r="Q4">
        <v>3729.3913409251181</v>
      </c>
      <c r="R4" t="s">
        <v>47</v>
      </c>
    </row>
    <row r="5" spans="1:18" x14ac:dyDescent="0.25">
      <c r="A5" s="7">
        <v>4</v>
      </c>
      <c r="B5" s="7">
        <v>1.24</v>
      </c>
      <c r="C5" s="7">
        <v>280</v>
      </c>
      <c r="D5" s="7">
        <v>60</v>
      </c>
      <c r="E5" s="7">
        <v>0.18099999999999999</v>
      </c>
      <c r="F5" s="7">
        <v>100000</v>
      </c>
      <c r="G5" s="7">
        <v>9.1999999999999993</v>
      </c>
      <c r="H5" s="7">
        <v>0.43</v>
      </c>
      <c r="I5" s="7">
        <v>800</v>
      </c>
      <c r="J5" s="7">
        <v>386</v>
      </c>
      <c r="K5" s="7">
        <v>8.1000000000000003E-2</v>
      </c>
      <c r="L5" s="7">
        <v>200000</v>
      </c>
      <c r="M5" s="7">
        <v>0.2</v>
      </c>
      <c r="N5" s="7">
        <v>0.5</v>
      </c>
      <c r="O5" s="7">
        <v>160</v>
      </c>
      <c r="P5" s="7">
        <v>3017</v>
      </c>
      <c r="Q5">
        <v>3370.7158651045684</v>
      </c>
      <c r="R5" t="s">
        <v>47</v>
      </c>
    </row>
    <row r="6" spans="1:18" x14ac:dyDescent="0.25">
      <c r="A6" s="7">
        <v>5</v>
      </c>
      <c r="B6" s="7">
        <v>1.1599999999999999</v>
      </c>
      <c r="C6" s="7">
        <v>300</v>
      </c>
      <c r="D6" s="7">
        <v>70</v>
      </c>
      <c r="E6" s="7">
        <v>0.10100000000000001</v>
      </c>
      <c r="F6" s="7">
        <v>100000</v>
      </c>
      <c r="G6" s="7">
        <v>5.0199999999999996</v>
      </c>
      <c r="H6" s="7">
        <v>0.45</v>
      </c>
      <c r="I6" s="7">
        <v>700</v>
      </c>
      <c r="J6" s="7">
        <v>539</v>
      </c>
      <c r="K6" s="7">
        <v>3.1E-2</v>
      </c>
      <c r="L6" s="7">
        <v>200000</v>
      </c>
      <c r="M6" s="7">
        <v>0.14000000000000001</v>
      </c>
      <c r="N6" s="7">
        <v>0.4</v>
      </c>
      <c r="O6" s="7">
        <v>170</v>
      </c>
      <c r="P6" s="7">
        <v>2309</v>
      </c>
      <c r="Q6">
        <v>2169.3572215889508</v>
      </c>
      <c r="R6" t="s">
        <v>47</v>
      </c>
    </row>
    <row r="7" spans="1:18" x14ac:dyDescent="0.25">
      <c r="A7" s="7">
        <v>6</v>
      </c>
      <c r="B7" s="7">
        <v>1.1599999999999999</v>
      </c>
      <c r="C7" s="7">
        <v>300</v>
      </c>
      <c r="D7" s="7">
        <v>60</v>
      </c>
      <c r="E7" s="7">
        <v>0.10199999999999999</v>
      </c>
      <c r="F7" s="7">
        <v>100000</v>
      </c>
      <c r="G7" s="7">
        <v>4.87</v>
      </c>
      <c r="H7" s="7">
        <v>0.35</v>
      </c>
      <c r="I7" s="7">
        <v>990</v>
      </c>
      <c r="J7" s="7">
        <v>451</v>
      </c>
      <c r="K7" s="7">
        <v>4.4999999999999998E-2</v>
      </c>
      <c r="L7" s="7">
        <v>200000</v>
      </c>
      <c r="M7" s="7">
        <v>0.15</v>
      </c>
      <c r="N7" s="7">
        <v>0.45</v>
      </c>
      <c r="O7" s="7">
        <v>200</v>
      </c>
      <c r="P7" s="7">
        <v>1912</v>
      </c>
      <c r="Q7">
        <v>2570.2026757584463</v>
      </c>
      <c r="R7" t="s">
        <v>47</v>
      </c>
    </row>
    <row r="8" spans="1:18" x14ac:dyDescent="0.25">
      <c r="A8" s="7">
        <v>7</v>
      </c>
      <c r="B8" s="7">
        <v>1.1599999999999999</v>
      </c>
      <c r="C8" s="7">
        <v>300</v>
      </c>
      <c r="D8" s="7">
        <v>50</v>
      </c>
      <c r="E8" s="7">
        <v>0.18099999999999999</v>
      </c>
      <c r="F8" s="7">
        <v>100000</v>
      </c>
      <c r="G8" s="7">
        <v>7.28</v>
      </c>
      <c r="H8" s="7">
        <v>0.53</v>
      </c>
      <c r="I8" s="7">
        <v>850</v>
      </c>
      <c r="J8" s="7">
        <v>257</v>
      </c>
      <c r="K8" s="7">
        <v>8.1000000000000003E-2</v>
      </c>
      <c r="L8" s="7">
        <v>200000</v>
      </c>
      <c r="M8" s="7">
        <v>0.2</v>
      </c>
      <c r="N8" s="7">
        <v>0.7</v>
      </c>
      <c r="O8" s="7">
        <v>190</v>
      </c>
      <c r="P8" s="7">
        <v>1943</v>
      </c>
      <c r="Q8">
        <v>2165.4299122843004</v>
      </c>
      <c r="R8" t="s">
        <v>47</v>
      </c>
    </row>
    <row r="9" spans="1:18" x14ac:dyDescent="0.25">
      <c r="A9" s="7">
        <v>8</v>
      </c>
      <c r="B9" s="7">
        <v>1.1599999999999999</v>
      </c>
      <c r="C9" s="7">
        <v>300</v>
      </c>
      <c r="D9" s="7">
        <v>70</v>
      </c>
      <c r="E9" s="7">
        <v>0.10199999999999999</v>
      </c>
      <c r="F9" s="7">
        <v>100000</v>
      </c>
      <c r="G9" s="7">
        <v>9.9499999999999993</v>
      </c>
      <c r="H9" s="7">
        <v>0.39</v>
      </c>
      <c r="I9" s="7">
        <v>900</v>
      </c>
      <c r="J9" s="7">
        <v>471</v>
      </c>
      <c r="K9" s="7">
        <v>4.4999999999999998E-2</v>
      </c>
      <c r="L9" s="7">
        <v>200000</v>
      </c>
      <c r="M9" s="7">
        <v>0.15</v>
      </c>
      <c r="N9" s="7">
        <v>0.8</v>
      </c>
      <c r="O9" s="7">
        <v>160</v>
      </c>
      <c r="P9" s="7">
        <v>2330</v>
      </c>
      <c r="Q9">
        <v>2739.5433533464602</v>
      </c>
      <c r="R9" t="s">
        <v>47</v>
      </c>
    </row>
    <row r="10" spans="1:18" x14ac:dyDescent="0.25">
      <c r="A10" s="7">
        <v>9</v>
      </c>
      <c r="B10" s="7">
        <v>1.1599999999999999</v>
      </c>
      <c r="C10" s="7">
        <v>300</v>
      </c>
      <c r="D10" s="7">
        <v>60</v>
      </c>
      <c r="E10" s="7">
        <v>0.10100000000000001</v>
      </c>
      <c r="F10" s="7">
        <v>100000</v>
      </c>
      <c r="G10" s="7">
        <v>4.32</v>
      </c>
      <c r="H10" s="7">
        <v>0.39</v>
      </c>
      <c r="I10" s="7">
        <v>900</v>
      </c>
      <c r="J10" s="7">
        <v>575</v>
      </c>
      <c r="K10" s="7">
        <v>3.1E-2</v>
      </c>
      <c r="L10" s="7">
        <v>200000</v>
      </c>
      <c r="M10" s="7">
        <v>0.14000000000000001</v>
      </c>
      <c r="N10" s="7">
        <v>0.7</v>
      </c>
      <c r="O10" s="7">
        <v>270</v>
      </c>
      <c r="P10" s="7">
        <v>2255</v>
      </c>
      <c r="Q10">
        <v>2381.3182786448087</v>
      </c>
      <c r="R10" t="s">
        <v>47</v>
      </c>
    </row>
    <row r="11" spans="1:18" x14ac:dyDescent="0.25">
      <c r="A11" s="7">
        <v>10</v>
      </c>
      <c r="B11" s="7">
        <v>1.1599999999999999</v>
      </c>
      <c r="C11" s="7">
        <v>300</v>
      </c>
      <c r="D11" s="7">
        <v>2</v>
      </c>
      <c r="E11" s="7">
        <v>8.0000000000000002E-3</v>
      </c>
      <c r="F11" s="7">
        <v>100000</v>
      </c>
      <c r="G11" s="7">
        <v>1.7999999999999999E-2</v>
      </c>
      <c r="H11" s="7">
        <v>0.43</v>
      </c>
      <c r="I11" s="7">
        <v>800</v>
      </c>
      <c r="J11" s="7">
        <v>5</v>
      </c>
      <c r="K11" s="7">
        <v>8.0000000000000002E-3</v>
      </c>
      <c r="L11" s="7">
        <v>100000</v>
      </c>
      <c r="M11" s="7">
        <v>0.05</v>
      </c>
      <c r="N11" s="7">
        <v>0.33</v>
      </c>
      <c r="O11" s="7">
        <v>260</v>
      </c>
      <c r="P11" s="7">
        <v>0.06</v>
      </c>
      <c r="Q11">
        <v>80.726962516368076</v>
      </c>
      <c r="R11" t="s">
        <v>47</v>
      </c>
    </row>
    <row r="12" spans="1:18" x14ac:dyDescent="0.25">
      <c r="A12" s="7">
        <v>11</v>
      </c>
      <c r="B12" s="7">
        <v>1.1667530292701285</v>
      </c>
      <c r="C12" s="7">
        <v>286.66781485369677</v>
      </c>
      <c r="D12" s="7">
        <v>49.320530346724809</v>
      </c>
      <c r="E12" s="7">
        <v>0.16965971584048542</v>
      </c>
      <c r="F12" s="7">
        <v>100000</v>
      </c>
      <c r="G12" s="7">
        <v>2.295154926737681</v>
      </c>
      <c r="H12" s="7">
        <v>0.4126623629590726</v>
      </c>
      <c r="I12" s="7">
        <v>763.12336098254946</v>
      </c>
      <c r="J12" s="7">
        <v>658.63039850330097</v>
      </c>
      <c r="K12" s="7">
        <v>4.6033458396396595E-2</v>
      </c>
      <c r="L12" s="7">
        <v>192584.85386646137</v>
      </c>
      <c r="M12" s="7">
        <v>0.14992799634844137</v>
      </c>
      <c r="N12" s="7">
        <v>0.78927563588214744</v>
      </c>
      <c r="O12" s="7">
        <v>240.59562282956699</v>
      </c>
      <c r="P12" s="7">
        <v>1868.6329837191026</v>
      </c>
      <c r="Q12">
        <v>2540.1111195078629</v>
      </c>
      <c r="R12" t="s">
        <v>47</v>
      </c>
    </row>
    <row r="13" spans="1:18" x14ac:dyDescent="0.25">
      <c r="A13" s="7">
        <v>12</v>
      </c>
      <c r="B13" s="7">
        <v>1.1637387993215749</v>
      </c>
      <c r="C13" s="7">
        <v>290.32608405394734</v>
      </c>
      <c r="D13" s="7">
        <v>76.356998217360712</v>
      </c>
      <c r="E13" s="7">
        <v>0.15408288442378273</v>
      </c>
      <c r="F13" s="7">
        <v>100000</v>
      </c>
      <c r="G13" s="7">
        <v>9.8468249107742398</v>
      </c>
      <c r="H13" s="7">
        <v>0.4045255822862811</v>
      </c>
      <c r="I13" s="7">
        <v>757.44703132454254</v>
      </c>
      <c r="J13" s="7">
        <v>557.67749827552518</v>
      </c>
      <c r="K13" s="7">
        <v>3.6015896098957501E-2</v>
      </c>
      <c r="L13" s="7">
        <v>137362.82880296651</v>
      </c>
      <c r="M13" s="7">
        <v>8.9715847756492551E-2</v>
      </c>
      <c r="N13" s="7">
        <v>0.6519625179348818</v>
      </c>
      <c r="O13" s="7">
        <v>186.19577049529653</v>
      </c>
      <c r="P13" s="7">
        <v>2498.8927390434042</v>
      </c>
      <c r="Q13">
        <v>2772.9128895238318</v>
      </c>
      <c r="R13" t="s">
        <v>47</v>
      </c>
    </row>
    <row r="14" spans="1:18" x14ac:dyDescent="0.25">
      <c r="A14" s="7">
        <v>13</v>
      </c>
      <c r="B14" s="7">
        <v>1.2044158756957899</v>
      </c>
      <c r="C14" s="7">
        <v>292.14325950932323</v>
      </c>
      <c r="D14" s="7">
        <v>13.784159862966366</v>
      </c>
      <c r="E14" s="7">
        <v>0.13519853459984163</v>
      </c>
      <c r="F14" s="7">
        <v>100000</v>
      </c>
      <c r="G14" s="7">
        <v>6.4358138575449297</v>
      </c>
      <c r="H14" s="7">
        <v>0.47521773855147065</v>
      </c>
      <c r="I14" s="7">
        <v>859.52565190576479</v>
      </c>
      <c r="J14" s="7">
        <v>517.43981495248045</v>
      </c>
      <c r="K14" s="7">
        <v>1.7006569355698664E-2</v>
      </c>
      <c r="L14" s="7">
        <v>185485.27945778327</v>
      </c>
      <c r="M14" s="7">
        <v>0.16777236757156772</v>
      </c>
      <c r="N14" s="7">
        <v>0.43828899956512724</v>
      </c>
      <c r="O14" s="7">
        <v>239.06278275957965</v>
      </c>
      <c r="P14" s="7">
        <v>2234.086789683503</v>
      </c>
      <c r="Q14">
        <v>1994.1680413612557</v>
      </c>
      <c r="R14" t="s">
        <v>47</v>
      </c>
    </row>
    <row r="15" spans="1:18" x14ac:dyDescent="0.25">
      <c r="A15" s="7">
        <v>14</v>
      </c>
      <c r="B15" s="7">
        <v>1.2018688128286317</v>
      </c>
      <c r="C15" s="7">
        <v>287.61774275795892</v>
      </c>
      <c r="D15" s="7">
        <v>8.6713341362277312</v>
      </c>
      <c r="E15" s="7">
        <v>0.14513980393738357</v>
      </c>
      <c r="F15" s="7">
        <v>100000</v>
      </c>
      <c r="G15" s="7">
        <v>3.9557365545934529</v>
      </c>
      <c r="H15" s="7">
        <v>0.40536326269660922</v>
      </c>
      <c r="I15" s="7">
        <v>746.3217180846417</v>
      </c>
      <c r="J15" s="7">
        <v>210.30805809632758</v>
      </c>
      <c r="K15" s="7">
        <v>7.3861776337964147E-2</v>
      </c>
      <c r="L15" s="7">
        <v>134020.17059652868</v>
      </c>
      <c r="M15" s="7">
        <v>9.2737693283689776E-2</v>
      </c>
      <c r="N15" s="7">
        <v>0.35417266633745054</v>
      </c>
      <c r="O15" s="7">
        <v>224.56427150900089</v>
      </c>
      <c r="P15" s="7">
        <v>142.55593268429934</v>
      </c>
      <c r="Q15">
        <v>941.24542910436139</v>
      </c>
      <c r="R15" t="s">
        <v>47</v>
      </c>
    </row>
    <row r="16" spans="1:18" x14ac:dyDescent="0.25">
      <c r="A16" s="7">
        <v>15</v>
      </c>
      <c r="B16" s="7">
        <v>1.1828496632220395</v>
      </c>
      <c r="C16" s="7">
        <v>296.81092635160036</v>
      </c>
      <c r="D16" s="7">
        <v>6.7677822502281009</v>
      </c>
      <c r="E16" s="7">
        <v>6.0480117418263951E-2</v>
      </c>
      <c r="F16" s="7">
        <v>100000</v>
      </c>
      <c r="G16" s="7">
        <v>1.3408715184325499</v>
      </c>
      <c r="H16" s="7">
        <v>0.39556442274947695</v>
      </c>
      <c r="I16" s="7">
        <v>790.93868519158525</v>
      </c>
      <c r="J16" s="7">
        <v>546.00694936772857</v>
      </c>
      <c r="K16" s="7">
        <v>3.8768483588584916E-2</v>
      </c>
      <c r="L16" s="7">
        <v>106454.6044396933</v>
      </c>
      <c r="M16" s="7">
        <v>0.15315175787683846</v>
      </c>
      <c r="N16" s="7">
        <v>0.34864513360333166</v>
      </c>
      <c r="O16" s="7">
        <v>178.51896646784718</v>
      </c>
      <c r="P16" s="7">
        <v>1760.1551828051163</v>
      </c>
      <c r="Q16">
        <v>1817.4131408813919</v>
      </c>
      <c r="R16" t="s">
        <v>68</v>
      </c>
    </row>
    <row r="17" spans="1:18" x14ac:dyDescent="0.25">
      <c r="A17" s="7">
        <v>16</v>
      </c>
      <c r="B17" s="7">
        <v>1.1624211650174012</v>
      </c>
      <c r="C17" s="7">
        <v>295.2257330474572</v>
      </c>
      <c r="D17" s="7">
        <v>48.629963933721875</v>
      </c>
      <c r="E17" s="7">
        <v>0.14641587052709071</v>
      </c>
      <c r="F17" s="7">
        <v>100000</v>
      </c>
      <c r="G17" s="7">
        <v>4.458847216472912</v>
      </c>
      <c r="H17" s="7">
        <v>0.5195577076855552</v>
      </c>
      <c r="I17" s="7">
        <v>804.08653698499779</v>
      </c>
      <c r="J17" s="7">
        <v>101.83915416795141</v>
      </c>
      <c r="K17" s="7">
        <v>5.9270832515313294E-2</v>
      </c>
      <c r="L17" s="7">
        <v>166657.7923230585</v>
      </c>
      <c r="M17" s="7">
        <v>0.16382232942267907</v>
      </c>
      <c r="N17" s="7">
        <v>0.75663519499451459</v>
      </c>
      <c r="O17" s="7">
        <v>180.88562253366283</v>
      </c>
      <c r="P17" s="7">
        <v>552.04418807066054</v>
      </c>
      <c r="Q17">
        <v>924.96078076649428</v>
      </c>
      <c r="R17" t="s">
        <v>47</v>
      </c>
    </row>
    <row r="18" spans="1:18" x14ac:dyDescent="0.25">
      <c r="A18" s="7">
        <v>17</v>
      </c>
      <c r="B18" s="7">
        <v>1.1705519537285254</v>
      </c>
      <c r="C18" s="7">
        <v>296.41512812195037</v>
      </c>
      <c r="D18" s="7">
        <v>17.09713766634048</v>
      </c>
      <c r="E18" s="7">
        <v>1.1297325946142467E-2</v>
      </c>
      <c r="F18" s="7">
        <v>100000</v>
      </c>
      <c r="G18" s="7">
        <v>7.797394521943243</v>
      </c>
      <c r="H18" s="7">
        <v>0.42511131650732253</v>
      </c>
      <c r="I18" s="7">
        <v>837.90801417929572</v>
      </c>
      <c r="J18" s="7">
        <v>302.03935286183753</v>
      </c>
      <c r="K18" s="7">
        <v>4.7695453847198456E-2</v>
      </c>
      <c r="L18" s="7">
        <v>153967.22939929293</v>
      </c>
      <c r="M18" s="7">
        <v>9.8065370514674718E-2</v>
      </c>
      <c r="N18" s="7">
        <v>0.38261673701297944</v>
      </c>
      <c r="O18" s="7">
        <v>253.5264895781134</v>
      </c>
      <c r="P18" s="7">
        <v>343.94953213723477</v>
      </c>
      <c r="Q18">
        <v>1149.0235776170666</v>
      </c>
      <c r="R18" t="s">
        <v>47</v>
      </c>
    </row>
    <row r="19" spans="1:18" x14ac:dyDescent="0.25">
      <c r="A19" s="7">
        <v>18</v>
      </c>
      <c r="B19" s="7">
        <v>1.1844912972126356</v>
      </c>
      <c r="C19" s="7">
        <v>292.49460715577453</v>
      </c>
      <c r="D19" s="7">
        <v>33.127492000668468</v>
      </c>
      <c r="E19" s="7">
        <v>7.9639208012270035E-2</v>
      </c>
      <c r="F19" s="7">
        <v>100000</v>
      </c>
      <c r="G19" s="7">
        <v>5.6658027027726323</v>
      </c>
      <c r="H19" s="7">
        <v>0.4371472740198078</v>
      </c>
      <c r="I19" s="7">
        <v>754.66903685224577</v>
      </c>
      <c r="J19" s="7">
        <v>349.83626512934336</v>
      </c>
      <c r="K19" s="7">
        <v>9.6412103175524226E-3</v>
      </c>
      <c r="L19" s="7">
        <v>119811.62098438881</v>
      </c>
      <c r="M19" s="7">
        <v>0.13250757810119448</v>
      </c>
      <c r="N19" s="7">
        <v>0.57735705772685963</v>
      </c>
      <c r="O19" s="7">
        <v>183.64603438472477</v>
      </c>
      <c r="P19" s="7">
        <v>1652.3469597124897</v>
      </c>
      <c r="Q19">
        <v>1387.1107206908564</v>
      </c>
      <c r="R19" t="s">
        <v>47</v>
      </c>
    </row>
    <row r="20" spans="1:18" x14ac:dyDescent="0.25">
      <c r="A20" s="7">
        <v>19</v>
      </c>
      <c r="B20" s="7">
        <v>1.1752045171504428</v>
      </c>
      <c r="C20" s="7">
        <v>297.74115631905158</v>
      </c>
      <c r="D20" s="7">
        <v>8.6568593347077503</v>
      </c>
      <c r="E20" s="7">
        <v>3.3736437305737742E-2</v>
      </c>
      <c r="F20" s="7">
        <v>100000</v>
      </c>
      <c r="G20" s="7">
        <v>9.388218612579923</v>
      </c>
      <c r="H20" s="7">
        <v>0.50262940547937096</v>
      </c>
      <c r="I20" s="7">
        <v>878.12281029710459</v>
      </c>
      <c r="J20" s="7">
        <v>67.154104815149424</v>
      </c>
      <c r="K20" s="7">
        <v>3.4689302241255798E-2</v>
      </c>
      <c r="L20" s="7">
        <v>199671.44947157963</v>
      </c>
      <c r="M20" s="7">
        <v>0.10720512038672406</v>
      </c>
      <c r="N20" s="7">
        <v>0.46647876339672478</v>
      </c>
      <c r="O20" s="7">
        <v>186.42886849743837</v>
      </c>
      <c r="P20" s="7">
        <v>2245.6391669329519</v>
      </c>
      <c r="Q20">
        <v>1923.1835614032389</v>
      </c>
      <c r="R20" t="s">
        <v>47</v>
      </c>
    </row>
    <row r="21" spans="1:18" x14ac:dyDescent="0.25">
      <c r="A21" s="7">
        <v>20</v>
      </c>
      <c r="B21" s="7">
        <v>1.1673522130512617</v>
      </c>
      <c r="C21" s="7">
        <v>288.01301652492492</v>
      </c>
      <c r="D21" s="7">
        <v>51.456322528257381</v>
      </c>
      <c r="E21" s="7">
        <v>8.8357454783872136E-2</v>
      </c>
      <c r="F21" s="7">
        <v>100000</v>
      </c>
      <c r="G21" s="7">
        <v>0.48784627155270305</v>
      </c>
      <c r="H21" s="7">
        <v>0.43366599179372411</v>
      </c>
      <c r="I21" s="7">
        <v>872.55918071164012</v>
      </c>
      <c r="J21" s="7">
        <v>161.87108595576785</v>
      </c>
      <c r="K21" s="7">
        <v>6.7894040642083459E-2</v>
      </c>
      <c r="L21" s="7">
        <v>156204.81820432932</v>
      </c>
      <c r="M21" s="7">
        <v>5.0835808904804887E-2</v>
      </c>
      <c r="N21" s="7">
        <v>0.51876130569857337</v>
      </c>
      <c r="O21" s="7">
        <v>242.27817879563568</v>
      </c>
      <c r="P21" s="7">
        <v>364.42011840204174</v>
      </c>
      <c r="Q21">
        <v>913.3044898399894</v>
      </c>
      <c r="R21" t="s">
        <v>47</v>
      </c>
    </row>
    <row r="22" spans="1:18" x14ac:dyDescent="0.25">
      <c r="A22" s="7">
        <v>21</v>
      </c>
      <c r="B22" s="7">
        <v>1.1799922266652665</v>
      </c>
      <c r="C22" s="7">
        <v>291.01036393460095</v>
      </c>
      <c r="D22" s="7">
        <v>67.581600342488102</v>
      </c>
      <c r="E22" s="7">
        <v>7.9905172247649398E-2</v>
      </c>
      <c r="F22" s="7">
        <v>100000</v>
      </c>
      <c r="G22" s="7">
        <v>4.8650419541148429</v>
      </c>
      <c r="H22" s="7">
        <v>0.41110412841837718</v>
      </c>
      <c r="I22" s="7">
        <v>818.55119174854599</v>
      </c>
      <c r="J22" s="7">
        <v>220.47694506823228</v>
      </c>
      <c r="K22" s="7">
        <v>1.4248390415235578E-2</v>
      </c>
      <c r="L22" s="7">
        <v>145666.65321070363</v>
      </c>
      <c r="M22" s="7">
        <v>0.10673229446208393</v>
      </c>
      <c r="N22" s="7">
        <v>0.36116903950427287</v>
      </c>
      <c r="O22" s="7">
        <v>189.74731781119178</v>
      </c>
      <c r="P22" s="7">
        <v>593.23331014976316</v>
      </c>
      <c r="Q22">
        <v>1316.5346815964949</v>
      </c>
      <c r="R22" t="s">
        <v>47</v>
      </c>
    </row>
    <row r="23" spans="1:18" x14ac:dyDescent="0.25">
      <c r="A23" s="7">
        <v>22</v>
      </c>
      <c r="B23" s="7">
        <v>1.1952862759437497</v>
      </c>
      <c r="C23" s="7">
        <v>291.27168218722085</v>
      </c>
      <c r="D23" s="7">
        <v>27.101005677265615</v>
      </c>
      <c r="E23" s="7">
        <v>9.742015493596444E-2</v>
      </c>
      <c r="F23" s="7">
        <v>100000</v>
      </c>
      <c r="G23" s="7">
        <v>8.9855198604522037</v>
      </c>
      <c r="H23" s="7">
        <v>0.40283178029797151</v>
      </c>
      <c r="I23" s="7">
        <v>861.66563295829997</v>
      </c>
      <c r="J23" s="7">
        <v>276.42727573538082</v>
      </c>
      <c r="K23" s="7">
        <v>7.1517871642631486E-2</v>
      </c>
      <c r="L23" s="7">
        <v>127897.17904801262</v>
      </c>
      <c r="M23" s="7">
        <v>8.2609989500509767E-2</v>
      </c>
      <c r="N23" s="7">
        <v>0.61776686885141863</v>
      </c>
      <c r="O23" s="7">
        <v>236.67296596391347</v>
      </c>
      <c r="P23" s="7">
        <v>1451.4269959285243</v>
      </c>
      <c r="Q23">
        <v>1416.9452711983395</v>
      </c>
      <c r="R23" t="s">
        <v>68</v>
      </c>
    </row>
    <row r="24" spans="1:18" x14ac:dyDescent="0.25">
      <c r="A24" s="7">
        <v>23</v>
      </c>
      <c r="B24" s="7">
        <v>1.1863645271249033</v>
      </c>
      <c r="C24" s="7">
        <v>294.02941129868037</v>
      </c>
      <c r="D24" s="7">
        <v>13.037246120227197</v>
      </c>
      <c r="E24" s="7">
        <v>9.8599031473302109E-2</v>
      </c>
      <c r="F24" s="7">
        <v>100000</v>
      </c>
      <c r="G24" s="7">
        <v>2.8359104940982225</v>
      </c>
      <c r="H24" s="7">
        <v>0.4006640491038907</v>
      </c>
      <c r="I24" s="7">
        <v>875.80464183734</v>
      </c>
      <c r="J24" s="7">
        <v>524.92679152448727</v>
      </c>
      <c r="K24" s="7">
        <v>5.0520113780222795E-2</v>
      </c>
      <c r="L24" s="7">
        <v>118231.58451703473</v>
      </c>
      <c r="M24" s="7">
        <v>0.14535954538161339</v>
      </c>
      <c r="N24" s="7">
        <v>0.61141248666221903</v>
      </c>
      <c r="O24" s="7">
        <v>198.02834093429564</v>
      </c>
      <c r="P24" s="7">
        <v>2245.0090591005646</v>
      </c>
      <c r="Q24">
        <v>1973.9178719820266</v>
      </c>
      <c r="R24" t="s">
        <v>47</v>
      </c>
    </row>
    <row r="25" spans="1:18" x14ac:dyDescent="0.25">
      <c r="A25" s="7">
        <v>24</v>
      </c>
      <c r="B25" s="7">
        <v>1.1640393612746744</v>
      </c>
      <c r="C25" s="7">
        <v>291.97399255435079</v>
      </c>
      <c r="D25" s="7">
        <v>50.654994940303382</v>
      </c>
      <c r="E25" s="7">
        <v>2.9843587330807258E-2</v>
      </c>
      <c r="F25" s="7">
        <v>100000</v>
      </c>
      <c r="G25" s="7">
        <v>5.4593646986504609</v>
      </c>
      <c r="H25" s="7">
        <v>0.49016937382789011</v>
      </c>
      <c r="I25" s="7">
        <v>857.92142937870767</v>
      </c>
      <c r="J25" s="7">
        <v>253.58857399438031</v>
      </c>
      <c r="K25" s="7">
        <v>2.0653442582655078E-2</v>
      </c>
      <c r="L25" s="7">
        <v>141404.30159888495</v>
      </c>
      <c r="M25" s="7">
        <v>0.12869265049690123</v>
      </c>
      <c r="N25" s="7">
        <v>0.73085817414276599</v>
      </c>
      <c r="O25" s="7">
        <v>209.15763161040462</v>
      </c>
      <c r="P25" s="7">
        <v>1305.9986184287263</v>
      </c>
      <c r="Q25">
        <v>1250.0108642904597</v>
      </c>
      <c r="R25" t="s">
        <v>68</v>
      </c>
    </row>
    <row r="26" spans="1:18" x14ac:dyDescent="0.25">
      <c r="A26" s="7">
        <v>25</v>
      </c>
      <c r="B26" s="7">
        <v>1.1729645406537783</v>
      </c>
      <c r="C26" s="7">
        <v>293.39660969092347</v>
      </c>
      <c r="D26" s="7">
        <v>66.486766660015746</v>
      </c>
      <c r="E26" s="7">
        <v>0.13917979513766859</v>
      </c>
      <c r="F26" s="7">
        <v>100000</v>
      </c>
      <c r="G26" s="7">
        <v>0.54758259115975338</v>
      </c>
      <c r="H26" s="7">
        <v>0.50760459962582272</v>
      </c>
      <c r="I26" s="7">
        <v>757.77837271387534</v>
      </c>
      <c r="J26" s="7">
        <v>252.82665385718241</v>
      </c>
      <c r="K26" s="7">
        <v>4.9254877084440554E-2</v>
      </c>
      <c r="L26" s="7">
        <v>161577.46491429102</v>
      </c>
      <c r="M26" s="7">
        <v>9.3950193646043512E-2</v>
      </c>
      <c r="N26" s="7">
        <v>0.65428073687006583</v>
      </c>
      <c r="O26" s="7">
        <v>242.55474133985615</v>
      </c>
      <c r="P26" s="7">
        <v>1758.2818591876448</v>
      </c>
      <c r="Q26">
        <v>990.02375374285475</v>
      </c>
      <c r="R26" t="s">
        <v>47</v>
      </c>
    </row>
    <row r="27" spans="1:18" x14ac:dyDescent="0.25">
      <c r="A27" s="7">
        <v>26</v>
      </c>
      <c r="B27" s="7">
        <v>1.1715399378752125</v>
      </c>
      <c r="C27" s="7">
        <v>293.9186882234294</v>
      </c>
      <c r="D27" s="7">
        <v>10.639739294747354</v>
      </c>
      <c r="E27" s="7">
        <v>0.14589480298499208</v>
      </c>
      <c r="F27" s="7">
        <v>100000</v>
      </c>
      <c r="G27" s="7">
        <v>6.2802530069970279</v>
      </c>
      <c r="H27" s="7">
        <v>0.48129577225547154</v>
      </c>
      <c r="I27" s="7">
        <v>796.1142927222711</v>
      </c>
      <c r="J27" s="7">
        <v>485.07747877766099</v>
      </c>
      <c r="K27" s="7">
        <v>2.3442500483973602E-2</v>
      </c>
      <c r="L27" s="7">
        <v>126852.1169651916</v>
      </c>
      <c r="M27" s="7">
        <v>5.5247567391543219E-2</v>
      </c>
      <c r="N27" s="7">
        <v>0.405983829114971</v>
      </c>
      <c r="O27" s="7">
        <v>202.86834376671251</v>
      </c>
      <c r="P27" s="7">
        <v>2069.4392471006972</v>
      </c>
      <c r="Q27">
        <v>1876.833326313812</v>
      </c>
      <c r="R27" t="s">
        <v>47</v>
      </c>
    </row>
    <row r="28" spans="1:18" x14ac:dyDescent="0.25">
      <c r="A28" s="7">
        <v>27</v>
      </c>
      <c r="B28" s="7">
        <v>1.1834600513440603</v>
      </c>
      <c r="C28" s="7">
        <v>296.79928024976806</v>
      </c>
      <c r="D28" s="7">
        <v>51.944594682467695</v>
      </c>
      <c r="E28" s="7">
        <v>9.4607762713498134E-2</v>
      </c>
      <c r="F28" s="7">
        <v>100000</v>
      </c>
      <c r="G28" s="7">
        <v>2.728392895448442</v>
      </c>
      <c r="H28" s="7">
        <v>0.49397624430053633</v>
      </c>
      <c r="I28" s="7">
        <v>764.25953532885876</v>
      </c>
      <c r="J28" s="7">
        <v>198.45624273815665</v>
      </c>
      <c r="K28" s="7">
        <v>1.0515926035967847E-2</v>
      </c>
      <c r="L28" s="7">
        <v>162181.73402825234</v>
      </c>
      <c r="M28" s="7">
        <v>0.1011693044377161</v>
      </c>
      <c r="N28" s="7">
        <v>0.41676968418847427</v>
      </c>
      <c r="O28" s="7">
        <v>205.09057136416428</v>
      </c>
      <c r="P28" s="7">
        <v>2015.1624917410059</v>
      </c>
      <c r="Q28">
        <v>855.70743371725985</v>
      </c>
      <c r="R28" t="s">
        <v>47</v>
      </c>
    </row>
    <row r="29" spans="1:18" x14ac:dyDescent="0.25">
      <c r="A29" s="7">
        <v>28</v>
      </c>
      <c r="B29" s="7">
        <v>1.1788818218014081</v>
      </c>
      <c r="C29" s="7">
        <v>291.40269925733168</v>
      </c>
      <c r="D29" s="7">
        <v>17.155108207148217</v>
      </c>
      <c r="E29" s="7">
        <v>0.12416363904584618</v>
      </c>
      <c r="F29" s="7">
        <v>100000</v>
      </c>
      <c r="G29" s="7">
        <v>8.6604743009740854</v>
      </c>
      <c r="H29" s="7">
        <v>0.50364466674952724</v>
      </c>
      <c r="I29" s="7">
        <v>856.32376372973397</v>
      </c>
      <c r="J29" s="7">
        <v>128.82182759155734</v>
      </c>
      <c r="K29" s="7">
        <v>1.911811758958129E-2</v>
      </c>
      <c r="L29" s="7">
        <v>174918.71712178297</v>
      </c>
      <c r="M29" s="7">
        <v>0.12237837266074655</v>
      </c>
      <c r="N29" s="7">
        <v>0.60926705612178278</v>
      </c>
      <c r="O29" s="7">
        <v>214.09505846836413</v>
      </c>
      <c r="P29" s="7">
        <v>852.84255286092321</v>
      </c>
      <c r="Q29">
        <v>1335.7393316167218</v>
      </c>
      <c r="R29" t="s">
        <v>47</v>
      </c>
    </row>
    <row r="30" spans="1:18" x14ac:dyDescent="0.25">
      <c r="A30" s="7">
        <v>29</v>
      </c>
      <c r="B30" s="7">
        <v>1.192881360291782</v>
      </c>
      <c r="C30" s="7">
        <v>288.52898729417041</v>
      </c>
      <c r="D30" s="7">
        <v>32.891900007384578</v>
      </c>
      <c r="E30" s="7">
        <v>0.1046764897467838</v>
      </c>
      <c r="F30" s="7">
        <v>100000</v>
      </c>
      <c r="G30" s="7">
        <v>7.2920782759195166</v>
      </c>
      <c r="H30" s="7">
        <v>0.47603118051697124</v>
      </c>
      <c r="I30" s="7">
        <v>835.10310300206663</v>
      </c>
      <c r="J30" s="7">
        <v>183.92367652960826</v>
      </c>
      <c r="K30" s="7">
        <v>1.9447873018323653E-2</v>
      </c>
      <c r="L30" s="7">
        <v>181869.80329317073</v>
      </c>
      <c r="M30" s="7">
        <v>8.9691270496328482E-2</v>
      </c>
      <c r="N30" s="7">
        <v>0.48543763667907303</v>
      </c>
      <c r="O30" s="7">
        <v>237.64128636579139</v>
      </c>
      <c r="P30" s="7">
        <v>1816.8678948432689</v>
      </c>
      <c r="Q30">
        <v>1734.6947339329563</v>
      </c>
      <c r="R30" t="s">
        <v>68</v>
      </c>
    </row>
    <row r="31" spans="1:18" x14ac:dyDescent="0.25">
      <c r="A31" s="7">
        <v>30</v>
      </c>
      <c r="B31" s="7">
        <v>1.189828922648337</v>
      </c>
      <c r="C31" s="7">
        <v>289.45455163709482</v>
      </c>
      <c r="D31" s="7">
        <v>34.419859616428127</v>
      </c>
      <c r="E31" s="7">
        <v>0.1361962383603624</v>
      </c>
      <c r="F31" s="7">
        <v>100000</v>
      </c>
      <c r="G31" s="7">
        <v>3.2453864996373891</v>
      </c>
      <c r="H31" s="7">
        <v>0.50301948429145638</v>
      </c>
      <c r="I31" s="7">
        <v>772.61660641449919</v>
      </c>
      <c r="J31" s="7">
        <v>411.56178074535433</v>
      </c>
      <c r="K31" s="7">
        <v>3.4990681829183398E-2</v>
      </c>
      <c r="L31" s="7">
        <v>172788.33553333563</v>
      </c>
      <c r="M31" s="7">
        <v>0.13800175778086837</v>
      </c>
      <c r="N31" s="7">
        <v>0.65536084157339003</v>
      </c>
      <c r="O31" s="7">
        <v>214.73922983279206</v>
      </c>
      <c r="P31" s="7">
        <v>1963.5665429944502</v>
      </c>
      <c r="Q31">
        <v>1794.3802535401119</v>
      </c>
      <c r="R31" t="s">
        <v>47</v>
      </c>
    </row>
    <row r="32" spans="1:18" x14ac:dyDescent="0.25">
      <c r="A32" s="7">
        <v>31</v>
      </c>
      <c r="B32" s="7">
        <v>1.1930558886696785</v>
      </c>
      <c r="C32" s="7">
        <v>289.46344053305347</v>
      </c>
      <c r="D32" s="7">
        <v>58.286930760548074</v>
      </c>
      <c r="E32" s="7">
        <v>0.10250220159227058</v>
      </c>
      <c r="F32" s="7">
        <v>100000</v>
      </c>
      <c r="G32" s="7">
        <v>6.3375536876358955</v>
      </c>
      <c r="H32" s="7">
        <v>0.47840632234069924</v>
      </c>
      <c r="I32" s="7">
        <v>788.12346200345928</v>
      </c>
      <c r="J32" s="7">
        <v>204.70767607058383</v>
      </c>
      <c r="K32" s="7">
        <v>6.7879494518092845E-2</v>
      </c>
      <c r="L32" s="7">
        <v>131598.97197896792</v>
      </c>
      <c r="M32" s="7">
        <v>0.14304126917818061</v>
      </c>
      <c r="N32" s="7">
        <v>0.57523634112786315</v>
      </c>
      <c r="O32" s="7">
        <v>218.94931976689168</v>
      </c>
      <c r="P32" s="7">
        <v>1018.6932128625606</v>
      </c>
      <c r="Q32">
        <v>1037.6498551657933</v>
      </c>
      <c r="R32" t="s">
        <v>68</v>
      </c>
    </row>
    <row r="33" spans="1:18" x14ac:dyDescent="0.25">
      <c r="A33" s="7">
        <v>32</v>
      </c>
      <c r="B33" s="7">
        <v>1.1797900198056976</v>
      </c>
      <c r="C33" s="7">
        <v>290.67264167452203</v>
      </c>
      <c r="D33" s="7">
        <v>66.026138134958799</v>
      </c>
      <c r="E33" s="7">
        <v>0.1180464638117775</v>
      </c>
      <c r="F33" s="7">
        <v>100000</v>
      </c>
      <c r="G33" s="7">
        <v>1.2418117434650759</v>
      </c>
      <c r="H33" s="7">
        <v>0.47787253304630201</v>
      </c>
      <c r="I33" s="7">
        <v>796.06474478961582</v>
      </c>
      <c r="J33" s="7">
        <v>467.94523334836521</v>
      </c>
      <c r="K33" s="7">
        <v>1.6199251332970285E-2</v>
      </c>
      <c r="L33" s="7">
        <v>144799.10797847839</v>
      </c>
      <c r="M33" s="7">
        <v>0.12937872250377058</v>
      </c>
      <c r="N33" s="7">
        <v>0.52336254094954071</v>
      </c>
      <c r="O33" s="7">
        <v>226.32793943076197</v>
      </c>
      <c r="P33" s="7">
        <v>2036.076356676559</v>
      </c>
      <c r="Q33">
        <v>1702.9714892952979</v>
      </c>
      <c r="R33" t="s">
        <v>47</v>
      </c>
    </row>
    <row r="34" spans="1:18" x14ac:dyDescent="0.25">
      <c r="A34" s="7">
        <v>33</v>
      </c>
      <c r="B34" s="7">
        <v>1.1844814367889824</v>
      </c>
      <c r="C34" s="7">
        <v>289.99342718337044</v>
      </c>
      <c r="D34" s="7">
        <v>57.144293069411361</v>
      </c>
      <c r="E34" s="7">
        <v>8.6295563133106309E-2</v>
      </c>
      <c r="F34" s="7">
        <v>100000</v>
      </c>
      <c r="G34" s="7">
        <v>4.2378197818462562</v>
      </c>
      <c r="H34" s="7">
        <v>0.47315260998239073</v>
      </c>
      <c r="I34" s="7">
        <v>766.46691433177523</v>
      </c>
      <c r="J34" s="7">
        <v>227.60699852590272</v>
      </c>
      <c r="K34" s="7">
        <v>2.1337609191090363E-2</v>
      </c>
      <c r="L34" s="7">
        <v>177474.71199794975</v>
      </c>
      <c r="M34" s="7">
        <v>0.1267271730044888</v>
      </c>
      <c r="N34" s="7">
        <v>0.58285015363379078</v>
      </c>
      <c r="O34" s="7">
        <v>222.55480535772159</v>
      </c>
      <c r="P34" s="7">
        <v>1707.7769945383536</v>
      </c>
      <c r="Q34">
        <v>1610.1124068199933</v>
      </c>
      <c r="R34" t="s">
        <v>47</v>
      </c>
    </row>
    <row r="35" spans="1:18" x14ac:dyDescent="0.25">
      <c r="A35" s="7">
        <v>34</v>
      </c>
      <c r="B35" s="7">
        <v>1.1740108036653045</v>
      </c>
      <c r="C35" s="7">
        <v>294.18421439601582</v>
      </c>
      <c r="D35" s="7">
        <v>12.472413966080417</v>
      </c>
      <c r="E35" s="7">
        <v>7.3532746256728482E-2</v>
      </c>
      <c r="F35" s="7">
        <v>100000</v>
      </c>
      <c r="G35" s="7">
        <v>4.3413156370180292</v>
      </c>
      <c r="H35" s="7">
        <v>0.47937211126068502</v>
      </c>
      <c r="I35" s="7">
        <v>856.89120321277517</v>
      </c>
      <c r="J35" s="7">
        <v>204.55512875290879</v>
      </c>
      <c r="K35" s="7">
        <v>3.9142450608180529E-2</v>
      </c>
      <c r="L35" s="7">
        <v>153067.13892342028</v>
      </c>
      <c r="M35" s="7">
        <v>8.6462074165304187E-2</v>
      </c>
      <c r="N35" s="7">
        <v>0.51732571224818946</v>
      </c>
      <c r="O35" s="7">
        <v>222.68074341819968</v>
      </c>
      <c r="P35" s="7">
        <v>1893.4562013220743</v>
      </c>
      <c r="Q35">
        <v>840.43014171258983</v>
      </c>
      <c r="R35" t="s">
        <v>47</v>
      </c>
    </row>
    <row r="36" spans="1:18" x14ac:dyDescent="0.25">
      <c r="A36" s="7">
        <v>35</v>
      </c>
      <c r="B36" s="7">
        <v>1.1774975665717502</v>
      </c>
      <c r="C36" s="7">
        <v>289.77045828002298</v>
      </c>
      <c r="D36" s="7">
        <v>54.995103183103538</v>
      </c>
      <c r="E36" s="7">
        <v>0.13275361359695659</v>
      </c>
      <c r="F36" s="7">
        <v>100000</v>
      </c>
      <c r="G36" s="7">
        <v>5.9604136976445146</v>
      </c>
      <c r="H36" s="7">
        <v>0.49048233117694279</v>
      </c>
      <c r="I36" s="7">
        <v>792.9980383952992</v>
      </c>
      <c r="J36" s="7">
        <v>221.92959695996637</v>
      </c>
      <c r="K36" s="7">
        <v>5.7019462483625022E-2</v>
      </c>
      <c r="L36" s="7">
        <v>150467.79922292745</v>
      </c>
      <c r="M36" s="7">
        <v>9.6555226567152264E-2</v>
      </c>
      <c r="N36" s="7">
        <v>0.42798539765641624</v>
      </c>
      <c r="O36" s="7">
        <v>204.19581862323108</v>
      </c>
      <c r="P36" s="7">
        <v>872.79727878081007</v>
      </c>
      <c r="Q36">
        <v>1412.2933062316661</v>
      </c>
      <c r="R36" t="s">
        <v>47</v>
      </c>
    </row>
    <row r="37" spans="1:18" x14ac:dyDescent="0.25">
      <c r="A37" s="7">
        <v>36</v>
      </c>
      <c r="B37" s="7">
        <v>1.178500125892028</v>
      </c>
      <c r="C37" s="7">
        <v>294.60252557111784</v>
      </c>
      <c r="D37" s="7">
        <v>19.170035283687369</v>
      </c>
      <c r="E37" s="7">
        <v>9.8013905050097841E-2</v>
      </c>
      <c r="F37" s="7">
        <v>100000</v>
      </c>
      <c r="G37" s="7">
        <v>7.3466280153191192</v>
      </c>
      <c r="H37" s="7">
        <v>0.49088336668694615</v>
      </c>
      <c r="I37" s="7">
        <v>856.31287472278541</v>
      </c>
      <c r="J37" s="7">
        <v>344.35399465389651</v>
      </c>
      <c r="K37" s="7">
        <v>2.8058406342656717E-2</v>
      </c>
      <c r="L37" s="7">
        <v>159616.17026625064</v>
      </c>
      <c r="M37" s="7">
        <v>0.13811824158493241</v>
      </c>
      <c r="N37" s="7">
        <v>0.43311913338077407</v>
      </c>
      <c r="O37" s="7">
        <v>217.79803088145661</v>
      </c>
      <c r="P37" s="7">
        <v>1546.6410125941852</v>
      </c>
      <c r="Q37">
        <v>1503.2884925081671</v>
      </c>
      <c r="R37" t="s">
        <v>68</v>
      </c>
    </row>
    <row r="38" spans="1:18" x14ac:dyDescent="0.25">
      <c r="A38" s="7">
        <v>37</v>
      </c>
      <c r="B38" s="7">
        <v>1.1880193984562519</v>
      </c>
      <c r="C38" s="7">
        <v>290.34443836343758</v>
      </c>
      <c r="D38" s="7">
        <v>20.79046632431924</v>
      </c>
      <c r="E38" s="7">
        <v>0.12050327512497727</v>
      </c>
      <c r="F38" s="7">
        <v>100000</v>
      </c>
      <c r="G38" s="7">
        <v>7.208984026833253</v>
      </c>
      <c r="H38" s="7">
        <v>0.49800045285576833</v>
      </c>
      <c r="I38" s="7">
        <v>774.14785444496806</v>
      </c>
      <c r="J38" s="7">
        <v>413.10382944474213</v>
      </c>
      <c r="K38" s="7">
        <v>6.6402143536600414E-2</v>
      </c>
      <c r="L38" s="7">
        <v>153176.60417975322</v>
      </c>
      <c r="M38" s="7">
        <v>0.13488863416600988</v>
      </c>
      <c r="N38" s="7">
        <v>0.51960387305215694</v>
      </c>
      <c r="O38" s="7">
        <v>233.21321473397438</v>
      </c>
      <c r="P38" s="7">
        <v>1987.2313071792287</v>
      </c>
      <c r="Q38">
        <v>1862.3601495018738</v>
      </c>
      <c r="R38" t="s">
        <v>47</v>
      </c>
    </row>
    <row r="39" spans="1:18" x14ac:dyDescent="0.25">
      <c r="A39" s="7">
        <v>38</v>
      </c>
      <c r="B39" s="7">
        <v>1.1889287414935117</v>
      </c>
      <c r="C39" s="7">
        <v>291.06940689477733</v>
      </c>
      <c r="D39" s="7">
        <v>26.972370283866351</v>
      </c>
      <c r="E39" s="7">
        <v>8.0638743342430805E-2</v>
      </c>
      <c r="F39" s="7">
        <v>100000</v>
      </c>
      <c r="G39" s="7">
        <v>5.5954386376726344</v>
      </c>
      <c r="H39" s="7">
        <v>0.47622992502897815</v>
      </c>
      <c r="I39" s="7">
        <v>839.56005394844306</v>
      </c>
      <c r="J39" s="7">
        <v>357.65388930399376</v>
      </c>
      <c r="K39" s="7">
        <v>6.5519187830564721E-2</v>
      </c>
      <c r="L39" s="7">
        <v>177533.296027351</v>
      </c>
      <c r="M39" s="7">
        <v>9.8581702586257092E-2</v>
      </c>
      <c r="N39" s="7">
        <v>0.55217921004766435</v>
      </c>
      <c r="O39" s="7">
        <v>236.28154299156657</v>
      </c>
      <c r="P39" s="7">
        <v>1788.3765405500199</v>
      </c>
      <c r="Q39">
        <v>1700.9722436790398</v>
      </c>
      <c r="R39" t="s">
        <v>68</v>
      </c>
    </row>
    <row r="40" spans="1:18" x14ac:dyDescent="0.25">
      <c r="A40" s="7">
        <v>39</v>
      </c>
      <c r="B40" s="7">
        <v>1.188208708218486</v>
      </c>
      <c r="C40" s="7">
        <v>291.78138601097066</v>
      </c>
      <c r="D40" s="7">
        <v>54.417062328338005</v>
      </c>
      <c r="E40" s="7">
        <v>0.11984691524485561</v>
      </c>
      <c r="F40" s="7">
        <v>100000</v>
      </c>
      <c r="G40" s="7">
        <v>4.5946741819401611</v>
      </c>
      <c r="H40" s="7">
        <v>0.49554605436762339</v>
      </c>
      <c r="I40" s="7">
        <v>808.0530573980119</v>
      </c>
      <c r="J40" s="7">
        <v>441.557111085016</v>
      </c>
      <c r="K40" s="7">
        <v>3.468970930591566E-2</v>
      </c>
      <c r="L40" s="7">
        <v>142985.29682538088</v>
      </c>
      <c r="M40" s="7">
        <v>0.13392630559334717</v>
      </c>
      <c r="N40" s="7">
        <v>0.58751493399264021</v>
      </c>
      <c r="O40" s="7">
        <v>237.16846774225661</v>
      </c>
      <c r="P40" s="7">
        <v>1161.2064767080274</v>
      </c>
      <c r="Q40">
        <v>1695.9753761401444</v>
      </c>
      <c r="R40" t="s">
        <v>47</v>
      </c>
    </row>
    <row r="41" spans="1:18" x14ac:dyDescent="0.25">
      <c r="A41" s="7">
        <v>40</v>
      </c>
      <c r="B41" s="7">
        <v>1.1823323324246318</v>
      </c>
      <c r="C41" s="7">
        <v>291.40003325127111</v>
      </c>
      <c r="D41" s="7">
        <v>28.174629100653142</v>
      </c>
      <c r="E41" s="7">
        <v>0.10756887787380046</v>
      </c>
      <c r="F41" s="7">
        <v>100000</v>
      </c>
      <c r="G41" s="7">
        <v>3.9469385163900896</v>
      </c>
      <c r="H41" s="7">
        <v>0.49099757408999006</v>
      </c>
      <c r="I41" s="7">
        <v>795.84163470431122</v>
      </c>
      <c r="J41" s="7">
        <v>297.6066609435901</v>
      </c>
      <c r="K41" s="7">
        <v>1.7798500623277026E-2</v>
      </c>
      <c r="L41" s="7">
        <v>175531.81586677657</v>
      </c>
      <c r="M41" s="7">
        <v>0.11772047107791392</v>
      </c>
      <c r="N41" s="7">
        <v>0.60724462791988643</v>
      </c>
      <c r="O41" s="7">
        <v>224.69077563153093</v>
      </c>
      <c r="P41" s="7">
        <v>1360.2502601313026</v>
      </c>
      <c r="Q41">
        <v>1440.3615554309727</v>
      </c>
      <c r="R41" t="s">
        <v>47</v>
      </c>
    </row>
    <row r="42" spans="1:18" x14ac:dyDescent="0.25">
      <c r="A42" s="7">
        <v>41</v>
      </c>
      <c r="B42" s="7">
        <v>1.1822897611420855</v>
      </c>
      <c r="C42" s="7">
        <v>289.83249163179261</v>
      </c>
      <c r="D42" s="7">
        <v>28.679571949615877</v>
      </c>
      <c r="E42" s="7">
        <v>0.10685932407846019</v>
      </c>
      <c r="F42" s="7">
        <v>100000</v>
      </c>
      <c r="G42" s="7">
        <v>2.5631325641126015</v>
      </c>
      <c r="H42" s="7">
        <v>0.49331338115661905</v>
      </c>
      <c r="I42" s="7">
        <v>786.57985918939323</v>
      </c>
      <c r="J42" s="7">
        <v>305.30341576824759</v>
      </c>
      <c r="K42" s="7">
        <v>4.5603446123309785E-2</v>
      </c>
      <c r="L42" s="7">
        <v>139161.97551716151</v>
      </c>
      <c r="M42" s="7">
        <v>8.7929690327198939E-2</v>
      </c>
      <c r="N42" s="7">
        <v>0.4292270426768568</v>
      </c>
      <c r="O42" s="7">
        <v>231.12381699613732</v>
      </c>
      <c r="P42" s="7">
        <v>1205.0777304016965</v>
      </c>
      <c r="Q42">
        <v>1108.9441611295842</v>
      </c>
      <c r="R42" t="s">
        <v>47</v>
      </c>
    </row>
    <row r="43" spans="1:18" x14ac:dyDescent="0.25">
      <c r="A43" s="7">
        <v>42</v>
      </c>
      <c r="B43" s="7">
        <v>1.1830835351799578</v>
      </c>
      <c r="C43" s="7">
        <v>291.56821234520027</v>
      </c>
      <c r="D43" s="7">
        <v>56.313637528584515</v>
      </c>
      <c r="E43" s="7">
        <v>0.11321065610777964</v>
      </c>
      <c r="F43" s="7">
        <v>100000</v>
      </c>
      <c r="G43" s="7">
        <v>1.7411734925087776</v>
      </c>
      <c r="H43" s="7">
        <v>0.4937142555490317</v>
      </c>
      <c r="I43" s="7">
        <v>834.61214311974391</v>
      </c>
      <c r="J43" s="7">
        <v>288.66739393297166</v>
      </c>
      <c r="K43" s="7">
        <v>3.9175692470987164E-2</v>
      </c>
      <c r="L43" s="7">
        <v>142346.05244436173</v>
      </c>
      <c r="M43" s="7">
        <v>9.6635551260441058E-2</v>
      </c>
      <c r="N43" s="7">
        <v>0.55216372928291801</v>
      </c>
      <c r="O43" s="7">
        <v>224.34619611979994</v>
      </c>
      <c r="P43" s="7">
        <v>1217.8581186337731</v>
      </c>
      <c r="Q43">
        <v>1046.7616909229473</v>
      </c>
      <c r="R43" t="s">
        <v>47</v>
      </c>
    </row>
    <row r="44" spans="1:18" x14ac:dyDescent="0.25">
      <c r="A44" s="7">
        <v>43</v>
      </c>
      <c r="B44" s="7">
        <v>1.1813187708777266</v>
      </c>
      <c r="C44" s="7">
        <v>290.3935977128769</v>
      </c>
      <c r="D44" s="7">
        <v>48.787629366078725</v>
      </c>
      <c r="E44" s="7">
        <v>0.12211406897130427</v>
      </c>
      <c r="F44" s="7">
        <v>100000</v>
      </c>
      <c r="G44" s="7">
        <v>3.2276929297856127</v>
      </c>
      <c r="H44" s="7">
        <v>0.48281453398100338</v>
      </c>
      <c r="I44" s="7">
        <v>795.63794702617076</v>
      </c>
      <c r="J44" s="7">
        <v>242.68109127698108</v>
      </c>
      <c r="K44" s="7">
        <v>6.4121776946413869E-2</v>
      </c>
      <c r="L44" s="7">
        <v>170727.21806787123</v>
      </c>
      <c r="M44" s="7">
        <v>8.7755100078030751E-2</v>
      </c>
      <c r="N44" s="7">
        <v>0.53496237359398913</v>
      </c>
      <c r="O44" s="7">
        <v>209.06600274927786</v>
      </c>
      <c r="P44" s="7">
        <v>1924.9860296626146</v>
      </c>
      <c r="Q44">
        <v>1448.2778799246225</v>
      </c>
      <c r="R44" t="s">
        <v>47</v>
      </c>
    </row>
    <row r="45" spans="1:18" x14ac:dyDescent="0.25">
      <c r="A45" s="7">
        <v>44</v>
      </c>
      <c r="B45" s="7">
        <v>1.1888806009168553</v>
      </c>
      <c r="C45" s="7">
        <v>292.65799515287966</v>
      </c>
      <c r="D45" s="7">
        <v>51.015765991956052</v>
      </c>
      <c r="E45" s="7">
        <v>9.0365935289773769E-2</v>
      </c>
      <c r="F45" s="7">
        <v>100000</v>
      </c>
      <c r="G45" s="7">
        <v>1.8542115022305889</v>
      </c>
      <c r="H45" s="7">
        <v>0.47872190432876027</v>
      </c>
      <c r="I45" s="7">
        <v>839.7660913450145</v>
      </c>
      <c r="J45" s="7">
        <v>392.05269684475559</v>
      </c>
      <c r="K45" s="7">
        <v>4.5864130174332017E-2</v>
      </c>
      <c r="L45" s="7">
        <v>142327.89682806074</v>
      </c>
      <c r="M45" s="7">
        <v>9.6646945300689804E-2</v>
      </c>
      <c r="N45" s="7">
        <v>0.513152884657472</v>
      </c>
      <c r="O45" s="7">
        <v>219.0269157357497</v>
      </c>
      <c r="P45" s="7">
        <v>973.85635304034633</v>
      </c>
      <c r="Q45">
        <v>1372.9792951396012</v>
      </c>
      <c r="R45" t="s">
        <v>47</v>
      </c>
    </row>
    <row r="46" spans="1:18" x14ac:dyDescent="0.25">
      <c r="A46" s="7">
        <v>45</v>
      </c>
      <c r="B46" s="7">
        <v>1.1803743605463171</v>
      </c>
      <c r="C46" s="7">
        <v>292.50042783777911</v>
      </c>
      <c r="D46" s="7">
        <v>55.162399608891704</v>
      </c>
      <c r="E46" s="7">
        <v>0.12023453325991318</v>
      </c>
      <c r="F46" s="7">
        <v>100000</v>
      </c>
      <c r="G46" s="7">
        <v>6.9449023258555291</v>
      </c>
      <c r="H46" s="7">
        <v>0.4821484433640687</v>
      </c>
      <c r="I46" s="7">
        <v>834.22272064007916</v>
      </c>
      <c r="J46" s="7">
        <v>333.40811577693387</v>
      </c>
      <c r="K46" s="7">
        <v>3.2185383185525336E-2</v>
      </c>
      <c r="L46" s="7">
        <v>159645.23697853609</v>
      </c>
      <c r="M46" s="7">
        <v>0.1173736119540586</v>
      </c>
      <c r="N46" s="7">
        <v>0.46403063156334212</v>
      </c>
      <c r="O46" s="7">
        <v>225.42995189540224</v>
      </c>
      <c r="P46" s="7">
        <v>1912.6095992518199</v>
      </c>
      <c r="Q46">
        <v>1693.325836016149</v>
      </c>
      <c r="R46" t="s">
        <v>47</v>
      </c>
    </row>
    <row r="47" spans="1:18" x14ac:dyDescent="0.25">
      <c r="A47" s="7">
        <v>46</v>
      </c>
      <c r="B47" s="7">
        <v>1.1874248217972829</v>
      </c>
      <c r="C47" s="7">
        <v>292.3153354787367</v>
      </c>
      <c r="D47" s="7">
        <v>39.127939244574542</v>
      </c>
      <c r="E47" s="7">
        <v>9.9379025457694489E-2</v>
      </c>
      <c r="F47" s="7">
        <v>100000</v>
      </c>
      <c r="G47" s="7">
        <v>5.1355995610793821</v>
      </c>
      <c r="H47" s="7">
        <v>0.48768300505385026</v>
      </c>
      <c r="I47" s="7">
        <v>780.15998387298544</v>
      </c>
      <c r="J47" s="7">
        <v>312.83128628366512</v>
      </c>
      <c r="K47" s="7">
        <v>1.8054631499051246E-2</v>
      </c>
      <c r="L47" s="7">
        <v>155399.11255698398</v>
      </c>
      <c r="M47" s="7">
        <v>0.12174575194575145</v>
      </c>
      <c r="N47" s="7">
        <v>0.59021670383432701</v>
      </c>
      <c r="O47" s="7">
        <v>229.93075483204041</v>
      </c>
      <c r="P47" s="7">
        <v>1143.5189712394667</v>
      </c>
      <c r="Q47">
        <v>1387.5620612159182</v>
      </c>
      <c r="R47" t="s">
        <v>47</v>
      </c>
    </row>
    <row r="48" spans="1:18" x14ac:dyDescent="0.25">
      <c r="A48" s="7">
        <v>47</v>
      </c>
      <c r="B48" s="7">
        <v>1.1811919788629377</v>
      </c>
      <c r="C48" s="7">
        <v>291.81867203424366</v>
      </c>
      <c r="D48" s="7">
        <v>21.33318491213857</v>
      </c>
      <c r="E48" s="7">
        <v>0.10372675466286212</v>
      </c>
      <c r="F48" s="7">
        <v>100000</v>
      </c>
      <c r="G48" s="7">
        <v>6.1758122951783667</v>
      </c>
      <c r="H48" s="7">
        <v>0.48093346356083788</v>
      </c>
      <c r="I48" s="7">
        <v>823.82395268073981</v>
      </c>
      <c r="J48" s="7">
        <v>373.16372394798213</v>
      </c>
      <c r="K48" s="7">
        <v>5.0810432128744545E-2</v>
      </c>
      <c r="L48" s="7">
        <v>170721.79731896269</v>
      </c>
      <c r="M48" s="7">
        <v>0.10064101505026155</v>
      </c>
      <c r="N48" s="7">
        <v>0.50774234581776956</v>
      </c>
      <c r="O48" s="7">
        <v>226.06488510865768</v>
      </c>
      <c r="P48" s="7">
        <v>1714.7591759787701</v>
      </c>
      <c r="Q48">
        <v>1653.3514224622559</v>
      </c>
      <c r="R48" t="s">
        <v>68</v>
      </c>
    </row>
    <row r="49" spans="1:18" x14ac:dyDescent="0.25">
      <c r="A49" s="7">
        <v>48</v>
      </c>
      <c r="B49" s="7">
        <v>1.1822596563843559</v>
      </c>
      <c r="C49" s="7">
        <v>290.52976855858702</v>
      </c>
      <c r="D49" s="7">
        <v>50.901984208771253</v>
      </c>
      <c r="E49" s="7">
        <v>8.2247720754658818E-2</v>
      </c>
      <c r="F49" s="7">
        <v>100000</v>
      </c>
      <c r="G49" s="7">
        <v>3.4894544781100754</v>
      </c>
      <c r="H49" s="7">
        <v>0.48220518849797239</v>
      </c>
      <c r="I49" s="7">
        <v>796.27126818892498</v>
      </c>
      <c r="J49" s="7">
        <v>289.88215537812476</v>
      </c>
      <c r="K49" s="7">
        <v>5.4393787298488552E-2</v>
      </c>
      <c r="L49" s="7">
        <v>144739.52261839234</v>
      </c>
      <c r="M49" s="7">
        <v>0.10046345821613198</v>
      </c>
      <c r="N49" s="7">
        <v>0.57012080017709965</v>
      </c>
      <c r="O49" s="7">
        <v>236.06702878149272</v>
      </c>
      <c r="P49" s="7">
        <v>1658.7851734141361</v>
      </c>
      <c r="Q49">
        <v>1183.7820914878321</v>
      </c>
      <c r="R49" t="s">
        <v>47</v>
      </c>
    </row>
    <row r="50" spans="1:18" x14ac:dyDescent="0.25">
      <c r="A50" s="7">
        <v>49</v>
      </c>
      <c r="B50" s="7">
        <v>1.1816712139682854</v>
      </c>
      <c r="C50" s="7">
        <v>291.20596849980427</v>
      </c>
      <c r="D50" s="7">
        <v>39.824842562255391</v>
      </c>
      <c r="E50" s="7">
        <v>0.11493359087726635</v>
      </c>
      <c r="F50" s="7">
        <v>100000</v>
      </c>
      <c r="G50" s="7">
        <v>4.5690088892961001</v>
      </c>
      <c r="H50" s="7">
        <v>0.48896651923643142</v>
      </c>
      <c r="I50" s="7">
        <v>805.33089656869765</v>
      </c>
      <c r="J50" s="7">
        <v>387.51678630079618</v>
      </c>
      <c r="K50" s="7">
        <v>3.1812024219931706E-2</v>
      </c>
      <c r="L50" s="7">
        <v>165791.71682959312</v>
      </c>
      <c r="M50" s="7">
        <v>0.11859838249777759</v>
      </c>
      <c r="N50" s="7">
        <v>0.55609199480772942</v>
      </c>
      <c r="O50" s="7">
        <v>215.25731955449476</v>
      </c>
      <c r="P50" s="7">
        <v>1643.3858955506616</v>
      </c>
      <c r="Q50">
        <v>1746.2302158651219</v>
      </c>
      <c r="R50" t="s">
        <v>47</v>
      </c>
    </row>
    <row r="51" spans="1:18" x14ac:dyDescent="0.25">
      <c r="A51" s="7">
        <v>50</v>
      </c>
      <c r="B51" s="7">
        <v>1.1837039216684568</v>
      </c>
      <c r="C51" s="7">
        <v>291.69998509905719</v>
      </c>
      <c r="D51" s="7">
        <v>53.273929829312962</v>
      </c>
      <c r="E51" s="7">
        <v>0.10302386411025102</v>
      </c>
      <c r="F51" s="7">
        <v>100000</v>
      </c>
      <c r="G51" s="7">
        <v>3.4340819164508769</v>
      </c>
      <c r="H51" s="7">
        <v>0.48444634860704505</v>
      </c>
      <c r="I51" s="7">
        <v>809.03865469197819</v>
      </c>
      <c r="J51" s="7">
        <v>345.1192939569591</v>
      </c>
      <c r="K51" s="7">
        <v>5.6396984582219103E-2</v>
      </c>
      <c r="L51" s="7">
        <v>161047.33416335963</v>
      </c>
      <c r="M51" s="7">
        <v>8.8712430225637628E-2</v>
      </c>
      <c r="N51" s="7">
        <v>0.5489035613038018</v>
      </c>
      <c r="O51" s="7">
        <v>215.61975848473568</v>
      </c>
      <c r="P51" s="7">
        <v>1454.4557442276762</v>
      </c>
      <c r="Q51">
        <v>1572.7842803352323</v>
      </c>
      <c r="R51" t="s">
        <v>47</v>
      </c>
    </row>
    <row r="52" spans="1:18" x14ac:dyDescent="0.25">
      <c r="A52" s="7">
        <v>51</v>
      </c>
      <c r="B52" s="7">
        <v>1.1853315150934594</v>
      </c>
      <c r="C52" s="7">
        <v>289.99502985822949</v>
      </c>
      <c r="D52" s="7">
        <v>44.465727527888681</v>
      </c>
      <c r="E52" s="7">
        <v>9.9622962051842207E-2</v>
      </c>
      <c r="F52" s="7">
        <v>100000</v>
      </c>
      <c r="G52" s="7">
        <v>1.7799607829595907</v>
      </c>
      <c r="H52" s="7">
        <v>0.49160732001541896</v>
      </c>
      <c r="I52" s="7">
        <v>798.58424618542153</v>
      </c>
      <c r="J52" s="7">
        <v>242.82809815595334</v>
      </c>
      <c r="K52" s="7">
        <v>6.3456481022113986E-2</v>
      </c>
      <c r="L52" s="7">
        <v>148206.98810488076</v>
      </c>
      <c r="M52" s="7">
        <v>9.7332170647366031E-2</v>
      </c>
      <c r="N52" s="7">
        <v>0.55237192162139881</v>
      </c>
      <c r="O52" s="7">
        <v>216.90821388502732</v>
      </c>
      <c r="P52" s="7">
        <v>1816.3944101012096</v>
      </c>
      <c r="Q52">
        <v>1063.1665795085064</v>
      </c>
      <c r="R52" t="s">
        <v>47</v>
      </c>
    </row>
    <row r="53" spans="1:18" x14ac:dyDescent="0.25">
      <c r="A53" s="7">
        <v>52</v>
      </c>
      <c r="B53" s="7">
        <v>1.1887983043743142</v>
      </c>
      <c r="C53" s="7">
        <v>290.12955374757934</v>
      </c>
      <c r="D53" s="7">
        <v>25.649635396762296</v>
      </c>
      <c r="E53" s="7">
        <v>0.1016281684802893</v>
      </c>
      <c r="F53" s="7">
        <v>100000</v>
      </c>
      <c r="G53" s="7">
        <v>1.7891079473984557</v>
      </c>
      <c r="H53" s="7">
        <v>0.49081209082990179</v>
      </c>
      <c r="I53" s="7">
        <v>797.77529671226398</v>
      </c>
      <c r="J53" s="7">
        <v>390.1339377257483</v>
      </c>
      <c r="K53" s="7">
        <v>3.3892030790395766E-2</v>
      </c>
      <c r="L53" s="7">
        <v>159224.16454496089</v>
      </c>
      <c r="M53" s="7">
        <v>9.2618886853517338E-2</v>
      </c>
      <c r="N53" s="7">
        <v>0.55633593962389183</v>
      </c>
      <c r="O53" s="7">
        <v>229.51410393958662</v>
      </c>
      <c r="P53" s="7">
        <v>1197.9721358662089</v>
      </c>
      <c r="Q53">
        <v>1498.4706974974179</v>
      </c>
      <c r="R53" t="s">
        <v>47</v>
      </c>
    </row>
    <row r="54" spans="1:18" x14ac:dyDescent="0.25">
      <c r="A54" s="7">
        <v>53</v>
      </c>
      <c r="B54" s="7">
        <v>1.1825137553524987</v>
      </c>
      <c r="C54" s="7">
        <v>292.21826781003557</v>
      </c>
      <c r="D54" s="7">
        <v>50.025210569530529</v>
      </c>
      <c r="E54" s="7">
        <v>9.4952608714876499E-2</v>
      </c>
      <c r="F54" s="7">
        <v>100000</v>
      </c>
      <c r="G54" s="7">
        <v>2.6286645166677052</v>
      </c>
      <c r="H54" s="7">
        <v>0.48339653645444342</v>
      </c>
      <c r="I54" s="7">
        <v>797.02640395711626</v>
      </c>
      <c r="J54" s="7">
        <v>368.518546764532</v>
      </c>
      <c r="K54" s="7">
        <v>5.7215031318635604E-2</v>
      </c>
      <c r="L54" s="7">
        <v>169963.81155743758</v>
      </c>
      <c r="M54" s="7">
        <v>9.9261158314756792E-2</v>
      </c>
      <c r="N54" s="7">
        <v>0.50131274744453003</v>
      </c>
      <c r="O54" s="7">
        <v>233.09271268824932</v>
      </c>
      <c r="P54" s="7">
        <v>1293.4063492839341</v>
      </c>
      <c r="Q54">
        <v>1553.9610215500506</v>
      </c>
      <c r="R54" t="s">
        <v>47</v>
      </c>
    </row>
    <row r="55" spans="1:18" x14ac:dyDescent="0.25">
      <c r="A55" s="7">
        <v>54</v>
      </c>
      <c r="B55" s="7">
        <v>1.1826205155949339</v>
      </c>
      <c r="C55" s="7">
        <v>291.84340925146751</v>
      </c>
      <c r="D55" s="7">
        <v>26.884254463798747</v>
      </c>
      <c r="E55" s="7">
        <v>0.10745551423253377</v>
      </c>
      <c r="F55" s="7">
        <v>100000</v>
      </c>
      <c r="G55" s="7">
        <v>2.6343304007316757</v>
      </c>
      <c r="H55" s="7">
        <v>0.47942402285377855</v>
      </c>
      <c r="I55" s="7">
        <v>806.53200227427772</v>
      </c>
      <c r="J55" s="7">
        <v>296.12902941594695</v>
      </c>
      <c r="K55" s="7">
        <v>1.907451881133454E-2</v>
      </c>
      <c r="L55" s="7">
        <v>164820.96791401942</v>
      </c>
      <c r="M55" s="7">
        <v>0.11899775984590451</v>
      </c>
      <c r="N55" s="7">
        <v>0.5523511256561614</v>
      </c>
      <c r="O55" s="7">
        <v>224.83134000589499</v>
      </c>
      <c r="P55" s="7">
        <v>1281.7817359008038</v>
      </c>
      <c r="Q55">
        <v>1242.1904151965209</v>
      </c>
      <c r="R55" t="s">
        <v>68</v>
      </c>
    </row>
    <row r="56" spans="1:18" x14ac:dyDescent="0.25">
      <c r="A56" s="7">
        <v>55</v>
      </c>
      <c r="B56" s="7">
        <v>1.1826837629542521</v>
      </c>
      <c r="C56" s="7">
        <v>291.78942040019996</v>
      </c>
      <c r="D56" s="7">
        <v>47.567088503219267</v>
      </c>
      <c r="E56" s="7">
        <v>9.0769074331067914E-2</v>
      </c>
      <c r="F56" s="7">
        <v>100000</v>
      </c>
      <c r="G56" s="7">
        <v>5.5760891482125086</v>
      </c>
      <c r="H56" s="7">
        <v>0.49129626298532675</v>
      </c>
      <c r="I56" s="7">
        <v>786.96717642514761</v>
      </c>
      <c r="J56" s="7">
        <v>248.01638633029575</v>
      </c>
      <c r="K56" s="7">
        <v>4.2739846348682602E-2</v>
      </c>
      <c r="L56" s="7">
        <v>150800.56657912294</v>
      </c>
      <c r="M56" s="7">
        <v>0.11543141489675825</v>
      </c>
      <c r="N56" s="7">
        <v>0.55589906377864096</v>
      </c>
      <c r="O56" s="7">
        <v>235.93033024104633</v>
      </c>
      <c r="P56" s="7">
        <v>1614.6942684299941</v>
      </c>
      <c r="Q56">
        <v>1201.5651261323874</v>
      </c>
      <c r="R56" t="s">
        <v>47</v>
      </c>
    </row>
    <row r="57" spans="1:18" x14ac:dyDescent="0.25">
      <c r="A57" s="7">
        <v>56</v>
      </c>
      <c r="B57" s="7">
        <v>1.1827818601618114</v>
      </c>
      <c r="C57" s="7">
        <v>291.96167966268757</v>
      </c>
      <c r="D57" s="7">
        <v>29.120998034668499</v>
      </c>
      <c r="E57" s="7">
        <v>0.10645428566384479</v>
      </c>
      <c r="F57" s="7">
        <v>100000</v>
      </c>
      <c r="G57" s="7">
        <v>5.6993814236317304</v>
      </c>
      <c r="H57" s="7">
        <v>0.48810121806552476</v>
      </c>
      <c r="I57" s="7">
        <v>796.22323955268109</v>
      </c>
      <c r="J57" s="7">
        <v>363.91367550387372</v>
      </c>
      <c r="K57" s="7">
        <v>5.1512350678393097E-2</v>
      </c>
      <c r="L57" s="7">
        <v>170617.57658095221</v>
      </c>
      <c r="M57" s="7">
        <v>0.11205970607638573</v>
      </c>
      <c r="N57" s="7">
        <v>0.52990502593819744</v>
      </c>
      <c r="O57" s="7">
        <v>222.30840142336879</v>
      </c>
      <c r="P57" s="7">
        <v>1784.8079701113047</v>
      </c>
      <c r="Q57">
        <v>1636.6928523033785</v>
      </c>
      <c r="R57" t="s">
        <v>47</v>
      </c>
    </row>
    <row r="58" spans="1:18" x14ac:dyDescent="0.25">
      <c r="A58" s="7">
        <v>57</v>
      </c>
      <c r="B58" s="7">
        <v>1.1829230642964457</v>
      </c>
      <c r="C58" s="7">
        <v>290.67690898495812</v>
      </c>
      <c r="D58" s="7">
        <v>47.300643165102272</v>
      </c>
      <c r="E58" s="7">
        <v>0.1022549605344994</v>
      </c>
      <c r="F58" s="7">
        <v>100000</v>
      </c>
      <c r="G58" s="7">
        <v>4.7280701981334019</v>
      </c>
      <c r="H58" s="7">
        <v>0.47968033793476728</v>
      </c>
      <c r="I58" s="7">
        <v>793.09901016327331</v>
      </c>
      <c r="J58" s="7">
        <v>340.61153615474478</v>
      </c>
      <c r="K58" s="7">
        <v>3.9058325867399539E-2</v>
      </c>
      <c r="L58" s="7">
        <v>164696.46918308284</v>
      </c>
      <c r="M58" s="7">
        <v>0.1067269447963356</v>
      </c>
      <c r="N58" s="7">
        <v>0.512419089634786</v>
      </c>
      <c r="O58" s="7">
        <v>226.45528055756748</v>
      </c>
      <c r="P58" s="7">
        <v>1518.8018140484005</v>
      </c>
      <c r="Q58">
        <v>1654.4016894780143</v>
      </c>
      <c r="R58" t="s">
        <v>47</v>
      </c>
    </row>
    <row r="59" spans="1:18" x14ac:dyDescent="0.25">
      <c r="A59" s="7">
        <v>58</v>
      </c>
      <c r="B59" s="7">
        <v>1.1872927311071801</v>
      </c>
      <c r="C59" s="7">
        <v>290.84719285901906</v>
      </c>
      <c r="D59" s="7">
        <v>42.935003297203664</v>
      </c>
      <c r="E59" s="7">
        <v>9.4241178971364567E-2</v>
      </c>
      <c r="F59" s="7">
        <v>100000</v>
      </c>
      <c r="G59" s="7">
        <v>5.4436735700576486</v>
      </c>
      <c r="H59" s="7">
        <v>0.48674696353323677</v>
      </c>
      <c r="I59" s="7">
        <v>806.2707214966116</v>
      </c>
      <c r="J59" s="7">
        <v>385.97221270388957</v>
      </c>
      <c r="K59" s="7">
        <v>4.9608329594061605E-2</v>
      </c>
      <c r="L59" s="7">
        <v>154545.5120654646</v>
      </c>
      <c r="M59" s="7">
        <v>9.7580004574298246E-2</v>
      </c>
      <c r="N59" s="7">
        <v>0.53677039714905472</v>
      </c>
      <c r="O59" s="7">
        <v>231.20428264317587</v>
      </c>
      <c r="P59" s="7">
        <v>1325.572996309447</v>
      </c>
      <c r="Q59">
        <v>1729.9907068291723</v>
      </c>
      <c r="R59" t="s">
        <v>47</v>
      </c>
    </row>
    <row r="60" spans="1:18" x14ac:dyDescent="0.25">
      <c r="A60" s="7">
        <v>59</v>
      </c>
      <c r="B60" s="7">
        <v>1.185111782490432</v>
      </c>
      <c r="C60" s="7">
        <v>291.82701522341154</v>
      </c>
      <c r="D60" s="7">
        <v>31.623066738730586</v>
      </c>
      <c r="E60" s="7">
        <v>9.5847172887876822E-2</v>
      </c>
      <c r="F60" s="7">
        <v>100000</v>
      </c>
      <c r="G60" s="7">
        <v>2.6375471810802842</v>
      </c>
      <c r="H60" s="7">
        <v>0.47960261039357049</v>
      </c>
      <c r="I60" s="7">
        <v>802.7191915937351</v>
      </c>
      <c r="J60" s="7">
        <v>300.99876491682954</v>
      </c>
      <c r="K60" s="7">
        <v>4.1586963608203555E-2</v>
      </c>
      <c r="L60" s="7">
        <v>158648.17618875444</v>
      </c>
      <c r="M60" s="7">
        <v>0.10941923984294738</v>
      </c>
      <c r="N60" s="7">
        <v>0.53351175656686378</v>
      </c>
      <c r="O60" s="7">
        <v>225.83714162877354</v>
      </c>
      <c r="P60" s="7">
        <v>1590.6978520544865</v>
      </c>
      <c r="Q60">
        <v>1232.5516146122754</v>
      </c>
      <c r="R60" t="s">
        <v>47</v>
      </c>
    </row>
    <row r="61" spans="1:18" x14ac:dyDescent="0.25">
      <c r="A61" s="7">
        <v>60</v>
      </c>
      <c r="B61" s="7">
        <v>1.1830353128235591</v>
      </c>
      <c r="C61" s="7">
        <v>290.59067002198708</v>
      </c>
      <c r="D61" s="7">
        <v>37.902030309110586</v>
      </c>
      <c r="E61" s="7">
        <v>9.9477505209657646E-2</v>
      </c>
      <c r="F61" s="7">
        <v>100000</v>
      </c>
      <c r="G61" s="7">
        <v>2.9933045781587033</v>
      </c>
      <c r="H61" s="7">
        <v>0.484165682867785</v>
      </c>
      <c r="I61" s="7">
        <v>808.86121297364832</v>
      </c>
      <c r="J61" s="7">
        <v>248.39505898059159</v>
      </c>
      <c r="K61" s="7">
        <v>4.7748547687613489E-2</v>
      </c>
      <c r="L61" s="7">
        <v>154870.84920712697</v>
      </c>
      <c r="M61" s="7">
        <v>0.11340736758429143</v>
      </c>
      <c r="N61" s="7">
        <v>0.51855574788572611</v>
      </c>
      <c r="O61" s="7">
        <v>228.06926272819462</v>
      </c>
      <c r="P61" s="7">
        <v>1474.8143582627017</v>
      </c>
      <c r="Q61">
        <v>1151.4305541862777</v>
      </c>
      <c r="R61" t="s">
        <v>47</v>
      </c>
    </row>
    <row r="62" spans="1:18" x14ac:dyDescent="0.25">
      <c r="A62" s="7">
        <v>61</v>
      </c>
      <c r="B62" s="7">
        <v>1.1869766889967901</v>
      </c>
      <c r="C62" s="7">
        <v>290.0235473706191</v>
      </c>
      <c r="D62" s="7">
        <v>29.417434009077549</v>
      </c>
      <c r="E62" s="7">
        <v>0.10158789381132523</v>
      </c>
      <c r="F62" s="7">
        <v>100000</v>
      </c>
      <c r="G62" s="7">
        <v>5.5806560039015238</v>
      </c>
      <c r="H62" s="7">
        <v>0.48985361599906913</v>
      </c>
      <c r="I62" s="7">
        <v>788.70948875204601</v>
      </c>
      <c r="J62" s="7">
        <v>292.91826988348481</v>
      </c>
      <c r="K62" s="7">
        <v>6.1265248387094809E-2</v>
      </c>
      <c r="L62" s="7">
        <v>149034.77522756814</v>
      </c>
      <c r="M62" s="7">
        <v>0.10539737366312664</v>
      </c>
      <c r="N62" s="7">
        <v>0.52710752612830247</v>
      </c>
      <c r="O62" s="7">
        <v>226.46841226066672</v>
      </c>
      <c r="P62" s="7">
        <v>1687.553482158266</v>
      </c>
      <c r="Q62">
        <v>1414.8742327828004</v>
      </c>
      <c r="R62" t="s">
        <v>47</v>
      </c>
    </row>
    <row r="63" spans="1:18" x14ac:dyDescent="0.25">
      <c r="A63" s="7">
        <v>62</v>
      </c>
      <c r="B63" s="7">
        <v>1.1830898236718601</v>
      </c>
      <c r="C63" s="7">
        <v>291.78690733155673</v>
      </c>
      <c r="D63" s="7">
        <v>35.177283754190171</v>
      </c>
      <c r="E63" s="7">
        <v>0.10185471843018126</v>
      </c>
      <c r="F63" s="7">
        <v>100000</v>
      </c>
      <c r="G63" s="7">
        <v>5.4397081032452261</v>
      </c>
      <c r="H63" s="7">
        <v>0.48205674462971831</v>
      </c>
      <c r="I63" s="7">
        <v>798.01577811377695</v>
      </c>
      <c r="J63" s="7">
        <v>310.73886445858875</v>
      </c>
      <c r="K63" s="7">
        <v>4.6692273858176009E-2</v>
      </c>
      <c r="L63" s="7">
        <v>157269.67646735269</v>
      </c>
      <c r="M63" s="7">
        <v>9.9240177794513995E-2</v>
      </c>
      <c r="N63" s="7">
        <v>0.52454075850800741</v>
      </c>
      <c r="O63" s="7">
        <v>230.82939628775731</v>
      </c>
      <c r="P63" s="7">
        <v>1332.6416601380549</v>
      </c>
      <c r="Q63">
        <v>1431.0796292925297</v>
      </c>
      <c r="R63" t="s">
        <v>47</v>
      </c>
    </row>
    <row r="64" spans="1:18" x14ac:dyDescent="0.25">
      <c r="A64" s="7">
        <v>63</v>
      </c>
      <c r="B64" s="7">
        <v>1.1841388125730323</v>
      </c>
      <c r="C64" s="7">
        <v>290.50070897780597</v>
      </c>
      <c r="D64" s="7">
        <v>45.83272025435501</v>
      </c>
      <c r="E64" s="7">
        <v>0.10000582576110047</v>
      </c>
      <c r="F64" s="7">
        <v>100000</v>
      </c>
      <c r="G64" s="7">
        <v>5.3077791277816821</v>
      </c>
      <c r="H64" s="7">
        <v>0.4854435073470203</v>
      </c>
      <c r="I64" s="7">
        <v>800.54172870123955</v>
      </c>
      <c r="J64" s="7">
        <v>343.18694026096568</v>
      </c>
      <c r="K64" s="7">
        <v>4.3486920636574708E-2</v>
      </c>
      <c r="L64" s="7">
        <v>154732.35242059655</v>
      </c>
      <c r="M64" s="7">
        <v>9.8181893369608503E-2</v>
      </c>
      <c r="N64" s="7">
        <v>0.50538960846967229</v>
      </c>
      <c r="O64" s="7">
        <v>233.9462871688394</v>
      </c>
      <c r="P64" s="7">
        <v>1443.3277966976746</v>
      </c>
      <c r="Q64">
        <v>1605.269539738707</v>
      </c>
      <c r="R64" t="s">
        <v>47</v>
      </c>
    </row>
    <row r="65" spans="1:18" x14ac:dyDescent="0.25">
      <c r="A65" s="7">
        <v>64</v>
      </c>
      <c r="B65" s="7">
        <v>1.1826803690941177</v>
      </c>
      <c r="C65" s="7">
        <v>291.91720223137287</v>
      </c>
      <c r="D65" s="7">
        <v>31.246225583163749</v>
      </c>
      <c r="E65" s="7">
        <v>9.4007363637526292E-2</v>
      </c>
      <c r="F65" s="7">
        <v>100000</v>
      </c>
      <c r="G65" s="7">
        <v>2.8785597318165737</v>
      </c>
      <c r="H65" s="7">
        <v>0.47999661784055148</v>
      </c>
      <c r="I65" s="7">
        <v>793.10011292898935</v>
      </c>
      <c r="J65" s="7">
        <v>358.44529659058776</v>
      </c>
      <c r="K65" s="7">
        <v>3.9031360535332217E-2</v>
      </c>
      <c r="L65" s="7">
        <v>167966.18928001463</v>
      </c>
      <c r="M65" s="7">
        <v>0.10425924328557352</v>
      </c>
      <c r="N65" s="7">
        <v>0.53180790695988112</v>
      </c>
      <c r="O65" s="7">
        <v>225.87612576418184</v>
      </c>
      <c r="P65" s="7">
        <v>1366.9267331727613</v>
      </c>
      <c r="Q65">
        <v>1450.1793578652942</v>
      </c>
      <c r="R65" t="s">
        <v>47</v>
      </c>
    </row>
    <row r="66" spans="1:18" x14ac:dyDescent="0.25">
      <c r="A66" s="7">
        <v>65</v>
      </c>
      <c r="B66" s="7">
        <v>1.1855594712086346</v>
      </c>
      <c r="C66" s="7">
        <v>291.83279725748935</v>
      </c>
      <c r="D66" s="7">
        <v>32.548512320869399</v>
      </c>
      <c r="E66" s="7">
        <v>9.2255963213526193E-2</v>
      </c>
      <c r="F66" s="7">
        <v>100000</v>
      </c>
      <c r="G66" s="7">
        <v>5.4595592823537267</v>
      </c>
      <c r="H66" s="7">
        <v>0.48897176440352841</v>
      </c>
      <c r="I66" s="7">
        <v>806.2843119350598</v>
      </c>
      <c r="J66" s="7">
        <v>281.5039214605988</v>
      </c>
      <c r="K66" s="7">
        <v>5.4600306107078195E-2</v>
      </c>
      <c r="L66" s="7">
        <v>157598.34025336261</v>
      </c>
      <c r="M66" s="7">
        <v>0.11239539107483561</v>
      </c>
      <c r="N66" s="7">
        <v>0.52410619390087565</v>
      </c>
      <c r="O66" s="7">
        <v>230.53697927985863</v>
      </c>
      <c r="P66" s="7">
        <v>1362.6056687304597</v>
      </c>
      <c r="Q66">
        <v>1336.4100838954837</v>
      </c>
      <c r="R66" t="s">
        <v>68</v>
      </c>
    </row>
    <row r="67" spans="1:18" x14ac:dyDescent="0.25">
      <c r="A67" s="7">
        <v>66</v>
      </c>
      <c r="B67" s="7">
        <v>1.1833595035814022</v>
      </c>
      <c r="C67" s="7">
        <v>290.42877842720236</v>
      </c>
      <c r="D67" s="7">
        <v>33.068788709437371</v>
      </c>
      <c r="E67" s="7">
        <v>9.3390346543842276E-2</v>
      </c>
      <c r="F67" s="7">
        <v>100000</v>
      </c>
      <c r="G67" s="7">
        <v>4.0306713296062764</v>
      </c>
      <c r="H67" s="7">
        <v>0.48822678204836067</v>
      </c>
      <c r="I67" s="7">
        <v>808.40310395187373</v>
      </c>
      <c r="J67" s="7">
        <v>286.04074034611733</v>
      </c>
      <c r="K67" s="7">
        <v>5.918957989651915E-2</v>
      </c>
      <c r="L67" s="7">
        <v>170281.54649033022</v>
      </c>
      <c r="M67" s="7">
        <v>9.8533660491743946E-2</v>
      </c>
      <c r="N67" s="7">
        <v>0.51988309000206911</v>
      </c>
      <c r="O67" s="7">
        <v>232.38645843179583</v>
      </c>
      <c r="P67" s="7">
        <v>1470.1189202226715</v>
      </c>
      <c r="Q67">
        <v>1438.240873297611</v>
      </c>
      <c r="R67" t="s">
        <v>68</v>
      </c>
    </row>
    <row r="68" spans="1:18" x14ac:dyDescent="0.25">
      <c r="A68" s="7">
        <v>67</v>
      </c>
      <c r="B68" s="7">
        <v>1.1871400018517386</v>
      </c>
      <c r="C68" s="7">
        <v>291.60513845704151</v>
      </c>
      <c r="D68" s="7">
        <v>42.36870002607499</v>
      </c>
      <c r="E68" s="7">
        <v>9.4180619167423874E-2</v>
      </c>
      <c r="F68" s="7">
        <v>100000</v>
      </c>
      <c r="G68" s="7">
        <v>4.9030487791461201</v>
      </c>
      <c r="H68" s="7">
        <v>0.48708210846921396</v>
      </c>
      <c r="I68" s="7">
        <v>805.79305828627139</v>
      </c>
      <c r="J68" s="7">
        <v>363.31685088118996</v>
      </c>
      <c r="K68" s="7">
        <v>6.1055082458770144E-2</v>
      </c>
      <c r="L68" s="7">
        <v>162626.80251624947</v>
      </c>
      <c r="M68" s="7">
        <v>0.11030166859290808</v>
      </c>
      <c r="N68" s="7">
        <v>0.50776695765086577</v>
      </c>
      <c r="O68" s="7">
        <v>229.03235638016432</v>
      </c>
      <c r="P68" s="7">
        <v>1573.6006669880176</v>
      </c>
      <c r="Q68">
        <v>1634.0581759127599</v>
      </c>
      <c r="R68" t="s">
        <v>68</v>
      </c>
    </row>
    <row r="69" spans="1:18" x14ac:dyDescent="0.25">
      <c r="A69" s="7">
        <v>68</v>
      </c>
      <c r="B69" s="7">
        <v>1.1857534489337771</v>
      </c>
      <c r="C69" s="7">
        <v>290.0841635523131</v>
      </c>
      <c r="D69" s="7">
        <v>32.088283011919749</v>
      </c>
      <c r="E69" s="7">
        <v>9.9028248046046652E-2</v>
      </c>
      <c r="F69" s="7">
        <v>100000</v>
      </c>
      <c r="G69" s="7">
        <v>3.5476475060874328</v>
      </c>
      <c r="H69" s="7">
        <v>0.48725903838281992</v>
      </c>
      <c r="I69" s="7">
        <v>788.8163854808937</v>
      </c>
      <c r="J69" s="7">
        <v>372.91590789227405</v>
      </c>
      <c r="K69" s="7">
        <v>4.3668050256914559E-2</v>
      </c>
      <c r="L69" s="7">
        <v>164921.1089575915</v>
      </c>
      <c r="M69" s="7">
        <v>0.10925503144567542</v>
      </c>
      <c r="N69" s="7">
        <v>0.51282510120447389</v>
      </c>
      <c r="O69" s="7">
        <v>225.9178491556728</v>
      </c>
      <c r="P69" s="7">
        <v>1494.1025562089726</v>
      </c>
      <c r="Q69">
        <v>1621.6673645483606</v>
      </c>
      <c r="R69" t="s">
        <v>47</v>
      </c>
    </row>
    <row r="70" spans="1:18" x14ac:dyDescent="0.25">
      <c r="A70" s="7">
        <v>69</v>
      </c>
      <c r="B70" s="7">
        <v>1.1842351937687596</v>
      </c>
      <c r="C70" s="7">
        <v>290.20417724977733</v>
      </c>
      <c r="D70" s="7">
        <v>41.138876345579718</v>
      </c>
      <c r="E70" s="7">
        <v>9.4094464303609363E-2</v>
      </c>
      <c r="F70" s="7">
        <v>100000</v>
      </c>
      <c r="G70" s="7">
        <v>4.7817726025707969</v>
      </c>
      <c r="H70" s="7">
        <v>0.48514582706319043</v>
      </c>
      <c r="I70" s="7">
        <v>807.95803692782329</v>
      </c>
      <c r="J70" s="7">
        <v>363.38852224455445</v>
      </c>
      <c r="K70" s="7">
        <v>4.7505795508652415E-2</v>
      </c>
      <c r="L70" s="7">
        <v>168527.28713077406</v>
      </c>
      <c r="M70" s="7">
        <v>0.10635992502547245</v>
      </c>
      <c r="N70" s="7">
        <v>0.52429896246273899</v>
      </c>
      <c r="O70" s="7">
        <v>227.24830973446223</v>
      </c>
      <c r="P70" s="7">
        <v>1522.1230450848416</v>
      </c>
      <c r="Q70">
        <v>1736.6673217146235</v>
      </c>
      <c r="R70" t="s">
        <v>47</v>
      </c>
    </row>
    <row r="71" spans="1:18" x14ac:dyDescent="0.25">
      <c r="A71" s="7">
        <v>70</v>
      </c>
      <c r="B71" s="7">
        <v>1.1841763029494066</v>
      </c>
      <c r="C71" s="7">
        <v>290.27844074056986</v>
      </c>
      <c r="D71" s="7">
        <v>41.314779339696628</v>
      </c>
      <c r="E71" s="7">
        <v>9.905447222527336E-2</v>
      </c>
      <c r="F71" s="7">
        <v>100000</v>
      </c>
      <c r="G71" s="7">
        <v>3.0407667096714475</v>
      </c>
      <c r="H71" s="7">
        <v>0.48929114374752702</v>
      </c>
      <c r="I71" s="7">
        <v>794.38829889069518</v>
      </c>
      <c r="J71" s="7">
        <v>332.05755393872619</v>
      </c>
      <c r="K71" s="7">
        <v>5.4421175754162734E-2</v>
      </c>
      <c r="L71" s="7">
        <v>155536.47067642637</v>
      </c>
      <c r="M71" s="7">
        <v>0.10460653010577602</v>
      </c>
      <c r="N71" s="7">
        <v>0.52574594605488389</v>
      </c>
      <c r="O71" s="7">
        <v>229.55107298883505</v>
      </c>
      <c r="P71" s="7">
        <v>1554.7997423155953</v>
      </c>
      <c r="Q71">
        <v>1436.5738962757678</v>
      </c>
      <c r="R71" t="s">
        <v>47</v>
      </c>
    </row>
    <row r="72" spans="1:18" x14ac:dyDescent="0.25">
      <c r="A72" s="7">
        <v>71</v>
      </c>
      <c r="B72" s="7">
        <v>1.1829641020699393</v>
      </c>
      <c r="C72" s="7">
        <v>291.23641526508362</v>
      </c>
      <c r="D72" s="7">
        <v>35.704061018484559</v>
      </c>
      <c r="E72" s="7">
        <v>9.2664117903620002E-2</v>
      </c>
      <c r="F72" s="7">
        <v>100000</v>
      </c>
      <c r="G72" s="7">
        <v>4.6908262454666971</v>
      </c>
      <c r="H72" s="7">
        <v>0.4849230893150458</v>
      </c>
      <c r="I72" s="7">
        <v>792.78726810119679</v>
      </c>
      <c r="J72" s="7">
        <v>327.95068950740938</v>
      </c>
      <c r="K72" s="7">
        <v>5.947655219983615E-2</v>
      </c>
      <c r="L72" s="7">
        <v>156076.05616719607</v>
      </c>
      <c r="M72" s="7">
        <v>0.10146400555717155</v>
      </c>
      <c r="N72" s="7">
        <v>0.52403927417978424</v>
      </c>
      <c r="O72" s="7">
        <v>231.38008432578755</v>
      </c>
      <c r="P72" s="7">
        <v>1496.7822149012641</v>
      </c>
      <c r="Q72">
        <v>1454.6481557818406</v>
      </c>
      <c r="R72" t="s">
        <v>68</v>
      </c>
    </row>
    <row r="73" spans="1:18" x14ac:dyDescent="0.25">
      <c r="A73" s="7">
        <v>72</v>
      </c>
      <c r="B73" s="7">
        <v>1.1839969905188263</v>
      </c>
      <c r="C73" s="7">
        <v>290.51168852511518</v>
      </c>
      <c r="D73" s="7">
        <v>42.243811742341734</v>
      </c>
      <c r="E73" s="7">
        <v>9.9784281463172628E-2</v>
      </c>
      <c r="F73" s="7">
        <v>100000</v>
      </c>
      <c r="G73" s="7">
        <v>4.7302119070458266</v>
      </c>
      <c r="H73" s="7">
        <v>0.48004133298338225</v>
      </c>
      <c r="I73" s="7">
        <v>808.26752888793817</v>
      </c>
      <c r="J73" s="7">
        <v>297.06176666576494</v>
      </c>
      <c r="K73" s="7">
        <v>5.8663488346134232E-2</v>
      </c>
      <c r="L73" s="7">
        <v>163279.43423280615</v>
      </c>
      <c r="M73" s="7">
        <v>0.1057832013123914</v>
      </c>
      <c r="N73" s="7">
        <v>0.51037245595634262</v>
      </c>
      <c r="O73" s="7">
        <v>229.68377611746106</v>
      </c>
      <c r="P73" s="7">
        <v>1395.0617918251298</v>
      </c>
      <c r="Q73">
        <v>1502.1489992306379</v>
      </c>
      <c r="R73" t="s">
        <v>47</v>
      </c>
    </row>
    <row r="74" spans="1:18" x14ac:dyDescent="0.25">
      <c r="A74" s="7">
        <v>73</v>
      </c>
      <c r="B74" s="7">
        <v>1.1855770553826048</v>
      </c>
      <c r="C74" s="7">
        <v>291.54936185486235</v>
      </c>
      <c r="D74" s="7">
        <v>41.949279267618216</v>
      </c>
      <c r="E74" s="7">
        <v>9.6116186056914618E-2</v>
      </c>
      <c r="F74" s="7">
        <v>100000</v>
      </c>
      <c r="G74" s="7">
        <v>4.8019210769434544</v>
      </c>
      <c r="H74" s="7">
        <v>0.4800961263809102</v>
      </c>
      <c r="I74" s="7">
        <v>792.97022591369944</v>
      </c>
      <c r="J74" s="7">
        <v>372.70768926802134</v>
      </c>
      <c r="K74" s="7">
        <v>4.1523001390772779E-2</v>
      </c>
      <c r="L74" s="7">
        <v>155179.18124556763</v>
      </c>
      <c r="M74" s="7">
        <v>0.10727329099900246</v>
      </c>
      <c r="N74" s="7">
        <v>0.52174924519898602</v>
      </c>
      <c r="O74" s="7">
        <v>231.36094110772473</v>
      </c>
      <c r="P74" s="7">
        <v>1468.2422198349029</v>
      </c>
      <c r="Q74">
        <v>1603.5885452179282</v>
      </c>
      <c r="R74" t="s">
        <v>47</v>
      </c>
    </row>
    <row r="75" spans="1:18" x14ac:dyDescent="0.25">
      <c r="A75" s="7">
        <v>74</v>
      </c>
      <c r="B75" s="7">
        <v>1.1867391010655428</v>
      </c>
      <c r="C75" s="7">
        <v>290.84770778093809</v>
      </c>
      <c r="D75" s="7">
        <v>41.100420900968516</v>
      </c>
      <c r="E75" s="7">
        <v>9.4412061947689196E-2</v>
      </c>
      <c r="F75" s="7">
        <v>100000</v>
      </c>
      <c r="G75" s="7">
        <v>4.3761999261814015</v>
      </c>
      <c r="H75" s="7">
        <v>0.48330496089380109</v>
      </c>
      <c r="I75" s="7">
        <v>800.99975514096184</v>
      </c>
      <c r="J75" s="7">
        <v>302.96139216104365</v>
      </c>
      <c r="K75" s="7">
        <v>4.6709532983626768E-2</v>
      </c>
      <c r="L75" s="7">
        <v>166766.13801479319</v>
      </c>
      <c r="M75" s="7">
        <v>0.10440863122572769</v>
      </c>
      <c r="N75" s="7">
        <v>0.53049308843471332</v>
      </c>
      <c r="O75" s="7">
        <v>229.40494189152528</v>
      </c>
      <c r="P75" s="7">
        <v>1411.9798916716663</v>
      </c>
      <c r="Q75">
        <v>1497.7934504625664</v>
      </c>
      <c r="R75" t="s">
        <v>47</v>
      </c>
    </row>
    <row r="76" spans="1:18" x14ac:dyDescent="0.25">
      <c r="A76" s="7">
        <v>75</v>
      </c>
      <c r="B76" s="7">
        <v>1.1870464103747846</v>
      </c>
      <c r="C76" s="7">
        <v>290.22357688612101</v>
      </c>
      <c r="D76" s="7">
        <v>32.695466049090491</v>
      </c>
      <c r="E76" s="7">
        <v>9.9008751392579392E-2</v>
      </c>
      <c r="F76" s="7">
        <v>100000</v>
      </c>
      <c r="G76" s="7">
        <v>3.7002969622742872</v>
      </c>
      <c r="H76" s="7">
        <v>0.4887805145052076</v>
      </c>
      <c r="I76" s="7">
        <v>805.05636380969213</v>
      </c>
      <c r="J76" s="7">
        <v>329.80270735841611</v>
      </c>
      <c r="K76" s="7">
        <v>4.801509355449967E-2</v>
      </c>
      <c r="L76" s="7">
        <v>155514.42473651766</v>
      </c>
      <c r="M76" s="7">
        <v>0.1058522475296771</v>
      </c>
      <c r="N76" s="7">
        <v>0.51242302114556815</v>
      </c>
      <c r="O76" s="7">
        <v>227.01566385598016</v>
      </c>
      <c r="P76" s="7">
        <v>1573.4755669719398</v>
      </c>
      <c r="Q76">
        <v>1456.8084740338891</v>
      </c>
      <c r="R76" t="s">
        <v>47</v>
      </c>
    </row>
    <row r="77" spans="1:18" x14ac:dyDescent="0.25">
      <c r="A77" s="7">
        <v>76</v>
      </c>
      <c r="B77" s="7">
        <v>1.1856199881393736</v>
      </c>
      <c r="C77" s="7">
        <v>290.47484811468985</v>
      </c>
      <c r="D77" s="7">
        <v>39.232710484223418</v>
      </c>
      <c r="E77" s="7">
        <v>9.5577383531499416E-2</v>
      </c>
      <c r="F77" s="7">
        <v>100000</v>
      </c>
      <c r="G77" s="7">
        <v>3.2327850229315636</v>
      </c>
      <c r="H77" s="7">
        <v>0.48726221587190049</v>
      </c>
      <c r="I77" s="7">
        <v>798.3167268978118</v>
      </c>
      <c r="J77" s="7">
        <v>301.54399409122584</v>
      </c>
      <c r="K77" s="7">
        <v>4.7956804446013725E-2</v>
      </c>
      <c r="L77" s="7">
        <v>158596.12041252706</v>
      </c>
      <c r="M77" s="7">
        <v>0.10384985339309792</v>
      </c>
      <c r="N77" s="7">
        <v>0.52854805954770712</v>
      </c>
      <c r="O77" s="7">
        <v>226.95338602090402</v>
      </c>
      <c r="P77" s="7">
        <v>1545.4037900206072</v>
      </c>
      <c r="Q77">
        <v>1373.8940815548922</v>
      </c>
      <c r="R77" t="s">
        <v>47</v>
      </c>
    </row>
    <row r="78" spans="1:18" x14ac:dyDescent="0.25">
      <c r="A78" s="7">
        <v>77</v>
      </c>
      <c r="B78" s="7">
        <v>1.1854845373183667</v>
      </c>
      <c r="C78" s="7">
        <v>290.77013029024982</v>
      </c>
      <c r="D78" s="7">
        <v>34.444084085420855</v>
      </c>
      <c r="E78" s="7">
        <v>9.7765201082857106E-2</v>
      </c>
      <c r="F78" s="7">
        <v>100000</v>
      </c>
      <c r="G78" s="7">
        <v>4.4986858808580292</v>
      </c>
      <c r="H78" s="7">
        <v>0.4858440296257493</v>
      </c>
      <c r="I78" s="7">
        <v>803.08000120549536</v>
      </c>
      <c r="J78" s="7">
        <v>334.60496005045127</v>
      </c>
      <c r="K78" s="7">
        <v>5.714066692010307E-2</v>
      </c>
      <c r="L78" s="7">
        <v>161223.65031853344</v>
      </c>
      <c r="M78" s="7">
        <v>0.10340369113196905</v>
      </c>
      <c r="N78" s="7">
        <v>0.52587595452358837</v>
      </c>
      <c r="O78" s="7">
        <v>230.6855581632914</v>
      </c>
      <c r="P78" s="7">
        <v>1568.5220065632197</v>
      </c>
      <c r="Q78">
        <v>1519.6842719184278</v>
      </c>
      <c r="R78" t="s">
        <v>68</v>
      </c>
    </row>
    <row r="79" spans="1:18" x14ac:dyDescent="0.25">
      <c r="A79" s="7">
        <v>78</v>
      </c>
      <c r="B79" s="7">
        <v>1.1838293033943352</v>
      </c>
      <c r="C79" s="7">
        <v>290.80770057379868</v>
      </c>
      <c r="D79" s="7">
        <v>38.005181950046698</v>
      </c>
      <c r="E79" s="7">
        <v>9.3194112630156326E-2</v>
      </c>
      <c r="F79" s="7">
        <v>100000</v>
      </c>
      <c r="G79" s="7">
        <v>3.732504022608683</v>
      </c>
      <c r="H79" s="7">
        <v>0.48817203094400974</v>
      </c>
      <c r="I79" s="7">
        <v>790.95284102035862</v>
      </c>
      <c r="J79" s="7">
        <v>302.95694932011833</v>
      </c>
      <c r="K79" s="7">
        <v>4.3462863644308292E-2</v>
      </c>
      <c r="L79" s="7">
        <v>166231.29488071662</v>
      </c>
      <c r="M79" s="7">
        <v>0.10448890625593517</v>
      </c>
      <c r="N79" s="7">
        <v>0.52475128863284837</v>
      </c>
      <c r="O79" s="7">
        <v>230.18030349894772</v>
      </c>
      <c r="P79" s="7">
        <v>1538.1348530233172</v>
      </c>
      <c r="Q79">
        <v>1431.663008728814</v>
      </c>
      <c r="R79" t="s">
        <v>47</v>
      </c>
    </row>
    <row r="80" spans="1:18" x14ac:dyDescent="0.25">
      <c r="A80" s="7">
        <v>79</v>
      </c>
      <c r="B80" s="7">
        <v>1.1843020623947855</v>
      </c>
      <c r="C80" s="7">
        <v>290.99102868483658</v>
      </c>
      <c r="D80" s="7">
        <v>37.560532492898545</v>
      </c>
      <c r="E80" s="7">
        <v>9.6779767696443059E-2</v>
      </c>
      <c r="F80" s="7">
        <v>100000</v>
      </c>
      <c r="G80" s="7">
        <v>3.1810871864974111</v>
      </c>
      <c r="H80" s="7">
        <v>0.48599320836370707</v>
      </c>
      <c r="I80" s="7">
        <v>798.08356327017225</v>
      </c>
      <c r="J80" s="7">
        <v>369.56884009614998</v>
      </c>
      <c r="K80" s="7">
        <v>5.7425862139986725E-2</v>
      </c>
      <c r="L80" s="7">
        <v>155531.12677210901</v>
      </c>
      <c r="M80" s="7">
        <v>0.10551575544724785</v>
      </c>
      <c r="N80" s="7">
        <v>0.52928284835856654</v>
      </c>
      <c r="O80" s="7">
        <v>227.99295555586357</v>
      </c>
      <c r="P80" s="7">
        <v>1532.9853989576786</v>
      </c>
      <c r="Q80">
        <v>1516.3667732120302</v>
      </c>
      <c r="R80" t="s">
        <v>68</v>
      </c>
    </row>
    <row r="81" spans="1:18" x14ac:dyDescent="0.25">
      <c r="A81" s="7">
        <v>80</v>
      </c>
      <c r="B81" s="7">
        <v>1.1862407584668053</v>
      </c>
      <c r="C81" s="7">
        <v>291.05182990597422</v>
      </c>
      <c r="D81" s="7">
        <v>39.339641686489514</v>
      </c>
      <c r="E81" s="7">
        <v>9.6077509619003784E-2</v>
      </c>
      <c r="F81" s="7">
        <v>100000</v>
      </c>
      <c r="G81" s="7">
        <v>3.6553264523488411</v>
      </c>
      <c r="H81" s="7">
        <v>0.48128867929495256</v>
      </c>
      <c r="I81" s="7">
        <v>798.66778061779632</v>
      </c>
      <c r="J81" s="7">
        <v>321.66880653819135</v>
      </c>
      <c r="K81" s="7">
        <v>4.284277583873615E-2</v>
      </c>
      <c r="L81" s="7">
        <v>157381.78243785552</v>
      </c>
      <c r="M81" s="7">
        <v>0.10359916903641195</v>
      </c>
      <c r="N81" s="7">
        <v>0.51676457898539374</v>
      </c>
      <c r="O81" s="7">
        <v>228.83894336414346</v>
      </c>
      <c r="P81" s="7">
        <v>1464.6312864249271</v>
      </c>
      <c r="Q81">
        <v>1414.599283407144</v>
      </c>
      <c r="R81" t="s">
        <v>68</v>
      </c>
    </row>
    <row r="82" spans="1:18" x14ac:dyDescent="0.25">
      <c r="A82" s="7">
        <v>81</v>
      </c>
      <c r="B82" s="7">
        <v>1.1847706599581183</v>
      </c>
      <c r="C82" s="7">
        <v>291.30020378406692</v>
      </c>
      <c r="D82" s="7">
        <v>40.566697071274987</v>
      </c>
      <c r="E82" s="7">
        <v>9.2664736197040173E-2</v>
      </c>
      <c r="F82" s="7">
        <v>100000</v>
      </c>
      <c r="G82" s="7">
        <v>4.674194748345684</v>
      </c>
      <c r="H82" s="7">
        <v>0.48061953636868793</v>
      </c>
      <c r="I82" s="7">
        <v>802.05496963422922</v>
      </c>
      <c r="J82" s="7">
        <v>364.32274868783804</v>
      </c>
      <c r="K82" s="7">
        <v>5.6689317314813123E-2</v>
      </c>
      <c r="L82" s="7">
        <v>156359.34260340268</v>
      </c>
      <c r="M82" s="7">
        <v>0.10681913188817137</v>
      </c>
      <c r="N82" s="7">
        <v>0.5261682485586392</v>
      </c>
      <c r="O82" s="7">
        <v>228.19439659883705</v>
      </c>
      <c r="P82" s="7">
        <v>1417.4766586278197</v>
      </c>
      <c r="Q82">
        <v>1599.2979587343798</v>
      </c>
      <c r="R82" t="s">
        <v>47</v>
      </c>
    </row>
    <row r="83" spans="1:18" x14ac:dyDescent="0.25">
      <c r="A83" s="7">
        <v>82</v>
      </c>
      <c r="B83" s="7">
        <v>1.1851313890113504</v>
      </c>
      <c r="C83" s="7">
        <v>291.50922105751624</v>
      </c>
      <c r="D83" s="7">
        <v>34.281083108108035</v>
      </c>
      <c r="E83" s="7">
        <v>9.7081502544542397E-2</v>
      </c>
      <c r="F83" s="7">
        <v>100000</v>
      </c>
      <c r="G83" s="7">
        <v>3.2528040066046886</v>
      </c>
      <c r="H83" s="7">
        <v>0.48179767971056991</v>
      </c>
      <c r="I83" s="7">
        <v>803.67092394290603</v>
      </c>
      <c r="J83" s="7">
        <v>339.20101084295067</v>
      </c>
      <c r="K83" s="7">
        <v>4.9682711008652125E-2</v>
      </c>
      <c r="L83" s="7">
        <v>162844.03542261923</v>
      </c>
      <c r="M83" s="7">
        <v>0.10653679584407126</v>
      </c>
      <c r="N83" s="7">
        <v>0.52784930904260552</v>
      </c>
      <c r="O83" s="7">
        <v>229.34942277089891</v>
      </c>
      <c r="P83" s="7">
        <v>1427.7880450267385</v>
      </c>
      <c r="Q83">
        <v>1427.1927726280919</v>
      </c>
      <c r="R83" t="s">
        <v>68</v>
      </c>
    </row>
    <row r="84" spans="1:18" x14ac:dyDescent="0.25">
      <c r="A84" s="7">
        <v>83</v>
      </c>
      <c r="B84" s="7">
        <v>1.1853984275808076</v>
      </c>
      <c r="C84" s="7">
        <v>290.45754940099738</v>
      </c>
      <c r="D84" s="7">
        <v>38.817505183373882</v>
      </c>
      <c r="E84" s="7">
        <v>9.4416664198918129E-2</v>
      </c>
      <c r="F84" s="7">
        <v>100000</v>
      </c>
      <c r="G84" s="7">
        <v>3.8126402534353154</v>
      </c>
      <c r="H84" s="7">
        <v>0.48800216864497897</v>
      </c>
      <c r="I84" s="7">
        <v>804.49891601461957</v>
      </c>
      <c r="J84" s="7">
        <v>352.69148332838307</v>
      </c>
      <c r="K84" s="7">
        <v>4.2605008938684588E-2</v>
      </c>
      <c r="L84" s="7">
        <v>165006.68650057647</v>
      </c>
      <c r="M84" s="7">
        <v>0.10720501243139417</v>
      </c>
      <c r="N84" s="7">
        <v>0.52487032639588282</v>
      </c>
      <c r="O84" s="7">
        <v>227.08332013695053</v>
      </c>
      <c r="P84" s="7">
        <v>1428.1545220755015</v>
      </c>
      <c r="Q84">
        <v>1601.033326597586</v>
      </c>
      <c r="R84" t="s">
        <v>47</v>
      </c>
    </row>
    <row r="85" spans="1:18" x14ac:dyDescent="0.25">
      <c r="A85" s="7">
        <v>84</v>
      </c>
      <c r="B85" s="7">
        <v>1.1856530315995668</v>
      </c>
      <c r="C85" s="7">
        <v>290.64032204935648</v>
      </c>
      <c r="D85" s="7">
        <v>39.711566052286386</v>
      </c>
      <c r="E85" s="7">
        <v>9.4592587589421712E-2</v>
      </c>
      <c r="F85" s="7">
        <v>100000</v>
      </c>
      <c r="G85" s="7">
        <v>4.6626574582782716</v>
      </c>
      <c r="H85" s="7">
        <v>0.48359842154365096</v>
      </c>
      <c r="I85" s="7">
        <v>801.6436218168169</v>
      </c>
      <c r="J85" s="7">
        <v>305.70116008367756</v>
      </c>
      <c r="K85" s="7">
        <v>4.3550362449614723E-2</v>
      </c>
      <c r="L85" s="7">
        <v>156147.75828730818</v>
      </c>
      <c r="M85" s="7">
        <v>0.10389635553916281</v>
      </c>
      <c r="N85" s="7">
        <v>0.51438012211398554</v>
      </c>
      <c r="O85" s="7">
        <v>229.83625284946856</v>
      </c>
      <c r="P85" s="7">
        <v>1453.1688142939668</v>
      </c>
      <c r="Q85">
        <v>1443.5026788140458</v>
      </c>
      <c r="R85" t="s">
        <v>68</v>
      </c>
    </row>
    <row r="86" spans="1:18" x14ac:dyDescent="0.25">
      <c r="A86" s="7">
        <v>85</v>
      </c>
      <c r="B86" s="7">
        <v>1.1866542628338048</v>
      </c>
      <c r="C86" s="7">
        <v>290.33775505714618</v>
      </c>
      <c r="D86" s="7">
        <v>38.043976523282566</v>
      </c>
      <c r="E86" s="7">
        <v>9.7659172666860111E-2</v>
      </c>
      <c r="F86" s="7">
        <v>100000</v>
      </c>
      <c r="G86" s="7">
        <v>3.7984958482894959</v>
      </c>
      <c r="H86" s="7">
        <v>0.48822791632994694</v>
      </c>
      <c r="I86" s="7">
        <v>791.1349538273314</v>
      </c>
      <c r="J86" s="7">
        <v>364.0652135848058</v>
      </c>
      <c r="K86" s="7">
        <v>5.429159305338857E-2</v>
      </c>
      <c r="L86" s="7">
        <v>166009.62551581167</v>
      </c>
      <c r="M86" s="7">
        <v>0.10685320225891637</v>
      </c>
      <c r="N86" s="7">
        <v>0.51587754696031984</v>
      </c>
      <c r="O86" s="7">
        <v>229.18000872741098</v>
      </c>
      <c r="P86" s="7">
        <v>1485.1580367466602</v>
      </c>
      <c r="Q86">
        <v>1626.5472300109031</v>
      </c>
      <c r="R86" t="s">
        <v>47</v>
      </c>
    </row>
    <row r="87" spans="1:18" x14ac:dyDescent="0.25">
      <c r="A87" s="7">
        <v>86</v>
      </c>
      <c r="B87" s="7">
        <v>1.1841520217788457</v>
      </c>
      <c r="C87" s="7">
        <v>290.78340151234164</v>
      </c>
      <c r="D87" s="7">
        <v>39.127664979965786</v>
      </c>
      <c r="E87" s="7">
        <v>9.3559460651039025E-2</v>
      </c>
      <c r="F87" s="7">
        <v>100000</v>
      </c>
      <c r="G87" s="7">
        <v>4.1793224832497771</v>
      </c>
      <c r="H87" s="7">
        <v>0.48315558917965085</v>
      </c>
      <c r="I87" s="7">
        <v>803.85688689722497</v>
      </c>
      <c r="J87" s="7">
        <v>340.39454112079994</v>
      </c>
      <c r="K87" s="7">
        <v>4.4609162485350573E-2</v>
      </c>
      <c r="L87" s="7">
        <v>164806.93923989002</v>
      </c>
      <c r="M87" s="7">
        <v>0.10374066348429611</v>
      </c>
      <c r="N87" s="7">
        <v>0.52488780165027771</v>
      </c>
      <c r="O87" s="7">
        <v>228.53239678607733</v>
      </c>
      <c r="P87" s="7">
        <v>1499.9287792819623</v>
      </c>
      <c r="Q87">
        <v>1567.7940803290621</v>
      </c>
      <c r="R87" t="s">
        <v>68</v>
      </c>
    </row>
    <row r="88" spans="1:18" x14ac:dyDescent="0.25">
      <c r="A88" s="7">
        <v>87</v>
      </c>
      <c r="B88" s="7">
        <v>1.18552534518398</v>
      </c>
      <c r="C88" s="7">
        <v>290.74099769585735</v>
      </c>
      <c r="D88" s="7">
        <v>40.397992666813991</v>
      </c>
      <c r="E88" s="7">
        <v>9.3641941458909528E-2</v>
      </c>
      <c r="F88" s="7">
        <v>100000</v>
      </c>
      <c r="G88" s="7">
        <v>4.029684741724056</v>
      </c>
      <c r="H88" s="7">
        <v>0.48450622502431528</v>
      </c>
      <c r="I88" s="7">
        <v>797.70744100068782</v>
      </c>
      <c r="J88" s="7">
        <v>344.96530274509541</v>
      </c>
      <c r="K88" s="7">
        <v>5.24631846305742E-2</v>
      </c>
      <c r="L88" s="7">
        <v>161735.53160267882</v>
      </c>
      <c r="M88" s="7">
        <v>0.10578191324335906</v>
      </c>
      <c r="N88" s="7">
        <v>0.52477547312600892</v>
      </c>
      <c r="O88" s="7">
        <v>228.97648789422709</v>
      </c>
      <c r="P88" s="7">
        <v>1510.0899309743247</v>
      </c>
      <c r="Q88">
        <v>1557.5138512775811</v>
      </c>
      <c r="R88" t="s">
        <v>68</v>
      </c>
    </row>
    <row r="89" spans="1:18" x14ac:dyDescent="0.25">
      <c r="A89" s="7">
        <v>88</v>
      </c>
      <c r="B89" s="7">
        <v>1.1845989943015098</v>
      </c>
      <c r="C89" s="7">
        <v>290.65853833693836</v>
      </c>
      <c r="D89" s="7">
        <v>37.115261626297837</v>
      </c>
      <c r="E89" s="7">
        <v>9.6600788981269572E-2</v>
      </c>
      <c r="F89" s="7">
        <v>100000</v>
      </c>
      <c r="G89" s="7">
        <v>4.1572141171009793</v>
      </c>
      <c r="H89" s="7">
        <v>0.48722254793906405</v>
      </c>
      <c r="I89" s="7">
        <v>800.09823779040062</v>
      </c>
      <c r="J89" s="7">
        <v>357.40154002966398</v>
      </c>
      <c r="K89" s="7">
        <v>4.7547776044972401E-2</v>
      </c>
      <c r="L89" s="7">
        <v>165913.24427774531</v>
      </c>
      <c r="M89" s="7">
        <v>0.10708583579982202</v>
      </c>
      <c r="N89" s="7">
        <v>0.52785126940377058</v>
      </c>
      <c r="O89" s="7">
        <v>227.20443916543621</v>
      </c>
      <c r="P89" s="7">
        <v>1473.9368419689122</v>
      </c>
      <c r="Q89">
        <v>1616.6684424464402</v>
      </c>
      <c r="R89" t="s">
        <v>47</v>
      </c>
    </row>
    <row r="90" spans="1:18" x14ac:dyDescent="0.25">
      <c r="A90" s="7">
        <v>89</v>
      </c>
      <c r="B90" s="7">
        <v>1.1860485952146349</v>
      </c>
      <c r="C90" s="7">
        <v>291.42197206820714</v>
      </c>
      <c r="D90" s="7">
        <v>34.282923710504413</v>
      </c>
      <c r="E90" s="7">
        <v>9.301933499875277E-2</v>
      </c>
      <c r="F90" s="7">
        <v>100000</v>
      </c>
      <c r="G90" s="7">
        <v>3.2926589387467193</v>
      </c>
      <c r="H90" s="7">
        <v>0.4809800865511924</v>
      </c>
      <c r="I90" s="7">
        <v>798.48849468207277</v>
      </c>
      <c r="J90" s="7">
        <v>362.07647502035564</v>
      </c>
      <c r="K90" s="7">
        <v>5.2813930759783634E-2</v>
      </c>
      <c r="L90" s="7">
        <v>158207.7060104401</v>
      </c>
      <c r="M90" s="7">
        <v>0.10498802130274572</v>
      </c>
      <c r="N90" s="7">
        <v>0.52195258829595426</v>
      </c>
      <c r="O90" s="7">
        <v>227.1460915355363</v>
      </c>
      <c r="P90" s="7">
        <v>1431.7877088591026</v>
      </c>
      <c r="Q90">
        <v>1482.5651323416314</v>
      </c>
      <c r="R90" t="s">
        <v>68</v>
      </c>
    </row>
    <row r="91" spans="1:18" x14ac:dyDescent="0.25">
      <c r="A91" s="7">
        <v>90</v>
      </c>
      <c r="B91" s="7">
        <v>1.1858752550375851</v>
      </c>
      <c r="C91" s="7">
        <v>290.86281065801023</v>
      </c>
      <c r="D91" s="7">
        <v>37.232261909337538</v>
      </c>
      <c r="E91" s="7">
        <v>9.3924769011825435E-2</v>
      </c>
      <c r="F91" s="7">
        <v>100000</v>
      </c>
      <c r="G91" s="7">
        <v>3.7895032141033917</v>
      </c>
      <c r="H91" s="7">
        <v>0.48670340140011886</v>
      </c>
      <c r="I91" s="7">
        <v>802.95101796548499</v>
      </c>
      <c r="J91" s="7">
        <v>315.34189205680758</v>
      </c>
      <c r="K91" s="7">
        <v>5.6113600877691669E-2</v>
      </c>
      <c r="L91" s="7">
        <v>163088.21362313678</v>
      </c>
      <c r="M91" s="7">
        <v>0.10615601208100128</v>
      </c>
      <c r="N91" s="7">
        <v>0.52218393885575065</v>
      </c>
      <c r="O91" s="7">
        <v>227.93917952733005</v>
      </c>
      <c r="P91" s="7">
        <v>1466.0187974650639</v>
      </c>
      <c r="Q91">
        <v>1449.9876287871084</v>
      </c>
      <c r="R91" t="s">
        <v>68</v>
      </c>
    </row>
    <row r="92" spans="1:18" x14ac:dyDescent="0.25">
      <c r="A92" s="7">
        <v>91</v>
      </c>
      <c r="B92" s="7">
        <v>1.1846116438904937</v>
      </c>
      <c r="C92" s="7">
        <v>290.96814966394862</v>
      </c>
      <c r="D92" s="7">
        <v>35.998809361059735</v>
      </c>
      <c r="E92" s="7">
        <v>9.3634091308436876E-2</v>
      </c>
      <c r="F92" s="7">
        <v>100000</v>
      </c>
      <c r="G92" s="7">
        <v>4.2249679885689959</v>
      </c>
      <c r="H92" s="7">
        <v>0.48166474255195668</v>
      </c>
      <c r="I92" s="7">
        <v>797.99835752713318</v>
      </c>
      <c r="J92" s="7">
        <v>356.86372246852625</v>
      </c>
      <c r="K92" s="7">
        <v>4.7352084731435207E-2</v>
      </c>
      <c r="L92" s="7">
        <v>161190.41298442151</v>
      </c>
      <c r="M92" s="7">
        <v>0.10414464783863064</v>
      </c>
      <c r="N92" s="7">
        <v>0.52218041771642676</v>
      </c>
      <c r="O92" s="7">
        <v>227.47148250477966</v>
      </c>
      <c r="P92" s="7">
        <v>1486.3289487226104</v>
      </c>
      <c r="Q92">
        <v>1572.8270625226942</v>
      </c>
      <c r="R92" t="s">
        <v>47</v>
      </c>
    </row>
    <row r="93" spans="1:18" x14ac:dyDescent="0.25">
      <c r="A93" s="7">
        <v>92</v>
      </c>
      <c r="B93" s="7">
        <v>1.1855350964840903</v>
      </c>
      <c r="C93" s="7">
        <v>291.00562476936051</v>
      </c>
      <c r="D93" s="7">
        <v>38.514034682805274</v>
      </c>
      <c r="E93" s="7">
        <v>9.4934991352608286E-2</v>
      </c>
      <c r="F93" s="7">
        <v>100000</v>
      </c>
      <c r="G93" s="7">
        <v>3.7029535453706592</v>
      </c>
      <c r="H93" s="7">
        <v>0.48482905995432052</v>
      </c>
      <c r="I93" s="7">
        <v>802.90555228785945</v>
      </c>
      <c r="J93" s="7">
        <v>322.88704759985109</v>
      </c>
      <c r="K93" s="7">
        <v>5.2697057399560751E-2</v>
      </c>
      <c r="L93" s="7">
        <v>163265.95998641523</v>
      </c>
      <c r="M93" s="7">
        <v>0.10532995882254317</v>
      </c>
      <c r="N93" s="7">
        <v>0.52143358773076931</v>
      </c>
      <c r="O93" s="7">
        <v>229.27102655209995</v>
      </c>
      <c r="P93" s="7">
        <v>1472.0713485591862</v>
      </c>
      <c r="Q93">
        <v>1461.5178795717002</v>
      </c>
      <c r="R93" t="s">
        <v>68</v>
      </c>
    </row>
    <row r="94" spans="1:18" x14ac:dyDescent="0.25">
      <c r="A94" s="7">
        <v>93</v>
      </c>
      <c r="B94" s="7">
        <v>1.1854763055774127</v>
      </c>
      <c r="C94" s="7">
        <v>291.15935510823039</v>
      </c>
      <c r="D94" s="7">
        <v>37.57249674913988</v>
      </c>
      <c r="E94" s="7">
        <v>9.455218596182452E-2</v>
      </c>
      <c r="F94" s="7">
        <v>100000</v>
      </c>
      <c r="G94" s="7">
        <v>3.6092959349867275</v>
      </c>
      <c r="H94" s="7">
        <v>0.48301579650551912</v>
      </c>
      <c r="I94" s="7">
        <v>791.85281898463279</v>
      </c>
      <c r="J94" s="7">
        <v>307.82462978855472</v>
      </c>
      <c r="K94" s="7">
        <v>4.4767189190303001E-2</v>
      </c>
      <c r="L94" s="7">
        <v>160867.54331555421</v>
      </c>
      <c r="M94" s="7">
        <v>0.1040176305707089</v>
      </c>
      <c r="N94" s="7">
        <v>0.52089580248991163</v>
      </c>
      <c r="O94" s="7">
        <v>228.57435504211705</v>
      </c>
      <c r="P94" s="7">
        <v>1481.9847749182413</v>
      </c>
      <c r="Q94">
        <v>1381.0783917584267</v>
      </c>
      <c r="R94" t="s">
        <v>47</v>
      </c>
    </row>
    <row r="95" spans="1:18" x14ac:dyDescent="0.25">
      <c r="A95" s="7">
        <v>94</v>
      </c>
      <c r="B95" s="7">
        <v>1.1857066984527016</v>
      </c>
      <c r="C95" s="7">
        <v>290.84396586946798</v>
      </c>
      <c r="D95" s="7">
        <v>35.167520170731642</v>
      </c>
      <c r="E95" s="7">
        <v>9.5033057644105717E-2</v>
      </c>
      <c r="F95" s="7">
        <v>100000</v>
      </c>
      <c r="G95" s="7">
        <v>4.352817273063101</v>
      </c>
      <c r="H95" s="7">
        <v>0.48617833444206282</v>
      </c>
      <c r="I95" s="7">
        <v>802.11527911802648</v>
      </c>
      <c r="J95" s="7">
        <v>337.38239376234753</v>
      </c>
      <c r="K95" s="7">
        <v>4.4176965315393835E-2</v>
      </c>
      <c r="L95" s="7">
        <v>158261.70864294984</v>
      </c>
      <c r="M95" s="7">
        <v>0.10611949097343262</v>
      </c>
      <c r="N95" s="7">
        <v>0.51545825723047323</v>
      </c>
      <c r="O95" s="7">
        <v>227.62738763305708</v>
      </c>
      <c r="P95" s="7">
        <v>1446.3023194929167</v>
      </c>
      <c r="Q95">
        <v>1512.0118935497521</v>
      </c>
      <c r="R95" t="s">
        <v>68</v>
      </c>
    </row>
    <row r="96" spans="1:18" x14ac:dyDescent="0.25">
      <c r="A96" s="7">
        <v>95</v>
      </c>
      <c r="B96" s="7">
        <v>1.1844925721621857</v>
      </c>
      <c r="C96" s="7">
        <v>290.48691748490677</v>
      </c>
      <c r="D96" s="7">
        <v>35.027250484065746</v>
      </c>
      <c r="E96" s="7">
        <v>9.6257384115847139E-2</v>
      </c>
      <c r="F96" s="7">
        <v>100000</v>
      </c>
      <c r="G96" s="7">
        <v>3.8197551650434955</v>
      </c>
      <c r="H96" s="7">
        <v>0.48592874403898945</v>
      </c>
      <c r="I96" s="7">
        <v>795.39393201836754</v>
      </c>
      <c r="J96" s="7">
        <v>325.00721631812718</v>
      </c>
      <c r="K96" s="7">
        <v>5.5707538431412053E-2</v>
      </c>
      <c r="L96" s="7">
        <v>160498.73676813845</v>
      </c>
      <c r="M96" s="7">
        <v>0.10376030943712708</v>
      </c>
      <c r="N96" s="7">
        <v>0.52073045456208134</v>
      </c>
      <c r="O96" s="7">
        <v>228.91297408158931</v>
      </c>
      <c r="P96" s="7">
        <v>1435.9465960518555</v>
      </c>
      <c r="Q96">
        <v>1466.6577607282015</v>
      </c>
      <c r="R96" t="s">
        <v>68</v>
      </c>
    </row>
    <row r="97" spans="1:18" x14ac:dyDescent="0.25">
      <c r="A97" s="7">
        <v>96</v>
      </c>
      <c r="B97" s="7">
        <v>1.1842577330748294</v>
      </c>
      <c r="C97" s="7">
        <v>291.31889878841037</v>
      </c>
      <c r="D97" s="7">
        <v>38.52625350750872</v>
      </c>
      <c r="E97" s="7">
        <v>9.4556161165282634E-2</v>
      </c>
      <c r="F97" s="7">
        <v>100000</v>
      </c>
      <c r="G97" s="7">
        <v>4.2776250451782802</v>
      </c>
      <c r="H97" s="7">
        <v>0.48392904886348048</v>
      </c>
      <c r="I97" s="7">
        <v>794.07172570189755</v>
      </c>
      <c r="J97" s="7">
        <v>333.7578666798338</v>
      </c>
      <c r="K97" s="7">
        <v>4.5658602528124162E-2</v>
      </c>
      <c r="L97" s="7">
        <v>159479.41042059145</v>
      </c>
      <c r="M97" s="7">
        <v>0.10653590832396945</v>
      </c>
      <c r="N97" s="7">
        <v>0.51808116898185319</v>
      </c>
      <c r="O97" s="7">
        <v>227.6814036002672</v>
      </c>
      <c r="P97" s="7">
        <v>1460.6416283881131</v>
      </c>
      <c r="Q97">
        <v>1489.2763603902931</v>
      </c>
      <c r="R97" t="s">
        <v>68</v>
      </c>
    </row>
    <row r="98" spans="1:18" x14ac:dyDescent="0.25">
      <c r="A98" s="7">
        <v>97</v>
      </c>
      <c r="B98" s="7">
        <v>1.1847540923148889</v>
      </c>
      <c r="C98" s="7">
        <v>290.91863526061917</v>
      </c>
      <c r="D98" s="7">
        <v>36.138546803310213</v>
      </c>
      <c r="E98" s="7">
        <v>9.6494218395234352E-2</v>
      </c>
      <c r="F98" s="7">
        <v>100000</v>
      </c>
      <c r="G98" s="7">
        <v>3.7206632680327902</v>
      </c>
      <c r="H98" s="7">
        <v>0.48243464018936782</v>
      </c>
      <c r="I98" s="7">
        <v>791.99003421051293</v>
      </c>
      <c r="J98" s="7">
        <v>322.05663640586658</v>
      </c>
      <c r="K98" s="7">
        <v>4.7125714747737489E-2</v>
      </c>
      <c r="L98" s="7">
        <v>163292.96567991914</v>
      </c>
      <c r="M98" s="7">
        <v>0.10585671856134821</v>
      </c>
      <c r="N98" s="7">
        <v>0.52230647616728876</v>
      </c>
      <c r="O98" s="7">
        <v>227.63429883055744</v>
      </c>
      <c r="P98" s="7">
        <v>1457.4494756899621</v>
      </c>
      <c r="Q98">
        <v>1454.4379269599958</v>
      </c>
      <c r="R98" t="s">
        <v>68</v>
      </c>
    </row>
    <row r="99" spans="1:18" x14ac:dyDescent="0.25">
      <c r="A99" s="7">
        <v>98</v>
      </c>
      <c r="B99" s="7">
        <v>1.1846711673626336</v>
      </c>
      <c r="C99" s="7">
        <v>291.01048363962042</v>
      </c>
      <c r="D99" s="7">
        <v>36.980809572723167</v>
      </c>
      <c r="E99" s="7">
        <v>9.3809681374594833E-2</v>
      </c>
      <c r="F99" s="7">
        <v>100000</v>
      </c>
      <c r="G99" s="7">
        <v>3.5404487436729357</v>
      </c>
      <c r="H99" s="7">
        <v>0.4866526489117512</v>
      </c>
      <c r="I99" s="7">
        <v>793.32462639421874</v>
      </c>
      <c r="J99" s="7">
        <v>339.08007034730474</v>
      </c>
      <c r="K99" s="7">
        <v>4.8949069630672443E-2</v>
      </c>
      <c r="L99" s="7">
        <v>161119.62205546582</v>
      </c>
      <c r="M99" s="7">
        <v>0.1049100460817015</v>
      </c>
      <c r="N99" s="7">
        <v>0.51874158986705532</v>
      </c>
      <c r="O99" s="7">
        <v>227.65935688654793</v>
      </c>
      <c r="P99" s="7">
        <v>1433.8212448783504</v>
      </c>
      <c r="Q99">
        <v>1477.1790214663415</v>
      </c>
      <c r="R99" t="s">
        <v>68</v>
      </c>
    </row>
    <row r="100" spans="1:18" x14ac:dyDescent="0.25">
      <c r="A100" s="7">
        <v>99</v>
      </c>
      <c r="B100" s="7">
        <v>1.1859303698883341</v>
      </c>
      <c r="C100" s="7">
        <v>291.04895408536288</v>
      </c>
      <c r="D100" s="7">
        <v>38.21345992209136</v>
      </c>
      <c r="E100" s="7">
        <v>9.523690690591724E-2</v>
      </c>
      <c r="F100" s="7">
        <v>100000</v>
      </c>
      <c r="G100" s="7">
        <v>4.0787471511508286</v>
      </c>
      <c r="H100" s="7">
        <v>0.48286520786558551</v>
      </c>
      <c r="I100" s="7">
        <v>793.19512929366999</v>
      </c>
      <c r="J100" s="7">
        <v>341.90224109178985</v>
      </c>
      <c r="K100" s="7">
        <v>4.7828196775232826E-2</v>
      </c>
      <c r="L100" s="7">
        <v>158915.3400638981</v>
      </c>
      <c r="M100" s="7">
        <v>0.10617641957624196</v>
      </c>
      <c r="N100" s="7">
        <v>0.51737748790553795</v>
      </c>
      <c r="O100" s="7">
        <v>227.15619983421976</v>
      </c>
      <c r="P100" s="7">
        <v>1475.424094047595</v>
      </c>
      <c r="Q100">
        <v>1512.6749196317323</v>
      </c>
      <c r="R100" t="s">
        <v>68</v>
      </c>
    </row>
    <row r="101" spans="1:18" x14ac:dyDescent="0.25">
      <c r="A101" s="7">
        <v>100</v>
      </c>
      <c r="B101" s="7">
        <v>1.1844359848275856</v>
      </c>
      <c r="C101" s="7">
        <v>290.88077959273068</v>
      </c>
      <c r="D101" s="7">
        <v>35.421084245276901</v>
      </c>
      <c r="E101" s="7">
        <v>9.4807246895793049E-2</v>
      </c>
      <c r="F101" s="7">
        <v>100000</v>
      </c>
      <c r="G101" s="7">
        <v>3.7428160231835172</v>
      </c>
      <c r="H101" s="7">
        <v>0.4847558554468086</v>
      </c>
      <c r="I101" s="7">
        <v>802.63173158525956</v>
      </c>
      <c r="J101" s="7">
        <v>344.86955854060159</v>
      </c>
      <c r="K101" s="7">
        <v>5.2846145322746702E-2</v>
      </c>
      <c r="L101" s="7">
        <v>160481.76349700024</v>
      </c>
      <c r="M101" s="7">
        <v>0.10398006998535138</v>
      </c>
      <c r="N101" s="7">
        <v>0.51663868934081281</v>
      </c>
      <c r="O101" s="7">
        <v>227.35830792234336</v>
      </c>
      <c r="P101" s="7">
        <v>1464.4269735368537</v>
      </c>
      <c r="Q101">
        <v>1507.5709387396273</v>
      </c>
      <c r="R101" t="s">
        <v>68</v>
      </c>
    </row>
    <row r="102" spans="1:18" x14ac:dyDescent="0.25">
      <c r="A102" s="7">
        <v>101</v>
      </c>
      <c r="B102" s="7">
        <v>1.1858991556011236</v>
      </c>
      <c r="C102" s="7">
        <v>290.738449855986</v>
      </c>
      <c r="D102" s="7">
        <v>36.235382822004205</v>
      </c>
      <c r="E102" s="7">
        <v>9.4163294916399146E-2</v>
      </c>
      <c r="F102" s="7">
        <v>100000</v>
      </c>
      <c r="G102" s="7">
        <v>4.0148697610261221</v>
      </c>
      <c r="H102" s="7">
        <v>0.48625535350738991</v>
      </c>
      <c r="I102" s="7">
        <v>797.43554761315386</v>
      </c>
      <c r="J102" s="7">
        <v>340.25543511071885</v>
      </c>
      <c r="K102" s="7">
        <v>4.6898621963921312E-2</v>
      </c>
      <c r="L102" s="7">
        <v>161378.42008453808</v>
      </c>
      <c r="M102" s="7">
        <v>0.10539297099521816</v>
      </c>
      <c r="N102" s="7">
        <v>0.51961455989296956</v>
      </c>
      <c r="O102" s="7">
        <v>227.64167940045809</v>
      </c>
      <c r="P102" s="7">
        <v>1439.9003548378819</v>
      </c>
      <c r="Q102">
        <v>1525.204749092627</v>
      </c>
      <c r="R102" t="s">
        <v>47</v>
      </c>
    </row>
    <row r="103" spans="1:18" x14ac:dyDescent="0.25">
      <c r="A103" s="7">
        <v>102</v>
      </c>
      <c r="B103" s="7">
        <v>1.1857747174572904</v>
      </c>
      <c r="C103" s="7">
        <v>290.5977481932614</v>
      </c>
      <c r="D103" s="7">
        <v>38.013682694169304</v>
      </c>
      <c r="E103" s="7">
        <v>9.5254203352071479E-2</v>
      </c>
      <c r="F103" s="7">
        <v>100000</v>
      </c>
      <c r="G103" s="7">
        <v>3.6224201179837463</v>
      </c>
      <c r="H103" s="7">
        <v>0.48316949952566624</v>
      </c>
      <c r="I103" s="7">
        <v>793.53902968091893</v>
      </c>
      <c r="J103" s="7">
        <v>316.04710256711519</v>
      </c>
      <c r="K103" s="7">
        <v>4.7801484951317356E-2</v>
      </c>
      <c r="L103" s="7">
        <v>159521.38202933825</v>
      </c>
      <c r="M103" s="7">
        <v>0.10612038920660262</v>
      </c>
      <c r="N103" s="7">
        <v>0.51757640164272256</v>
      </c>
      <c r="O103" s="7">
        <v>228.3838922356245</v>
      </c>
      <c r="P103" s="7">
        <v>1460.225588721813</v>
      </c>
      <c r="Q103">
        <v>1430.7456173173196</v>
      </c>
      <c r="R103" t="s">
        <v>68</v>
      </c>
    </row>
    <row r="104" spans="1:18" x14ac:dyDescent="0.25">
      <c r="A104" s="7">
        <v>103</v>
      </c>
      <c r="B104" s="7">
        <v>1.1845356762952526</v>
      </c>
      <c r="C104" s="7">
        <v>291.16792700974412</v>
      </c>
      <c r="D104" s="7">
        <v>37.581098062722297</v>
      </c>
      <c r="E104" s="7">
        <v>9.4712426536161937E-2</v>
      </c>
      <c r="F104" s="7">
        <v>100000</v>
      </c>
      <c r="G104" s="7">
        <v>4.2361522217896947</v>
      </c>
      <c r="H104" s="7">
        <v>0.48661536368253139</v>
      </c>
      <c r="I104" s="7">
        <v>796.12277070528148</v>
      </c>
      <c r="J104" s="7">
        <v>341.16832032310822</v>
      </c>
      <c r="K104" s="7">
        <v>4.5066917557010013E-2</v>
      </c>
      <c r="L104" s="7">
        <v>159196.09281646696</v>
      </c>
      <c r="M104" s="7">
        <v>0.10489874462414797</v>
      </c>
      <c r="N104" s="7">
        <v>0.51883931124237403</v>
      </c>
      <c r="O104" s="7">
        <v>228.42618250178384</v>
      </c>
      <c r="P104" s="7">
        <v>1435.1110885967519</v>
      </c>
      <c r="Q104">
        <v>1508.718352321237</v>
      </c>
      <c r="R104" t="s">
        <v>47</v>
      </c>
    </row>
    <row r="105" spans="1:18" x14ac:dyDescent="0.25">
      <c r="A105" s="7">
        <v>104</v>
      </c>
      <c r="B105" s="7">
        <v>1.1856030783531044</v>
      </c>
      <c r="C105" s="7">
        <v>290.87176820320178</v>
      </c>
      <c r="D105" s="7">
        <v>37.270916706960286</v>
      </c>
      <c r="E105" s="7">
        <v>9.4928295838058771E-2</v>
      </c>
      <c r="F105" s="7">
        <v>100000</v>
      </c>
      <c r="G105" s="7">
        <v>3.8985622521999206</v>
      </c>
      <c r="H105" s="7">
        <v>0.48313568425013043</v>
      </c>
      <c r="I105" s="7">
        <v>796.65075205652408</v>
      </c>
      <c r="J105" s="7">
        <v>338.01091763924535</v>
      </c>
      <c r="K105" s="7">
        <v>4.9304970949501196E-2</v>
      </c>
      <c r="L105" s="7">
        <v>160306.63943405292</v>
      </c>
      <c r="M105" s="7">
        <v>0.10539651131362002</v>
      </c>
      <c r="N105" s="7">
        <v>0.51678500266931326</v>
      </c>
      <c r="O105" s="7">
        <v>228.34806867944664</v>
      </c>
      <c r="P105" s="7">
        <v>1462.8403526874401</v>
      </c>
      <c r="Q105">
        <v>1500.4122064224721</v>
      </c>
      <c r="R105" t="s">
        <v>68</v>
      </c>
    </row>
    <row r="106" spans="1:18" x14ac:dyDescent="0.25">
      <c r="A106" s="7">
        <v>105</v>
      </c>
      <c r="B106" s="7">
        <v>1.1852717850404861</v>
      </c>
      <c r="C106" s="7">
        <v>290.67238560634337</v>
      </c>
      <c r="D106" s="7">
        <v>35.948298640150689</v>
      </c>
      <c r="E106" s="7">
        <v>9.3973519432397054E-2</v>
      </c>
      <c r="F106" s="7">
        <v>100000</v>
      </c>
      <c r="G106" s="7">
        <v>3.9063098142613386</v>
      </c>
      <c r="H106" s="7">
        <v>0.4854855178159625</v>
      </c>
      <c r="I106" s="7">
        <v>795.78655202404423</v>
      </c>
      <c r="J106" s="7">
        <v>324.92020896263239</v>
      </c>
      <c r="K106" s="7">
        <v>4.8881131379969328E-2</v>
      </c>
      <c r="L106" s="7">
        <v>160969.66214199801</v>
      </c>
      <c r="M106" s="7">
        <v>0.10524203670840609</v>
      </c>
      <c r="N106" s="7">
        <v>0.521277334663242</v>
      </c>
      <c r="O106" s="7">
        <v>228.54443626817346</v>
      </c>
      <c r="P106" s="7">
        <v>1448.2696794330286</v>
      </c>
      <c r="Q106">
        <v>1470.3786713717782</v>
      </c>
      <c r="R106" t="s">
        <v>68</v>
      </c>
    </row>
    <row r="107" spans="1:18" x14ac:dyDescent="0.25">
      <c r="A107" s="7">
        <v>106</v>
      </c>
      <c r="B107" s="7">
        <v>1.185401268927079</v>
      </c>
      <c r="C107" s="7">
        <v>291.13596004691209</v>
      </c>
      <c r="D107" s="7">
        <v>36.123689588223677</v>
      </c>
      <c r="E107" s="7">
        <v>9.5870573770627701E-2</v>
      </c>
      <c r="F107" s="7">
        <v>100000</v>
      </c>
      <c r="G107" s="7">
        <v>4.1414911644811525</v>
      </c>
      <c r="H107" s="7">
        <v>0.48631752012515284</v>
      </c>
      <c r="I107" s="7">
        <v>797.24697166407134</v>
      </c>
      <c r="J107" s="7">
        <v>316.3361377701188</v>
      </c>
      <c r="K107" s="7">
        <v>4.6246750046409005E-2</v>
      </c>
      <c r="L107" s="7">
        <v>159279.91376759589</v>
      </c>
      <c r="M107" s="7">
        <v>0.10474522804541563</v>
      </c>
      <c r="N107" s="7">
        <v>0.51772328175695015</v>
      </c>
      <c r="O107" s="7">
        <v>227.44824674153534</v>
      </c>
      <c r="P107" s="7">
        <v>1437.7518393226655</v>
      </c>
      <c r="Q107">
        <v>1428.8184341581582</v>
      </c>
      <c r="R107" t="s">
        <v>68</v>
      </c>
    </row>
    <row r="108" spans="1:18" x14ac:dyDescent="0.25">
      <c r="A108" s="7">
        <v>107</v>
      </c>
      <c r="B108" s="7">
        <v>1.1851976153587032</v>
      </c>
      <c r="C108" s="7">
        <v>290.68702310774239</v>
      </c>
      <c r="D108" s="7">
        <v>35.89033134622278</v>
      </c>
      <c r="E108" s="7">
        <v>9.6223071745720701E-2</v>
      </c>
      <c r="F108" s="7">
        <v>100000</v>
      </c>
      <c r="G108" s="7">
        <v>3.6291745213869442</v>
      </c>
      <c r="H108" s="7">
        <v>0.48628739263145609</v>
      </c>
      <c r="I108" s="7">
        <v>797.72890102731412</v>
      </c>
      <c r="J108" s="7">
        <v>338.87518191506615</v>
      </c>
      <c r="K108" s="7">
        <v>4.5501870489188335E-2</v>
      </c>
      <c r="L108" s="7">
        <v>159661.18203705383</v>
      </c>
      <c r="M108" s="7">
        <v>0.10530185205537931</v>
      </c>
      <c r="N108" s="7">
        <v>0.51812318186809758</v>
      </c>
      <c r="O108" s="7">
        <v>227.7932778067607</v>
      </c>
      <c r="P108" s="7">
        <v>1467.6055199768898</v>
      </c>
      <c r="Q108">
        <v>1487.8828664353859</v>
      </c>
      <c r="R108" t="s">
        <v>68</v>
      </c>
    </row>
    <row r="109" spans="1:18" x14ac:dyDescent="0.25">
      <c r="A109" s="7">
        <v>108</v>
      </c>
      <c r="B109" s="7">
        <v>1.1850841535980055</v>
      </c>
      <c r="C109" s="7">
        <v>290.68586277171801</v>
      </c>
      <c r="D109" s="7">
        <v>36.183763869694097</v>
      </c>
      <c r="E109" s="7">
        <v>9.5872160516786875E-2</v>
      </c>
      <c r="F109" s="7">
        <v>100000</v>
      </c>
      <c r="G109" s="7">
        <v>3.8720937636453177</v>
      </c>
      <c r="H109" s="7">
        <v>0.48500321057333939</v>
      </c>
      <c r="I109" s="7">
        <v>798.9325823417023</v>
      </c>
      <c r="J109" s="7">
        <v>342.01320219848606</v>
      </c>
      <c r="K109" s="7">
        <v>4.9272912856550916E-2</v>
      </c>
      <c r="L109" s="7">
        <v>160972.97381231358</v>
      </c>
      <c r="M109" s="7">
        <v>0.10460493158266659</v>
      </c>
      <c r="N109" s="7">
        <v>0.51786970774799024</v>
      </c>
      <c r="O109" s="7">
        <v>228.07182974203531</v>
      </c>
      <c r="P109" s="7">
        <v>1471.8776316125029</v>
      </c>
      <c r="Q109">
        <v>1520.974965073452</v>
      </c>
      <c r="R109" t="s">
        <v>68</v>
      </c>
    </row>
    <row r="110" spans="1:18" x14ac:dyDescent="0.25">
      <c r="A110" s="7">
        <v>109</v>
      </c>
      <c r="B110" s="7">
        <v>1.1858639892750469</v>
      </c>
      <c r="C110" s="7">
        <v>290.65548439735971</v>
      </c>
      <c r="D110" s="7">
        <v>35.87430108503294</v>
      </c>
      <c r="E110" s="7">
        <v>9.5892767484571248E-2</v>
      </c>
      <c r="F110" s="7">
        <v>100000</v>
      </c>
      <c r="G110" s="7">
        <v>3.6987676245543457</v>
      </c>
      <c r="H110" s="7">
        <v>0.48632620391154585</v>
      </c>
      <c r="I110" s="7">
        <v>802.09849515831604</v>
      </c>
      <c r="J110" s="7">
        <v>320.1752626777336</v>
      </c>
      <c r="K110" s="7">
        <v>4.5322889105799347E-2</v>
      </c>
      <c r="L110" s="7">
        <v>159204.21919069265</v>
      </c>
      <c r="M110" s="7">
        <v>0.10482837350209348</v>
      </c>
      <c r="N110" s="7">
        <v>0.5200366399651194</v>
      </c>
      <c r="O110" s="7">
        <v>228.43487261444594</v>
      </c>
      <c r="P110" s="7">
        <v>1439.4361633860874</v>
      </c>
      <c r="Q110">
        <v>1435.0519516513959</v>
      </c>
      <c r="R110" t="s">
        <v>68</v>
      </c>
    </row>
    <row r="111" spans="1:18" x14ac:dyDescent="0.25">
      <c r="A111" s="7">
        <v>110</v>
      </c>
      <c r="B111" s="7">
        <v>1.1853949322602806</v>
      </c>
      <c r="C111" s="7">
        <v>291.12202172624427</v>
      </c>
      <c r="D111" s="7">
        <v>35.52893535464073</v>
      </c>
      <c r="E111" s="7">
        <v>9.4133346535832704E-2</v>
      </c>
      <c r="F111" s="7">
        <v>100000</v>
      </c>
      <c r="G111" s="7">
        <v>4.2085448063279447</v>
      </c>
      <c r="H111" s="7">
        <v>0.48656018566549136</v>
      </c>
      <c r="I111" s="7">
        <v>801.33025889562145</v>
      </c>
      <c r="J111" s="7">
        <v>337.20452280253585</v>
      </c>
      <c r="K111" s="7">
        <v>4.8899883062166263E-2</v>
      </c>
      <c r="L111" s="7">
        <v>161064.15635614653</v>
      </c>
      <c r="M111" s="7">
        <v>0.10538884518099706</v>
      </c>
      <c r="N111" s="7">
        <v>0.51886881125052753</v>
      </c>
      <c r="O111" s="7">
        <v>227.9160629496011</v>
      </c>
      <c r="P111" s="7">
        <v>1455.187054720202</v>
      </c>
      <c r="Q111">
        <v>1502.4643951253311</v>
      </c>
      <c r="R111" t="s">
        <v>68</v>
      </c>
    </row>
    <row r="112" spans="1:18" x14ac:dyDescent="0.25">
      <c r="A112" s="7">
        <v>111</v>
      </c>
      <c r="B112" s="7">
        <v>1.1849720774346273</v>
      </c>
      <c r="C112" s="7">
        <v>291.12774403722307</v>
      </c>
      <c r="D112" s="7">
        <v>36.104362974988959</v>
      </c>
      <c r="E112" s="7">
        <v>9.5289777477784762E-2</v>
      </c>
      <c r="F112" s="7">
        <v>100000</v>
      </c>
      <c r="G112" s="7">
        <v>3.8421426182170233</v>
      </c>
      <c r="H112" s="7">
        <v>0.48609334280712363</v>
      </c>
      <c r="I112" s="7">
        <v>800.21509976482821</v>
      </c>
      <c r="J112" s="7">
        <v>326.80530442912101</v>
      </c>
      <c r="K112" s="7">
        <v>4.6624755079652518E-2</v>
      </c>
      <c r="L112" s="7">
        <v>161190.5607343702</v>
      </c>
      <c r="M112" s="7">
        <v>0.10601402740008199</v>
      </c>
      <c r="N112" s="7">
        <v>0.51835321108129973</v>
      </c>
      <c r="O112" s="7">
        <v>227.54355263606948</v>
      </c>
      <c r="P112" s="7">
        <v>1460.3262172706766</v>
      </c>
      <c r="Q112">
        <v>1453.5467334838395</v>
      </c>
      <c r="R112" t="s">
        <v>68</v>
      </c>
    </row>
    <row r="113" spans="1:18" x14ac:dyDescent="0.25">
      <c r="A113" s="7">
        <v>112</v>
      </c>
      <c r="B113" s="7">
        <v>1.1856004381152114</v>
      </c>
      <c r="C113" s="7">
        <v>291.08537854430801</v>
      </c>
      <c r="D113" s="7">
        <v>36.246176841758711</v>
      </c>
      <c r="E113" s="7">
        <v>9.4681578353009985E-2</v>
      </c>
      <c r="F113" s="7">
        <v>100000</v>
      </c>
      <c r="G113" s="7">
        <v>3.6810489289296342</v>
      </c>
      <c r="H113" s="7">
        <v>0.48502259454148533</v>
      </c>
      <c r="I113" s="7">
        <v>800.62488367077754</v>
      </c>
      <c r="J113" s="7">
        <v>318.72553649446587</v>
      </c>
      <c r="K113" s="7">
        <v>4.7269471852693576E-2</v>
      </c>
      <c r="L113" s="7">
        <v>159230.8598120519</v>
      </c>
      <c r="M113" s="7">
        <v>0.10543678541827572</v>
      </c>
      <c r="N113" s="7">
        <v>0.52001667840913746</v>
      </c>
      <c r="O113" s="7">
        <v>228.36971513629561</v>
      </c>
      <c r="P113" s="7">
        <v>1470.5175583634991</v>
      </c>
      <c r="Q113">
        <v>1407.3689248272494</v>
      </c>
      <c r="R113" t="s">
        <v>68</v>
      </c>
    </row>
    <row r="114" spans="1:18" x14ac:dyDescent="0.25">
      <c r="A114" s="7">
        <v>113</v>
      </c>
      <c r="B114" s="7">
        <v>1.1852554221876754</v>
      </c>
      <c r="C114" s="7">
        <v>291.01448995182022</v>
      </c>
      <c r="D114" s="7">
        <v>36.39104930922722</v>
      </c>
      <c r="E114" s="7">
        <v>9.4314805798965298E-2</v>
      </c>
      <c r="F114" s="7">
        <v>100000</v>
      </c>
      <c r="G114" s="7">
        <v>3.7297737481786779</v>
      </c>
      <c r="H114" s="7">
        <v>0.4838598046652709</v>
      </c>
      <c r="I114" s="7">
        <v>801.46548894526404</v>
      </c>
      <c r="J114" s="7">
        <v>324.73218377557771</v>
      </c>
      <c r="K114" s="7">
        <v>4.6423093545839435E-2</v>
      </c>
      <c r="L114" s="7">
        <v>160484.71107263354</v>
      </c>
      <c r="M114" s="7">
        <v>0.10531563806183572</v>
      </c>
      <c r="N114" s="7">
        <v>0.5178399653853849</v>
      </c>
      <c r="O114" s="7">
        <v>228.45472692562365</v>
      </c>
      <c r="P114" s="7">
        <v>1447.9894559678667</v>
      </c>
      <c r="Q114">
        <v>1441.2355955614985</v>
      </c>
      <c r="R114" t="s">
        <v>68</v>
      </c>
    </row>
    <row r="115" spans="1:18" x14ac:dyDescent="0.25">
      <c r="A115" s="7">
        <v>114</v>
      </c>
      <c r="B115" s="7">
        <v>1.1855613109669594</v>
      </c>
      <c r="C115" s="7">
        <v>290.72241714581457</v>
      </c>
      <c r="D115" s="7">
        <v>37.007556427004992</v>
      </c>
      <c r="E115" s="7">
        <v>9.4855322870259703E-2</v>
      </c>
      <c r="F115" s="7">
        <v>100000</v>
      </c>
      <c r="G115" s="7">
        <v>3.9806787648457846</v>
      </c>
      <c r="H115" s="7">
        <v>0.48652589791195761</v>
      </c>
      <c r="I115" s="7">
        <v>796.88150633739565</v>
      </c>
      <c r="J115" s="7">
        <v>320.44326501993908</v>
      </c>
      <c r="K115" s="7">
        <v>4.6215335038521238E-2</v>
      </c>
      <c r="L115" s="7">
        <v>160718.66065643032</v>
      </c>
      <c r="M115" s="7">
        <v>0.1049617471975946</v>
      </c>
      <c r="N115" s="7">
        <v>0.51834946916845137</v>
      </c>
      <c r="O115" s="7">
        <v>227.97145912964211</v>
      </c>
      <c r="P115" s="7">
        <v>1448.0351707812581</v>
      </c>
      <c r="Q115">
        <v>1465.1203504486984</v>
      </c>
      <c r="R115" t="s">
        <v>68</v>
      </c>
    </row>
    <row r="116" spans="1:18" x14ac:dyDescent="0.25">
      <c r="A116" s="7">
        <v>115</v>
      </c>
      <c r="B116" s="7">
        <v>1.1857110421347192</v>
      </c>
      <c r="C116" s="7">
        <v>290.89563011481096</v>
      </c>
      <c r="D116" s="7">
        <v>36.660495044914221</v>
      </c>
      <c r="E116" s="7">
        <v>9.4759804887836349E-2</v>
      </c>
      <c r="F116" s="7">
        <v>100000</v>
      </c>
      <c r="G116" s="7">
        <v>3.6830730229944182</v>
      </c>
      <c r="H116" s="7">
        <v>0.48578175749484537</v>
      </c>
      <c r="I116" s="7">
        <v>795.88560247383646</v>
      </c>
      <c r="J116" s="7">
        <v>319.31812963688452</v>
      </c>
      <c r="K116" s="7">
        <v>4.6551016278369148E-2</v>
      </c>
      <c r="L116" s="7">
        <v>160906.01099883055</v>
      </c>
      <c r="M116" s="7">
        <v>0.10502464713703268</v>
      </c>
      <c r="N116" s="7">
        <v>0.51939369971097704</v>
      </c>
      <c r="O116" s="7">
        <v>228.1153785277842</v>
      </c>
      <c r="P116" s="7">
        <v>1461.6311667083723</v>
      </c>
      <c r="Q116">
        <v>1432.1975041956684</v>
      </c>
      <c r="R116" t="s">
        <v>68</v>
      </c>
    </row>
    <row r="117" spans="1:18" x14ac:dyDescent="0.25">
      <c r="A117" s="7">
        <v>116</v>
      </c>
      <c r="B117" s="7">
        <v>1.1850950278349788</v>
      </c>
      <c r="C117" s="7">
        <v>290.69982398139234</v>
      </c>
      <c r="D117" s="7">
        <v>36.038995745798871</v>
      </c>
      <c r="E117" s="7">
        <v>9.5523771429742554E-2</v>
      </c>
      <c r="F117" s="7">
        <v>100000</v>
      </c>
      <c r="G117" s="7">
        <v>3.7046293258923053</v>
      </c>
      <c r="H117" s="7">
        <v>0.48651774213409049</v>
      </c>
      <c r="I117" s="7">
        <v>801.13657550063022</v>
      </c>
      <c r="J117" s="7">
        <v>332.66766354973095</v>
      </c>
      <c r="K117" s="7">
        <v>4.8705080606317841E-2</v>
      </c>
      <c r="L117" s="7">
        <v>159228.65898581737</v>
      </c>
      <c r="M117" s="7">
        <v>0.1053332934196814</v>
      </c>
      <c r="N117" s="7">
        <v>0.51819026581486993</v>
      </c>
      <c r="O117" s="7">
        <v>227.92147462103742</v>
      </c>
      <c r="P117" s="7">
        <v>1459.3209697080085</v>
      </c>
      <c r="Q117">
        <v>1472.2497841705845</v>
      </c>
      <c r="R117" t="s">
        <v>68</v>
      </c>
    </row>
    <row r="118" spans="1:18" x14ac:dyDescent="0.25">
      <c r="A118" s="7">
        <v>117</v>
      </c>
      <c r="B118" s="7">
        <v>1.1851146863121906</v>
      </c>
      <c r="C118" s="7">
        <v>290.71118505485668</v>
      </c>
      <c r="D118" s="7">
        <v>36.969780037076156</v>
      </c>
      <c r="E118" s="7">
        <v>9.4574725330425533E-2</v>
      </c>
      <c r="F118" s="7">
        <v>100000</v>
      </c>
      <c r="G118" s="7">
        <v>4.1063735445250806</v>
      </c>
      <c r="H118" s="7">
        <v>0.48455345937146416</v>
      </c>
      <c r="I118" s="7">
        <v>796.96193110300237</v>
      </c>
      <c r="J118" s="7">
        <v>330.08101555211516</v>
      </c>
      <c r="K118" s="7">
        <v>4.9205703838672371E-2</v>
      </c>
      <c r="L118" s="7">
        <v>160714.82491904515</v>
      </c>
      <c r="M118" s="7">
        <v>0.10495504164243215</v>
      </c>
      <c r="N118" s="7">
        <v>0.51825352825563442</v>
      </c>
      <c r="O118" s="7">
        <v>227.64039196800925</v>
      </c>
      <c r="P118" s="7">
        <v>1454.0085593393812</v>
      </c>
      <c r="Q118">
        <v>1502.7739869592988</v>
      </c>
      <c r="R118" t="s">
        <v>68</v>
      </c>
    </row>
    <row r="119" spans="1:18" x14ac:dyDescent="0.25">
      <c r="A119" s="7">
        <v>118</v>
      </c>
      <c r="B119" s="7">
        <v>1.1857873553771774</v>
      </c>
      <c r="C119" s="7">
        <v>290.77934642943802</v>
      </c>
      <c r="D119" s="7">
        <v>36.694019529868278</v>
      </c>
      <c r="E119" s="7">
        <v>9.5449400909107585E-2</v>
      </c>
      <c r="F119" s="7">
        <v>100000</v>
      </c>
      <c r="G119" s="7">
        <v>3.9426447942131251</v>
      </c>
      <c r="H119" s="7">
        <v>0.48616588524291382</v>
      </c>
      <c r="I119" s="7">
        <v>801.68947515730633</v>
      </c>
      <c r="J119" s="7">
        <v>331.35981009439155</v>
      </c>
      <c r="K119" s="7">
        <v>4.5427383362102544E-2</v>
      </c>
      <c r="L119" s="7">
        <v>159805.50074676634</v>
      </c>
      <c r="M119" s="7">
        <v>0.10461888150133668</v>
      </c>
      <c r="N119" s="7">
        <v>0.51966483128764163</v>
      </c>
      <c r="O119" s="7">
        <v>227.6181385595971</v>
      </c>
      <c r="P119" s="7">
        <v>1462.6421608377384</v>
      </c>
      <c r="Q119">
        <v>1487.0443308477334</v>
      </c>
      <c r="R119" t="s">
        <v>68</v>
      </c>
    </row>
    <row r="120" spans="1:18" x14ac:dyDescent="0.25">
      <c r="A120" s="7">
        <v>119</v>
      </c>
      <c r="B120" s="7">
        <v>1.1858174537261141</v>
      </c>
      <c r="C120" s="7">
        <v>291.04573583873088</v>
      </c>
      <c r="D120" s="7">
        <v>36.049494784991253</v>
      </c>
      <c r="E120" s="7">
        <v>9.4658922411520796E-2</v>
      </c>
      <c r="F120" s="7">
        <v>100000</v>
      </c>
      <c r="G120" s="7">
        <v>4.0678672215285241</v>
      </c>
      <c r="H120" s="7">
        <v>0.48572644676521021</v>
      </c>
      <c r="I120" s="7">
        <v>797.59263464900482</v>
      </c>
      <c r="J120" s="7">
        <v>323.93652036508826</v>
      </c>
      <c r="K120" s="7">
        <v>4.8135945982078363E-2</v>
      </c>
      <c r="L120" s="7">
        <v>161138.83243113835</v>
      </c>
      <c r="M120" s="7">
        <v>0.10591634178980673</v>
      </c>
      <c r="N120" s="7">
        <v>0.51821749107579784</v>
      </c>
      <c r="O120" s="7">
        <v>227.70863110418253</v>
      </c>
      <c r="P120" s="7">
        <v>1449.4018275222757</v>
      </c>
      <c r="Q120">
        <v>1462.0242576754463</v>
      </c>
      <c r="R120" t="s">
        <v>68</v>
      </c>
    </row>
    <row r="121" spans="1:18" x14ac:dyDescent="0.25">
      <c r="A121" s="7">
        <v>120</v>
      </c>
      <c r="B121" s="7">
        <v>1.1850585793397121</v>
      </c>
      <c r="C121" s="7">
        <v>291.01723007987738</v>
      </c>
      <c r="D121" s="7">
        <v>35.977406455844083</v>
      </c>
      <c r="E121" s="7">
        <v>9.5170409920974447E-2</v>
      </c>
      <c r="F121" s="7">
        <v>100000</v>
      </c>
      <c r="G121" s="7">
        <v>3.8536087259522702</v>
      </c>
      <c r="H121" s="7">
        <v>0.48420960743946106</v>
      </c>
      <c r="I121" s="7">
        <v>797.50779088735533</v>
      </c>
      <c r="J121" s="7">
        <v>321.98913468212061</v>
      </c>
      <c r="K121" s="7">
        <v>4.892804169276202E-2</v>
      </c>
      <c r="L121" s="7">
        <v>159540.47792794689</v>
      </c>
      <c r="M121" s="7">
        <v>0.10590255435189391</v>
      </c>
      <c r="N121" s="7">
        <v>0.51861773392421218</v>
      </c>
      <c r="O121" s="7">
        <v>227.99200975247032</v>
      </c>
      <c r="P121" s="7">
        <v>1455.0503528432882</v>
      </c>
      <c r="Q121">
        <v>1433.0910328039245</v>
      </c>
      <c r="R121" t="s">
        <v>68</v>
      </c>
    </row>
    <row r="122" spans="1:18" x14ac:dyDescent="0.25">
      <c r="A122" s="7">
        <v>121</v>
      </c>
      <c r="B122" s="7">
        <v>1.1857675782763282</v>
      </c>
      <c r="C122" s="7">
        <v>290.94260013052354</v>
      </c>
      <c r="D122" s="7">
        <v>36.35383209759879</v>
      </c>
      <c r="E122" s="7">
        <v>9.450754420231354E-2</v>
      </c>
      <c r="F122" s="7">
        <v>100000</v>
      </c>
      <c r="G122" s="7">
        <v>3.9303450904458312</v>
      </c>
      <c r="H122" s="7">
        <v>0.48565350166309251</v>
      </c>
      <c r="I122" s="7">
        <v>800.10358213714278</v>
      </c>
      <c r="J122" s="7">
        <v>331.70736230814816</v>
      </c>
      <c r="K122" s="7">
        <v>4.9121704371373316E-2</v>
      </c>
      <c r="L122" s="7">
        <v>159918.43591897577</v>
      </c>
      <c r="M122" s="7">
        <v>0.10503710524679406</v>
      </c>
      <c r="N122" s="7">
        <v>0.51913068688334663</v>
      </c>
      <c r="O122" s="7">
        <v>228.21739702360929</v>
      </c>
      <c r="P122" s="7">
        <v>1459.5661111692773</v>
      </c>
      <c r="Q122">
        <v>1474.6718928016999</v>
      </c>
      <c r="R122" t="s">
        <v>68</v>
      </c>
    </row>
    <row r="123" spans="1:18" x14ac:dyDescent="0.25">
      <c r="A123" s="7">
        <v>122</v>
      </c>
      <c r="B123" s="7">
        <v>1.1855197723245849</v>
      </c>
      <c r="C123" s="7">
        <v>290.83257081905748</v>
      </c>
      <c r="D123" s="7">
        <v>36.19044714810282</v>
      </c>
      <c r="E123" s="7">
        <v>9.4779865284073922E-2</v>
      </c>
      <c r="F123" s="7">
        <v>100000</v>
      </c>
      <c r="G123" s="7">
        <v>3.7751554258818527</v>
      </c>
      <c r="H123" s="7">
        <v>0.4853091640070461</v>
      </c>
      <c r="I123" s="7">
        <v>799.62556963272095</v>
      </c>
      <c r="J123" s="7">
        <v>323.69243851590284</v>
      </c>
      <c r="K123" s="7">
        <v>4.8989829144396653E-2</v>
      </c>
      <c r="L123" s="7">
        <v>160008.90620699408</v>
      </c>
      <c r="M123" s="7">
        <v>0.1058715204332266</v>
      </c>
      <c r="N123" s="7">
        <v>0.51839298032855319</v>
      </c>
      <c r="O123" s="7">
        <v>228.05719349621569</v>
      </c>
      <c r="P123" s="7">
        <v>1469.341544399869</v>
      </c>
      <c r="Q123">
        <v>1447.7388822283174</v>
      </c>
      <c r="R123" t="s">
        <v>68</v>
      </c>
    </row>
    <row r="124" spans="1:18" x14ac:dyDescent="0.25">
      <c r="A124" s="7">
        <v>123</v>
      </c>
      <c r="B124" s="7">
        <v>1.1851954851847732</v>
      </c>
      <c r="C124" s="7">
        <v>291.04515596634627</v>
      </c>
      <c r="D124" s="7">
        <v>36.5555365978705</v>
      </c>
      <c r="E124" s="7">
        <v>9.4344858608573418E-2</v>
      </c>
      <c r="F124" s="7">
        <v>100000</v>
      </c>
      <c r="G124" s="7">
        <v>3.7654543036391757</v>
      </c>
      <c r="H124" s="7">
        <v>0.48525363921145975</v>
      </c>
      <c r="I124" s="7">
        <v>796.36027534818777</v>
      </c>
      <c r="J124" s="7">
        <v>330.84405416033854</v>
      </c>
      <c r="K124" s="7">
        <v>4.8642804531995543E-2</v>
      </c>
      <c r="L124" s="7">
        <v>160949.53766279345</v>
      </c>
      <c r="M124" s="7">
        <v>0.10523488701484963</v>
      </c>
      <c r="N124" s="7">
        <v>0.51861474117432893</v>
      </c>
      <c r="O124" s="7">
        <v>228.08696855024834</v>
      </c>
      <c r="P124" s="7">
        <v>1469.1260444287418</v>
      </c>
      <c r="Q124">
        <v>1462.4297931859546</v>
      </c>
      <c r="R124" t="s">
        <v>68</v>
      </c>
    </row>
    <row r="125" spans="1:18" x14ac:dyDescent="0.25">
      <c r="A125" s="7">
        <v>124</v>
      </c>
      <c r="B125" s="7">
        <v>1.1857400411015437</v>
      </c>
      <c r="C125" s="7">
        <v>290.70727034594802</v>
      </c>
      <c r="D125" s="7">
        <v>36.200944649358192</v>
      </c>
      <c r="E125" s="7">
        <v>9.5352867956127269E-2</v>
      </c>
      <c r="F125" s="7">
        <v>100000</v>
      </c>
      <c r="G125" s="7">
        <v>3.7727490512490642</v>
      </c>
      <c r="H125" s="7">
        <v>0.48489533897314541</v>
      </c>
      <c r="I125" s="7">
        <v>801.42696824455015</v>
      </c>
      <c r="J125" s="7">
        <v>329.38343744135011</v>
      </c>
      <c r="K125" s="7">
        <v>4.6868594806323181E-2</v>
      </c>
      <c r="L125" s="7">
        <v>159283.31420160539</v>
      </c>
      <c r="M125" s="7">
        <v>0.10480211021012395</v>
      </c>
      <c r="N125" s="7">
        <v>0.51838693594971275</v>
      </c>
      <c r="O125" s="7">
        <v>228.13643484325027</v>
      </c>
      <c r="P125" s="7">
        <v>1462.0216110168008</v>
      </c>
      <c r="Q125">
        <v>1467.1086161068451</v>
      </c>
      <c r="R125" t="s">
        <v>68</v>
      </c>
    </row>
    <row r="126" spans="1:18" x14ac:dyDescent="0.25">
      <c r="A126" s="7">
        <v>125</v>
      </c>
      <c r="B126" s="7">
        <v>1.1852633121892369</v>
      </c>
      <c r="C126" s="7">
        <v>291.0182681596653</v>
      </c>
      <c r="D126" s="7">
        <v>36.626700609393517</v>
      </c>
      <c r="E126" s="7">
        <v>9.5492107429794623E-2</v>
      </c>
      <c r="F126" s="7">
        <v>100000</v>
      </c>
      <c r="G126" s="7">
        <v>3.7115391685033297</v>
      </c>
      <c r="H126" s="7">
        <v>0.48432749335631081</v>
      </c>
      <c r="I126" s="7">
        <v>801.4724911447596</v>
      </c>
      <c r="J126" s="7">
        <v>330.30596663223486</v>
      </c>
      <c r="K126" s="7">
        <v>4.7949040774583368E-2</v>
      </c>
      <c r="L126" s="7">
        <v>160300.21218953459</v>
      </c>
      <c r="M126" s="7">
        <v>0.10573609152227664</v>
      </c>
      <c r="N126" s="7">
        <v>0.5183416331779187</v>
      </c>
      <c r="O126" s="7">
        <v>227.95257523336542</v>
      </c>
      <c r="P126" s="7">
        <v>1461.0929443136065</v>
      </c>
      <c r="Q126">
        <v>1457.7052740785803</v>
      </c>
      <c r="R126" t="s">
        <v>68</v>
      </c>
    </row>
    <row r="127" spans="1:18" x14ac:dyDescent="0.25">
      <c r="A127" s="7">
        <v>126</v>
      </c>
      <c r="B127" s="7">
        <v>1.1851560210651304</v>
      </c>
      <c r="C127" s="7">
        <v>290.91480648443616</v>
      </c>
      <c r="D127" s="7">
        <v>36.097670537420505</v>
      </c>
      <c r="E127" s="7">
        <v>9.519948953435807E-2</v>
      </c>
      <c r="F127" s="7">
        <v>100000</v>
      </c>
      <c r="G127" s="7">
        <v>3.9443097718112137</v>
      </c>
      <c r="H127" s="7">
        <v>0.48501803661479814</v>
      </c>
      <c r="I127" s="7">
        <v>798.62329553674772</v>
      </c>
      <c r="J127" s="7">
        <v>328.81910594198604</v>
      </c>
      <c r="K127" s="7">
        <v>4.6450157106143468E-2</v>
      </c>
      <c r="L127" s="7">
        <v>160131.21420944165</v>
      </c>
      <c r="M127" s="7">
        <v>0.10497208866063697</v>
      </c>
      <c r="N127" s="7">
        <v>0.51865297724801096</v>
      </c>
      <c r="O127" s="7">
        <v>227.95747478730448</v>
      </c>
      <c r="P127" s="7">
        <v>1457.8860669175187</v>
      </c>
      <c r="Q127">
        <v>1469.3200459400468</v>
      </c>
      <c r="R127" t="s">
        <v>68</v>
      </c>
    </row>
    <row r="128" spans="1:18" x14ac:dyDescent="0.25">
      <c r="A128" s="7">
        <v>127</v>
      </c>
      <c r="B128" s="7">
        <v>1.1851761250997923</v>
      </c>
      <c r="C128" s="7">
        <v>291.02087036954026</v>
      </c>
      <c r="D128" s="7">
        <v>36.157249465343682</v>
      </c>
      <c r="E128" s="7">
        <v>9.5152484932385276E-2</v>
      </c>
      <c r="F128" s="7">
        <v>100000</v>
      </c>
      <c r="G128" s="7">
        <v>4.0702874752163201</v>
      </c>
      <c r="H128" s="7">
        <v>0.4857855483743912</v>
      </c>
      <c r="I128" s="7">
        <v>801.50987037318441</v>
      </c>
      <c r="J128" s="7">
        <v>329.25009933650239</v>
      </c>
      <c r="K128" s="7">
        <v>4.8125144347117677E-2</v>
      </c>
      <c r="L128" s="7">
        <v>160737.75001685836</v>
      </c>
      <c r="M128" s="7">
        <v>0.10548417312625856</v>
      </c>
      <c r="N128" s="7">
        <v>0.51838729930191108</v>
      </c>
      <c r="O128" s="7">
        <v>227.81395030689424</v>
      </c>
      <c r="P128" s="7">
        <v>1456.1529388703539</v>
      </c>
      <c r="Q128">
        <v>1478.010920801833</v>
      </c>
      <c r="R128" t="s">
        <v>68</v>
      </c>
    </row>
    <row r="129" spans="1:18" x14ac:dyDescent="0.25">
      <c r="A129" s="7">
        <v>128</v>
      </c>
      <c r="B129" s="7">
        <v>1.1853382960026033</v>
      </c>
      <c r="C129" s="7">
        <v>290.92067560882919</v>
      </c>
      <c r="D129" s="7">
        <v>36.628143071212698</v>
      </c>
      <c r="E129" s="7">
        <v>9.4467065515530024E-2</v>
      </c>
      <c r="F129" s="7">
        <v>100000</v>
      </c>
      <c r="G129" s="7">
        <v>3.902738082405897</v>
      </c>
      <c r="H129" s="7">
        <v>0.48521683152365624</v>
      </c>
      <c r="I129" s="7">
        <v>797.05621020953413</v>
      </c>
      <c r="J129" s="7">
        <v>324.46384823627363</v>
      </c>
      <c r="K129" s="7">
        <v>4.5681007170769297E-2</v>
      </c>
      <c r="L129" s="7">
        <v>160521.17145940432</v>
      </c>
      <c r="M129" s="7">
        <v>0.10485407831390012</v>
      </c>
      <c r="N129" s="7">
        <v>0.51882822130734318</v>
      </c>
      <c r="O129" s="7">
        <v>228.04083320869304</v>
      </c>
      <c r="P129" s="7">
        <v>1458.0865803043059</v>
      </c>
      <c r="Q129">
        <v>1457.6898068014343</v>
      </c>
      <c r="R129" t="s">
        <v>68</v>
      </c>
    </row>
    <row r="130" spans="1:18" x14ac:dyDescent="0.25">
      <c r="A130" s="7">
        <v>129</v>
      </c>
      <c r="B130" s="7">
        <v>1.1856959832265177</v>
      </c>
      <c r="C130" s="7">
        <v>290.78885546810477</v>
      </c>
      <c r="D130" s="7">
        <v>36.499318725066146</v>
      </c>
      <c r="E130" s="7">
        <v>9.4973669302469546E-2</v>
      </c>
      <c r="F130" s="7">
        <v>100000</v>
      </c>
      <c r="G130" s="7">
        <v>3.7854017655629755</v>
      </c>
      <c r="H130" s="7">
        <v>0.48539851454008037</v>
      </c>
      <c r="I130" s="7">
        <v>799.36074974661221</v>
      </c>
      <c r="J130" s="7">
        <v>326.69627173583183</v>
      </c>
      <c r="K130" s="7">
        <v>4.6826349441206408E-2</v>
      </c>
      <c r="L130" s="7">
        <v>159616.72723592762</v>
      </c>
      <c r="M130" s="7">
        <v>0.10535797077078742</v>
      </c>
      <c r="N130" s="7">
        <v>0.51853668821738597</v>
      </c>
      <c r="O130" s="7">
        <v>227.78069408951652</v>
      </c>
      <c r="P130" s="7">
        <v>1461.7129304067219</v>
      </c>
      <c r="Q130">
        <v>1459.4152110360374</v>
      </c>
      <c r="R130" t="s">
        <v>68</v>
      </c>
    </row>
    <row r="131" spans="1:18" x14ac:dyDescent="0.25">
      <c r="A131" s="7">
        <v>130</v>
      </c>
      <c r="B131" s="7">
        <v>1.18525856375966</v>
      </c>
      <c r="C131" s="7">
        <v>290.98680209040049</v>
      </c>
      <c r="D131" s="7">
        <v>36.288346232972458</v>
      </c>
      <c r="E131" s="7">
        <v>9.5061646642080097E-2</v>
      </c>
      <c r="F131" s="7">
        <v>100000</v>
      </c>
      <c r="G131" s="7">
        <v>3.9436950370473189</v>
      </c>
      <c r="H131" s="7">
        <v>0.48488497248502749</v>
      </c>
      <c r="I131" s="7">
        <v>800.13108069340478</v>
      </c>
      <c r="J131" s="7">
        <v>322.55233255154275</v>
      </c>
      <c r="K131" s="7">
        <v>4.683185686497511E-2</v>
      </c>
      <c r="L131" s="7">
        <v>159545.25479787713</v>
      </c>
      <c r="M131" s="7">
        <v>0.10490405328717116</v>
      </c>
      <c r="N131" s="7">
        <v>0.51848529535396237</v>
      </c>
      <c r="O131" s="7">
        <v>228.00741410095375</v>
      </c>
      <c r="P131" s="7">
        <v>1467.4369096414093</v>
      </c>
      <c r="Q131">
        <v>1444.4015201750954</v>
      </c>
      <c r="R131" t="s">
        <v>68</v>
      </c>
    </row>
    <row r="132" spans="1:18" x14ac:dyDescent="0.25">
      <c r="A132" s="7">
        <v>131</v>
      </c>
      <c r="B132" s="7">
        <v>1.1852799590341787</v>
      </c>
      <c r="C132" s="7">
        <v>290.72423755618689</v>
      </c>
      <c r="D132" s="7">
        <v>36.610870288037489</v>
      </c>
      <c r="E132" s="7">
        <v>9.4703906031032917E-2</v>
      </c>
      <c r="F132" s="7">
        <v>100000</v>
      </c>
      <c r="G132" s="7">
        <v>3.8932073383816608</v>
      </c>
      <c r="H132" s="7">
        <v>0.48493268861094696</v>
      </c>
      <c r="I132" s="7">
        <v>798.3829996273721</v>
      </c>
      <c r="J132" s="7">
        <v>322.5831729083859</v>
      </c>
      <c r="K132" s="7">
        <v>4.6069709122255095E-2</v>
      </c>
      <c r="L132" s="7">
        <v>160344.40171670858</v>
      </c>
      <c r="M132" s="7">
        <v>0.104868745128636</v>
      </c>
      <c r="N132" s="7">
        <v>0.51889902996607418</v>
      </c>
      <c r="O132" s="7">
        <v>228.01301954368424</v>
      </c>
      <c r="P132" s="7">
        <v>1468.6345913489129</v>
      </c>
      <c r="Q132">
        <v>1461.950699799163</v>
      </c>
      <c r="R132" t="s">
        <v>68</v>
      </c>
    </row>
    <row r="133" spans="1:18" x14ac:dyDescent="0.25">
      <c r="A133" s="7">
        <v>132</v>
      </c>
      <c r="B133" s="7">
        <v>1.1856141493766079</v>
      </c>
      <c r="C133" s="7">
        <v>290.78202393822448</v>
      </c>
      <c r="D133" s="7">
        <v>36.565809082446975</v>
      </c>
      <c r="E133" s="7">
        <v>9.5025836186423684E-2</v>
      </c>
      <c r="F133" s="7">
        <v>100000</v>
      </c>
      <c r="G133" s="7">
        <v>3.8166347839601849</v>
      </c>
      <c r="H133" s="7">
        <v>0.48539885683628992</v>
      </c>
      <c r="I133" s="7">
        <v>798.52337270693351</v>
      </c>
      <c r="J133" s="7">
        <v>325.42552680397176</v>
      </c>
      <c r="K133" s="7">
        <v>4.7202519875606926E-2</v>
      </c>
      <c r="L133" s="7">
        <v>159342.332707286</v>
      </c>
      <c r="M133" s="7">
        <v>0.10532010732073932</v>
      </c>
      <c r="N133" s="7">
        <v>0.51863903935973743</v>
      </c>
      <c r="O133" s="7">
        <v>227.89845430686552</v>
      </c>
      <c r="P133" s="7">
        <v>1463.4787779529131</v>
      </c>
      <c r="Q133">
        <v>1455.862520684539</v>
      </c>
      <c r="R133" t="s">
        <v>68</v>
      </c>
    </row>
    <row r="134" spans="1:18" x14ac:dyDescent="0.25">
      <c r="A134" s="7">
        <v>133</v>
      </c>
      <c r="B134" s="7">
        <v>1.1857319868232925</v>
      </c>
      <c r="C134" s="7">
        <v>290.90975501790183</v>
      </c>
      <c r="D134" s="7">
        <v>36.137607479599538</v>
      </c>
      <c r="E134" s="7">
        <v>9.4614734377824333E-2</v>
      </c>
      <c r="F134" s="7">
        <v>100000</v>
      </c>
      <c r="G134" s="7">
        <v>3.7794500730893694</v>
      </c>
      <c r="H134" s="7">
        <v>0.48499891702281517</v>
      </c>
      <c r="I134" s="7">
        <v>798.04396426368464</v>
      </c>
      <c r="J134" s="7">
        <v>325.30700811216673</v>
      </c>
      <c r="K134" s="7">
        <v>4.7833789087243762E-2</v>
      </c>
      <c r="L134" s="7">
        <v>160491.62319061809</v>
      </c>
      <c r="M134" s="7">
        <v>0.10492217367002118</v>
      </c>
      <c r="N134" s="7">
        <v>0.51888291542211473</v>
      </c>
      <c r="O134" s="7">
        <v>228.13194001577443</v>
      </c>
      <c r="P134" s="7">
        <v>1466.939308398667</v>
      </c>
      <c r="Q134">
        <v>1450.4744742658731</v>
      </c>
      <c r="R134" t="s">
        <v>68</v>
      </c>
    </row>
    <row r="135" spans="1:18" x14ac:dyDescent="0.25">
      <c r="A135" s="7">
        <v>134</v>
      </c>
      <c r="B135" s="7">
        <v>1.185626339569696</v>
      </c>
      <c r="C135" s="7">
        <v>290.95761490217478</v>
      </c>
      <c r="D135" s="7">
        <v>36.212548784108087</v>
      </c>
      <c r="E135" s="7">
        <v>9.4998545347857205E-2</v>
      </c>
      <c r="F135" s="7">
        <v>100000</v>
      </c>
      <c r="G135" s="7">
        <v>3.8401536121039568</v>
      </c>
      <c r="H135" s="7">
        <v>0.48489412057561598</v>
      </c>
      <c r="I135" s="7">
        <v>800.93964818438894</v>
      </c>
      <c r="J135" s="7">
        <v>327.29806976361323</v>
      </c>
      <c r="K135" s="7">
        <v>4.6258671421775047E-2</v>
      </c>
      <c r="L135" s="7">
        <v>160014.37264440898</v>
      </c>
      <c r="M135" s="7">
        <v>0.10557134980941911</v>
      </c>
      <c r="N135" s="7">
        <v>0.51859627482629156</v>
      </c>
      <c r="O135" s="7">
        <v>228.02948583674296</v>
      </c>
      <c r="P135" s="7">
        <v>1459.1582384259268</v>
      </c>
      <c r="Q135">
        <v>1456.2442299653121</v>
      </c>
      <c r="R135" t="s">
        <v>68</v>
      </c>
    </row>
    <row r="136" spans="1:18" x14ac:dyDescent="0.25">
      <c r="A136" s="7">
        <v>135</v>
      </c>
      <c r="B136" s="7">
        <v>1.1854151689968901</v>
      </c>
      <c r="C136" s="7">
        <v>290.88993107979394</v>
      </c>
      <c r="D136" s="7">
        <v>36.329490202788584</v>
      </c>
      <c r="E136" s="7">
        <v>9.54827767147646E-2</v>
      </c>
      <c r="F136" s="7">
        <v>100000</v>
      </c>
      <c r="G136" s="7">
        <v>3.8655850748299772</v>
      </c>
      <c r="H136" s="7">
        <v>0.48564158220307579</v>
      </c>
      <c r="I136" s="7">
        <v>797.32653392934992</v>
      </c>
      <c r="J136" s="7">
        <v>329.3199740558556</v>
      </c>
      <c r="K136" s="7">
        <v>4.7560400967755684E-2</v>
      </c>
      <c r="L136" s="7">
        <v>159388.79091258618</v>
      </c>
      <c r="M136" s="7">
        <v>0.10562314557057265</v>
      </c>
      <c r="N136" s="7">
        <v>0.51867461079961941</v>
      </c>
      <c r="O136" s="7">
        <v>227.9663564493186</v>
      </c>
      <c r="P136" s="7">
        <v>1460.832127523754</v>
      </c>
      <c r="Q136">
        <v>1463.0677676561099</v>
      </c>
      <c r="R136" t="s">
        <v>68</v>
      </c>
    </row>
    <row r="137" spans="1:18" x14ac:dyDescent="0.25">
      <c r="A137" s="7">
        <v>136</v>
      </c>
      <c r="B137" s="7">
        <v>1.1855222664955791</v>
      </c>
      <c r="C137" s="7">
        <v>290.77590220739904</v>
      </c>
      <c r="D137" s="7">
        <v>36.59080634999868</v>
      </c>
      <c r="E137" s="7">
        <v>9.5284655848783623E-2</v>
      </c>
      <c r="F137" s="7">
        <v>100000</v>
      </c>
      <c r="G137" s="7">
        <v>3.8596556710848389</v>
      </c>
      <c r="H137" s="7">
        <v>0.4856814545808813</v>
      </c>
      <c r="I137" s="7">
        <v>799.2043841516014</v>
      </c>
      <c r="J137" s="7">
        <v>327.71161376979654</v>
      </c>
      <c r="K137" s="7">
        <v>4.6400408073514567E-2</v>
      </c>
      <c r="L137" s="7">
        <v>160178.68138624507</v>
      </c>
      <c r="M137" s="7">
        <v>0.10488264263380719</v>
      </c>
      <c r="N137" s="7">
        <v>0.51854842612635277</v>
      </c>
      <c r="O137" s="7">
        <v>228.08775192898489</v>
      </c>
      <c r="P137" s="7">
        <v>1466.3190475776539</v>
      </c>
      <c r="Q137">
        <v>1470.6954803689659</v>
      </c>
      <c r="R137" t="s">
        <v>68</v>
      </c>
    </row>
    <row r="138" spans="1:18" x14ac:dyDescent="0.25">
      <c r="A138" s="7">
        <v>137</v>
      </c>
      <c r="B138" s="7">
        <v>1.1854062905566081</v>
      </c>
      <c r="C138" s="7">
        <v>290.83023563293824</v>
      </c>
      <c r="D138" s="7">
        <v>36.568942139150529</v>
      </c>
      <c r="E138" s="7">
        <v>9.4601829882322838E-2</v>
      </c>
      <c r="F138" s="7">
        <v>100000</v>
      </c>
      <c r="G138" s="7">
        <v>3.7848974523268355</v>
      </c>
      <c r="H138" s="7">
        <v>0.48552156745431568</v>
      </c>
      <c r="I138" s="7">
        <v>799.04428346663462</v>
      </c>
      <c r="J138" s="7">
        <v>324.03289950313194</v>
      </c>
      <c r="K138" s="7">
        <v>4.6770197883820822E-2</v>
      </c>
      <c r="L138" s="7">
        <v>160731.40963073517</v>
      </c>
      <c r="M138" s="7">
        <v>0.10524502951486668</v>
      </c>
      <c r="N138" s="7">
        <v>0.51851376442367603</v>
      </c>
      <c r="O138" s="7">
        <v>227.95217037302822</v>
      </c>
      <c r="P138" s="7">
        <v>1463.634216918482</v>
      </c>
      <c r="Q138">
        <v>1456.0591771771942</v>
      </c>
      <c r="R138" t="s">
        <v>68</v>
      </c>
    </row>
    <row r="139" spans="1:18" x14ac:dyDescent="0.25">
      <c r="A139" s="7">
        <v>138</v>
      </c>
      <c r="B139" s="7">
        <v>1.185444097324758</v>
      </c>
      <c r="C139" s="7">
        <v>290.97492454290364</v>
      </c>
      <c r="D139" s="7">
        <v>36.243157988660919</v>
      </c>
      <c r="E139" s="7">
        <v>9.5326091572553784E-2</v>
      </c>
      <c r="F139" s="7">
        <v>100000</v>
      </c>
      <c r="G139" s="7">
        <v>3.9315695790235625</v>
      </c>
      <c r="H139" s="7">
        <v>0.48528969942915873</v>
      </c>
      <c r="I139" s="7">
        <v>797.42204869758848</v>
      </c>
      <c r="J139" s="7">
        <v>327.80582542901311</v>
      </c>
      <c r="K139" s="7">
        <v>4.6241624905716323E-2</v>
      </c>
      <c r="L139" s="7">
        <v>160432.9471568173</v>
      </c>
      <c r="M139" s="7">
        <v>0.10538756257946338</v>
      </c>
      <c r="N139" s="7">
        <v>0.51878102462350328</v>
      </c>
      <c r="O139" s="7">
        <v>228.07155517736652</v>
      </c>
      <c r="P139" s="7">
        <v>1468.3261426361439</v>
      </c>
      <c r="Q139">
        <v>1463.9112506519814</v>
      </c>
      <c r="R139" t="s">
        <v>68</v>
      </c>
    </row>
    <row r="140" spans="1:18" x14ac:dyDescent="0.25">
      <c r="A140" s="7">
        <v>139</v>
      </c>
      <c r="B140" s="7">
        <v>1.1855285057328888</v>
      </c>
      <c r="C140" s="7">
        <v>290.89693827370712</v>
      </c>
      <c r="D140" s="7">
        <v>36.449961242549755</v>
      </c>
      <c r="E140" s="7">
        <v>9.5386093496849692E-2</v>
      </c>
      <c r="F140" s="7">
        <v>100000</v>
      </c>
      <c r="G140" s="7">
        <v>3.8575295256164108</v>
      </c>
      <c r="H140" s="7">
        <v>0.4855077929851524</v>
      </c>
      <c r="I140" s="7">
        <v>799.2456519697364</v>
      </c>
      <c r="J140" s="7">
        <v>328.74268205818356</v>
      </c>
      <c r="K140" s="7">
        <v>4.7311000670276986E-2</v>
      </c>
      <c r="L140" s="7">
        <v>160555.77315306079</v>
      </c>
      <c r="M140" s="7">
        <v>0.10496627240539405</v>
      </c>
      <c r="N140" s="7">
        <v>0.51858299002620556</v>
      </c>
      <c r="O140" s="7">
        <v>227.95205956131548</v>
      </c>
      <c r="P140" s="7">
        <v>1464.9257255127286</v>
      </c>
      <c r="Q140">
        <v>1469.013663201411</v>
      </c>
      <c r="R140" t="s">
        <v>68</v>
      </c>
    </row>
    <row r="141" spans="1:18" x14ac:dyDescent="0.25">
      <c r="A141" s="7">
        <v>140</v>
      </c>
      <c r="B141" s="7">
        <v>1.1855719335713921</v>
      </c>
      <c r="C141" s="7">
        <v>290.75396144212647</v>
      </c>
      <c r="D141" s="7">
        <v>36.321463968810654</v>
      </c>
      <c r="E141" s="7">
        <v>9.5438544145614396E-2</v>
      </c>
      <c r="F141" s="7">
        <v>100000</v>
      </c>
      <c r="G141" s="7">
        <v>3.8063154458116415</v>
      </c>
      <c r="H141" s="7">
        <v>0.48505266838679995</v>
      </c>
      <c r="I141" s="7">
        <v>799.95699161810285</v>
      </c>
      <c r="J141" s="7">
        <v>326.75845944435991</v>
      </c>
      <c r="K141" s="7">
        <v>4.6316222871899342E-2</v>
      </c>
      <c r="L141" s="7">
        <v>159584.21536561308</v>
      </c>
      <c r="M141" s="7">
        <v>0.10540990426215952</v>
      </c>
      <c r="N141" s="7">
        <v>0.51879459992342036</v>
      </c>
      <c r="O141" s="7">
        <v>228.09571335953254</v>
      </c>
      <c r="P141" s="7">
        <v>1461.8615881535745</v>
      </c>
      <c r="Q141">
        <v>1461.028672255743</v>
      </c>
      <c r="R141" t="s">
        <v>68</v>
      </c>
    </row>
    <row r="142" spans="1:18" x14ac:dyDescent="0.25">
      <c r="A142" s="7">
        <v>141</v>
      </c>
      <c r="B142" s="7">
        <v>1.1853826509489855</v>
      </c>
      <c r="C142" s="7">
        <v>290.77599661514643</v>
      </c>
      <c r="D142" s="7">
        <v>36.354235826862045</v>
      </c>
      <c r="E142" s="7">
        <v>9.4777667442690089E-2</v>
      </c>
      <c r="F142" s="7">
        <v>100000</v>
      </c>
      <c r="G142" s="7">
        <v>3.9202247208416439</v>
      </c>
      <c r="H142" s="7">
        <v>0.48518252235838832</v>
      </c>
      <c r="I142" s="7">
        <v>800.65098268411521</v>
      </c>
      <c r="J142" s="7">
        <v>325.39049195048585</v>
      </c>
      <c r="K142" s="7">
        <v>4.6705895600217789E-2</v>
      </c>
      <c r="L142" s="7">
        <v>159812.83183104458</v>
      </c>
      <c r="M142" s="7">
        <v>0.10541760971412462</v>
      </c>
      <c r="N142" s="7">
        <v>0.5187756511693461</v>
      </c>
      <c r="O142" s="7">
        <v>228.099040715287</v>
      </c>
      <c r="P142" s="7">
        <v>1459.8936351496575</v>
      </c>
      <c r="Q142">
        <v>1464.8450181102889</v>
      </c>
      <c r="R142" t="s">
        <v>68</v>
      </c>
    </row>
    <row r="143" spans="1:18" x14ac:dyDescent="0.25">
      <c r="A143" s="7">
        <v>142</v>
      </c>
      <c r="B143" s="7">
        <v>1.1856261460291531</v>
      </c>
      <c r="C143" s="7">
        <v>290.91620914076003</v>
      </c>
      <c r="D143" s="7">
        <v>36.341543545555588</v>
      </c>
      <c r="E143" s="7">
        <v>9.5474500671764273E-2</v>
      </c>
      <c r="F143" s="7">
        <v>100000</v>
      </c>
      <c r="G143" s="7">
        <v>3.8487852542442096</v>
      </c>
      <c r="H143" s="7">
        <v>0.48561592221742417</v>
      </c>
      <c r="I143" s="7">
        <v>798.14865135061905</v>
      </c>
      <c r="J143" s="7">
        <v>325.81875579174829</v>
      </c>
      <c r="K143" s="7">
        <v>4.7072241205961603E-2</v>
      </c>
      <c r="L143" s="7">
        <v>160048.24344656049</v>
      </c>
      <c r="M143" s="7">
        <v>0.10504929735157666</v>
      </c>
      <c r="N143" s="7">
        <v>0.51877231380120881</v>
      </c>
      <c r="O143" s="7">
        <v>228.03990215327755</v>
      </c>
      <c r="P143" s="7">
        <v>1462.5216769103904</v>
      </c>
      <c r="Q143">
        <v>1454.4712988451865</v>
      </c>
      <c r="R143" t="s">
        <v>68</v>
      </c>
    </row>
    <row r="144" spans="1:18" x14ac:dyDescent="0.25">
      <c r="A144" s="7">
        <v>143</v>
      </c>
      <c r="B144" s="7">
        <v>1.1855754122560536</v>
      </c>
      <c r="C144" s="7">
        <v>290.90975582651237</v>
      </c>
      <c r="D144" s="7">
        <v>36.145149870602701</v>
      </c>
      <c r="E144" s="7">
        <v>9.5468042899526331E-2</v>
      </c>
      <c r="F144" s="7">
        <v>100000</v>
      </c>
      <c r="G144" s="7">
        <v>3.801774374809606</v>
      </c>
      <c r="H144" s="7">
        <v>0.48567116955761308</v>
      </c>
      <c r="I144" s="7">
        <v>798.50116378777227</v>
      </c>
      <c r="J144" s="7">
        <v>324.73400732971163</v>
      </c>
      <c r="K144" s="7">
        <v>4.7591745715708032E-2</v>
      </c>
      <c r="L144" s="7">
        <v>159629.23627624908</v>
      </c>
      <c r="M144" s="7">
        <v>0.10503198656185357</v>
      </c>
      <c r="N144" s="7">
        <v>0.51853739443979974</v>
      </c>
      <c r="O144" s="7">
        <v>228.07965319649981</v>
      </c>
      <c r="P144" s="7">
        <v>1463.4063441576868</v>
      </c>
      <c r="Q144">
        <v>1445.0355215673844</v>
      </c>
      <c r="R144" t="s">
        <v>68</v>
      </c>
    </row>
    <row r="145" spans="1:18" x14ac:dyDescent="0.25">
      <c r="A145" s="7">
        <v>144</v>
      </c>
      <c r="B145" s="7">
        <v>1.1856090318087609</v>
      </c>
      <c r="C145" s="7">
        <v>290.79791708909499</v>
      </c>
      <c r="D145" s="7">
        <v>36.548778553059691</v>
      </c>
      <c r="E145" s="7">
        <v>9.4928060607234785E-2</v>
      </c>
      <c r="F145" s="7">
        <v>100000</v>
      </c>
      <c r="G145" s="7">
        <v>3.8415297374709181</v>
      </c>
      <c r="H145" s="7">
        <v>0.48552643206434098</v>
      </c>
      <c r="I145" s="7">
        <v>798.792696173737</v>
      </c>
      <c r="J145" s="7">
        <v>325.08359325532376</v>
      </c>
      <c r="K145" s="7">
        <v>4.6713563817659495E-2</v>
      </c>
      <c r="L145" s="7">
        <v>159978.87070989652</v>
      </c>
      <c r="M145" s="7">
        <v>0.10552445504701222</v>
      </c>
      <c r="N145" s="7">
        <v>0.51860757458143814</v>
      </c>
      <c r="O145" s="7">
        <v>228.05087444658352</v>
      </c>
      <c r="P145" s="7">
        <v>1467.038359351576</v>
      </c>
      <c r="Q145">
        <v>1459.1662892939567</v>
      </c>
      <c r="R145" t="s">
        <v>68</v>
      </c>
    </row>
    <row r="146" spans="1:18" x14ac:dyDescent="0.25">
      <c r="A146" s="7">
        <v>145</v>
      </c>
      <c r="B146" s="7">
        <v>1.1854533270012069</v>
      </c>
      <c r="C146" s="7">
        <v>290.84532474555812</v>
      </c>
      <c r="D146" s="7">
        <v>36.428698844798284</v>
      </c>
      <c r="E146" s="7">
        <v>9.5313681000684769E-2</v>
      </c>
      <c r="F146" s="7">
        <v>100000</v>
      </c>
      <c r="G146" s="7">
        <v>3.8622520979745585</v>
      </c>
      <c r="H146" s="7">
        <v>0.4852751883645719</v>
      </c>
      <c r="I146" s="7">
        <v>797.86428467452083</v>
      </c>
      <c r="J146" s="7">
        <v>324.12210000655961</v>
      </c>
      <c r="K146" s="7">
        <v>4.6248387966452545E-2</v>
      </c>
      <c r="L146" s="7">
        <v>159450.52387167944</v>
      </c>
      <c r="M146" s="7">
        <v>0.10512713271011034</v>
      </c>
      <c r="N146" s="7">
        <v>0.51861809950799953</v>
      </c>
      <c r="O146" s="7">
        <v>228.04652479347399</v>
      </c>
      <c r="P146" s="7">
        <v>1464.717009761235</v>
      </c>
      <c r="Q146">
        <v>1450.7875957498836</v>
      </c>
      <c r="R146" t="s">
        <v>68</v>
      </c>
    </row>
    <row r="147" spans="1:18" x14ac:dyDescent="0.25">
      <c r="A147" s="7">
        <v>146</v>
      </c>
      <c r="B147" s="7">
        <v>1.1854963330913411</v>
      </c>
      <c r="C147" s="7">
        <v>290.90508914957155</v>
      </c>
      <c r="D147" s="7">
        <v>36.184029926058379</v>
      </c>
      <c r="E147" s="7">
        <v>9.5104631324375105E-2</v>
      </c>
      <c r="F147" s="7">
        <v>100000</v>
      </c>
      <c r="G147" s="7">
        <v>3.8848717971865216</v>
      </c>
      <c r="H147" s="7">
        <v>0.48548285628963633</v>
      </c>
      <c r="I147" s="7">
        <v>797.63502489845769</v>
      </c>
      <c r="J147" s="7">
        <v>324.10662059789286</v>
      </c>
      <c r="K147" s="7">
        <v>4.6963435268912258E-2</v>
      </c>
      <c r="L147" s="7">
        <v>159878.32057443782</v>
      </c>
      <c r="M147" s="7">
        <v>0.10499141940151605</v>
      </c>
      <c r="N147" s="7">
        <v>0.51860198135101165</v>
      </c>
      <c r="O147" s="7">
        <v>227.96737148520032</v>
      </c>
      <c r="P147" s="7">
        <v>1464.2688166560906</v>
      </c>
      <c r="Q147">
        <v>1450.649399067559</v>
      </c>
      <c r="R147" t="s">
        <v>68</v>
      </c>
    </row>
    <row r="148" spans="1:18" x14ac:dyDescent="0.25">
      <c r="A148" s="7">
        <v>147</v>
      </c>
      <c r="B148" s="7">
        <v>1.1856070499860287</v>
      </c>
      <c r="C148" s="7">
        <v>290.94757848424331</v>
      </c>
      <c r="D148" s="7">
        <v>36.418664270373014</v>
      </c>
      <c r="E148" s="7">
        <v>9.4702307302388877E-2</v>
      </c>
      <c r="F148" s="7">
        <v>100000</v>
      </c>
      <c r="G148" s="7">
        <v>3.8031917313178809</v>
      </c>
      <c r="H148" s="7">
        <v>0.48517623715746544</v>
      </c>
      <c r="I148" s="7">
        <v>799.45356490751567</v>
      </c>
      <c r="J148" s="7">
        <v>326.27542943643061</v>
      </c>
      <c r="K148" s="7">
        <v>4.7499214477010387E-2</v>
      </c>
      <c r="L148" s="7">
        <v>160205.0815782196</v>
      </c>
      <c r="M148" s="7">
        <v>0.10543734065058881</v>
      </c>
      <c r="N148" s="7">
        <v>0.51865841567965465</v>
      </c>
      <c r="O148" s="7">
        <v>228.05280395347236</v>
      </c>
      <c r="P148" s="7">
        <v>1465.401391262578</v>
      </c>
      <c r="Q148">
        <v>1452.9543964930854</v>
      </c>
      <c r="R148" t="s">
        <v>68</v>
      </c>
    </row>
    <row r="149" spans="1:18" x14ac:dyDescent="0.25">
      <c r="A149" s="7">
        <v>148</v>
      </c>
      <c r="B149" s="7">
        <v>1.1855761904542672</v>
      </c>
      <c r="C149" s="7">
        <v>290.76166044475929</v>
      </c>
      <c r="D149" s="7">
        <v>36.545774937745506</v>
      </c>
      <c r="E149" s="7">
        <v>9.5415046609081108E-2</v>
      </c>
      <c r="F149" s="7">
        <v>100000</v>
      </c>
      <c r="G149" s="7">
        <v>3.9157945359269188</v>
      </c>
      <c r="H149" s="7">
        <v>0.48516260940916323</v>
      </c>
      <c r="I149" s="7">
        <v>799.9107155878005</v>
      </c>
      <c r="J149" s="7">
        <v>327.99224988708045</v>
      </c>
      <c r="K149" s="7">
        <v>4.70512265775292E-2</v>
      </c>
      <c r="L149" s="7">
        <v>159818.53767603886</v>
      </c>
      <c r="M149" s="7">
        <v>0.10545780316083447</v>
      </c>
      <c r="N149" s="7">
        <v>0.51864265676015842</v>
      </c>
      <c r="O149" s="7">
        <v>228.09143450264011</v>
      </c>
      <c r="P149" s="7">
        <v>1461.179667877828</v>
      </c>
      <c r="Q149">
        <v>1473.7110047860115</v>
      </c>
      <c r="R149" t="s">
        <v>68</v>
      </c>
    </row>
    <row r="150" spans="1:18" x14ac:dyDescent="0.25">
      <c r="A150" s="7">
        <v>149</v>
      </c>
      <c r="B150" s="7">
        <v>1.1854314850739269</v>
      </c>
      <c r="C150" s="7">
        <v>290.89014417312927</v>
      </c>
      <c r="D150" s="7">
        <v>36.548059852824963</v>
      </c>
      <c r="E150" s="7">
        <v>9.5308257662151286E-2</v>
      </c>
      <c r="F150" s="7">
        <v>100000</v>
      </c>
      <c r="G150" s="7">
        <v>3.8189293878626369</v>
      </c>
      <c r="H150" s="7">
        <v>0.48528720695682248</v>
      </c>
      <c r="I150" s="7">
        <v>798.00627489277633</v>
      </c>
      <c r="J150" s="7">
        <v>328.67261822376742</v>
      </c>
      <c r="K150" s="7">
        <v>4.7536424527997077E-2</v>
      </c>
      <c r="L150" s="7">
        <v>160216.95401733922</v>
      </c>
      <c r="M150" s="7">
        <v>0.10503851333904586</v>
      </c>
      <c r="N150" s="7">
        <v>0.51874993790156043</v>
      </c>
      <c r="O150" s="7">
        <v>228.06347431999856</v>
      </c>
      <c r="P150" s="7">
        <v>1460.7197941187612</v>
      </c>
      <c r="Q150">
        <v>1464.2832534141417</v>
      </c>
      <c r="R150" t="s">
        <v>68</v>
      </c>
    </row>
    <row r="151" spans="1:18" x14ac:dyDescent="0.25">
      <c r="A151" s="7">
        <v>150</v>
      </c>
      <c r="B151" s="7">
        <v>1.1854822700855621</v>
      </c>
      <c r="C151" s="7">
        <v>290.78786489333032</v>
      </c>
      <c r="D151" s="7">
        <v>36.152599952844376</v>
      </c>
      <c r="E151" s="7">
        <v>9.5222385217486855E-2</v>
      </c>
      <c r="F151" s="7">
        <v>100000</v>
      </c>
      <c r="G151" s="7">
        <v>3.8657168149096366</v>
      </c>
      <c r="H151" s="7">
        <v>0.485365113777809</v>
      </c>
      <c r="I151" s="7">
        <v>798.88415684781421</v>
      </c>
      <c r="J151" s="7">
        <v>324.13415271057772</v>
      </c>
      <c r="K151" s="7">
        <v>4.7402892347673378E-2</v>
      </c>
      <c r="L151" s="7">
        <v>159542.51216095692</v>
      </c>
      <c r="M151" s="7">
        <v>0.10499498899731519</v>
      </c>
      <c r="N151" s="7">
        <v>0.51856933914298453</v>
      </c>
      <c r="O151" s="7">
        <v>228.03140890358236</v>
      </c>
      <c r="P151" s="7">
        <v>1462.2987070667441</v>
      </c>
      <c r="Q151">
        <v>1453.9559702394108</v>
      </c>
      <c r="R151" t="s">
        <v>68</v>
      </c>
    </row>
    <row r="152" spans="1:18" x14ac:dyDescent="0.25">
      <c r="A152" s="7">
        <v>151</v>
      </c>
      <c r="B152" s="7">
        <v>1.1854914122271589</v>
      </c>
      <c r="C152" s="7">
        <v>290.84741963068421</v>
      </c>
      <c r="D152" s="7">
        <v>36.23953751249806</v>
      </c>
      <c r="E152" s="7">
        <v>9.5220396889995826E-2</v>
      </c>
      <c r="F152" s="7">
        <v>100000</v>
      </c>
      <c r="G152" s="7">
        <v>3.8986379036459708</v>
      </c>
      <c r="H152" s="7">
        <v>0.48566504958754619</v>
      </c>
      <c r="I152" s="7">
        <v>799.31178153206076</v>
      </c>
      <c r="J152" s="7">
        <v>326.16980255777088</v>
      </c>
      <c r="K152" s="7">
        <v>4.6636054019058168E-2</v>
      </c>
      <c r="L152" s="7">
        <v>159894.4532343719</v>
      </c>
      <c r="M152" s="7">
        <v>0.10513709287625203</v>
      </c>
      <c r="N152" s="7">
        <v>0.51873617090894453</v>
      </c>
      <c r="O152" s="7">
        <v>228.0714279136337</v>
      </c>
      <c r="P152" s="7">
        <v>1463.5497060708699</v>
      </c>
      <c r="Q152">
        <v>1461.3519673147748</v>
      </c>
      <c r="R152" t="s">
        <v>68</v>
      </c>
    </row>
    <row r="153" spans="1:18" x14ac:dyDescent="0.25">
      <c r="A153" s="7">
        <v>152</v>
      </c>
      <c r="B153" s="7">
        <v>1.1854482168902125</v>
      </c>
      <c r="C153" s="7">
        <v>290.83352564129143</v>
      </c>
      <c r="D153" s="7">
        <v>36.356140550006671</v>
      </c>
      <c r="E153" s="7">
        <v>9.5301584103894235E-2</v>
      </c>
      <c r="F153" s="7">
        <v>100000</v>
      </c>
      <c r="G153" s="7">
        <v>3.8785137013809488</v>
      </c>
      <c r="H153" s="7">
        <v>0.48537098079500546</v>
      </c>
      <c r="I153" s="7">
        <v>799.1606755822927</v>
      </c>
      <c r="J153" s="7">
        <v>327.39697772810132</v>
      </c>
      <c r="K153" s="7">
        <v>4.7520144122601041E-2</v>
      </c>
      <c r="L153" s="7">
        <v>159578.71373578921</v>
      </c>
      <c r="M153" s="7">
        <v>0.10545026164502092</v>
      </c>
      <c r="N153" s="7">
        <v>0.51872533717270097</v>
      </c>
      <c r="O153" s="7">
        <v>228.03811826538967</v>
      </c>
      <c r="P153" s="7">
        <v>1465.9907601824439</v>
      </c>
      <c r="Q153">
        <v>1463.0761995235735</v>
      </c>
      <c r="R153" t="s">
        <v>68</v>
      </c>
    </row>
    <row r="154" spans="1:18" x14ac:dyDescent="0.25">
      <c r="A154" s="7">
        <v>153</v>
      </c>
      <c r="B154" s="7">
        <v>1.1856035711458119</v>
      </c>
      <c r="C154" s="7">
        <v>290.93170221808919</v>
      </c>
      <c r="D154" s="7">
        <v>36.258221151472064</v>
      </c>
      <c r="E154" s="7">
        <v>9.4736819283808477E-2</v>
      </c>
      <c r="F154" s="7">
        <v>100000</v>
      </c>
      <c r="G154" s="7">
        <v>3.896210377353488</v>
      </c>
      <c r="H154" s="7">
        <v>0.48534099246050799</v>
      </c>
      <c r="I154" s="7">
        <v>797.97811650955975</v>
      </c>
      <c r="J154" s="7">
        <v>325.20721992492645</v>
      </c>
      <c r="K154" s="7">
        <v>4.6661959677425265E-2</v>
      </c>
      <c r="L154" s="7">
        <v>159515.62127833717</v>
      </c>
      <c r="M154" s="7">
        <v>0.10547641654480573</v>
      </c>
      <c r="N154" s="7">
        <v>0.51860389642263638</v>
      </c>
      <c r="O154" s="7">
        <v>228.05569616650334</v>
      </c>
      <c r="P154" s="7">
        <v>1461.4333635964251</v>
      </c>
      <c r="Q154">
        <v>1450.9800933050501</v>
      </c>
      <c r="R154" t="s">
        <v>68</v>
      </c>
    </row>
    <row r="155" spans="1:18" x14ac:dyDescent="0.25">
      <c r="A155" s="7">
        <v>154</v>
      </c>
      <c r="B155" s="7">
        <v>1.1854990352072166</v>
      </c>
      <c r="C155" s="7">
        <v>290.76558157553853</v>
      </c>
      <c r="D155" s="7">
        <v>36.165053659493381</v>
      </c>
      <c r="E155" s="7">
        <v>9.5142353830287893E-2</v>
      </c>
      <c r="F155" s="7">
        <v>100000</v>
      </c>
      <c r="G155" s="7">
        <v>3.838112015296562</v>
      </c>
      <c r="H155" s="7">
        <v>0.48562591267835314</v>
      </c>
      <c r="I155" s="7">
        <v>798.38217418830288</v>
      </c>
      <c r="J155" s="7">
        <v>327.29468994206843</v>
      </c>
      <c r="K155" s="7">
        <v>4.7176278863301176E-2</v>
      </c>
      <c r="L155" s="7">
        <v>160040.19989279981</v>
      </c>
      <c r="M155" s="7">
        <v>0.1051579750381415</v>
      </c>
      <c r="N155" s="7">
        <v>0.51874928603862147</v>
      </c>
      <c r="O155" s="7">
        <v>228.08503056936746</v>
      </c>
      <c r="P155" s="7">
        <v>1464.9430366043221</v>
      </c>
      <c r="Q155">
        <v>1465.5561265076321</v>
      </c>
      <c r="R155" t="s">
        <v>68</v>
      </c>
    </row>
    <row r="156" spans="1:18" x14ac:dyDescent="0.25">
      <c r="A156" s="7">
        <v>155</v>
      </c>
      <c r="B156" s="7">
        <v>1.1855536024971818</v>
      </c>
      <c r="C156" s="7">
        <v>290.86251267688397</v>
      </c>
      <c r="D156" s="7">
        <v>36.157964106157337</v>
      </c>
      <c r="E156" s="7">
        <v>9.5076956378051483E-2</v>
      </c>
      <c r="F156" s="7">
        <v>100000</v>
      </c>
      <c r="G156" s="7">
        <v>3.8267740589682262</v>
      </c>
      <c r="H156" s="7">
        <v>0.48522926502017039</v>
      </c>
      <c r="I156" s="7">
        <v>799.04526311616007</v>
      </c>
      <c r="J156" s="7">
        <v>325.90915567151688</v>
      </c>
      <c r="K156" s="7">
        <v>4.6477038100140991E-2</v>
      </c>
      <c r="L156" s="7">
        <v>159622.35228058681</v>
      </c>
      <c r="M156" s="7">
        <v>0.10535738268409478</v>
      </c>
      <c r="N156" s="7">
        <v>0.51861183055291771</v>
      </c>
      <c r="O156" s="7">
        <v>227.9892176927184</v>
      </c>
      <c r="P156" s="7">
        <v>1464.1196738494118</v>
      </c>
      <c r="Q156">
        <v>1453.3142515348081</v>
      </c>
      <c r="R156" t="s">
        <v>68</v>
      </c>
    </row>
    <row r="157" spans="1:18" x14ac:dyDescent="0.25">
      <c r="A157" s="7">
        <v>156</v>
      </c>
      <c r="B157" s="7">
        <v>1.1854521428721563</v>
      </c>
      <c r="C157" s="7">
        <v>290.8236859762701</v>
      </c>
      <c r="D157" s="7">
        <v>36.256726769803407</v>
      </c>
      <c r="E157" s="7">
        <v>9.526291049844586E-2</v>
      </c>
      <c r="F157" s="7">
        <v>100000</v>
      </c>
      <c r="G157" s="7">
        <v>3.8112364488577448</v>
      </c>
      <c r="H157" s="7">
        <v>0.48551812933188548</v>
      </c>
      <c r="I157" s="7">
        <v>798.55411949690824</v>
      </c>
      <c r="J157" s="7">
        <v>326.56533095516676</v>
      </c>
      <c r="K157" s="7">
        <v>4.6960274570308998E-2</v>
      </c>
      <c r="L157" s="7">
        <v>159776.27235040118</v>
      </c>
      <c r="M157" s="7">
        <v>0.10527556033794198</v>
      </c>
      <c r="N157" s="7">
        <v>0.51858767695305552</v>
      </c>
      <c r="O157" s="7">
        <v>228.03940228003452</v>
      </c>
      <c r="P157" s="7">
        <v>1463.1789412480473</v>
      </c>
      <c r="Q157">
        <v>1457.4608473141489</v>
      </c>
      <c r="R157" t="s">
        <v>68</v>
      </c>
    </row>
    <row r="158" spans="1:18" x14ac:dyDescent="0.25">
      <c r="A158" s="7">
        <v>157</v>
      </c>
      <c r="B158" s="7">
        <v>1.185522565926256</v>
      </c>
      <c r="C158" s="7">
        <v>290.83115727946119</v>
      </c>
      <c r="D158" s="7">
        <v>36.24206087256907</v>
      </c>
      <c r="E158" s="7">
        <v>9.4770030341833331E-2</v>
      </c>
      <c r="F158" s="7">
        <v>100000</v>
      </c>
      <c r="G158" s="7">
        <v>3.8046941421336697</v>
      </c>
      <c r="H158" s="7">
        <v>0.48563535042784561</v>
      </c>
      <c r="I158" s="7">
        <v>799.26590439069435</v>
      </c>
      <c r="J158" s="7">
        <v>326.49012235831731</v>
      </c>
      <c r="K158" s="7">
        <v>4.6571712345739633E-2</v>
      </c>
      <c r="L158" s="7">
        <v>160205.43858464996</v>
      </c>
      <c r="M158" s="7">
        <v>0.10500095576171417</v>
      </c>
      <c r="N158" s="7">
        <v>0.51861987435098955</v>
      </c>
      <c r="O158" s="7">
        <v>228.09119226002835</v>
      </c>
      <c r="P158" s="7">
        <v>1465.3755682898795</v>
      </c>
      <c r="Q158">
        <v>1459.0994499044536</v>
      </c>
      <c r="R158" t="s">
        <v>68</v>
      </c>
    </row>
    <row r="159" spans="1:18" x14ac:dyDescent="0.25">
      <c r="A159" s="7">
        <v>158</v>
      </c>
      <c r="B159" s="7">
        <v>1.1855177134345782</v>
      </c>
      <c r="C159" s="7">
        <v>290.83429952943538</v>
      </c>
      <c r="D159" s="7">
        <v>36.509770992631182</v>
      </c>
      <c r="E159" s="7">
        <v>9.4966204736624316E-2</v>
      </c>
      <c r="F159" s="7">
        <v>100000</v>
      </c>
      <c r="G159" s="7">
        <v>3.8365595191584867</v>
      </c>
      <c r="H159" s="7">
        <v>0.48543775438611814</v>
      </c>
      <c r="I159" s="7">
        <v>798.54357061674659</v>
      </c>
      <c r="J159" s="7">
        <v>324.52828815656301</v>
      </c>
      <c r="K159" s="7">
        <v>4.6753687115279739E-2</v>
      </c>
      <c r="L159" s="7">
        <v>160003.52536300253</v>
      </c>
      <c r="M159" s="7">
        <v>0.10515502119273923</v>
      </c>
      <c r="N159" s="7">
        <v>0.51873234180311789</v>
      </c>
      <c r="O159" s="7">
        <v>228.00400515564559</v>
      </c>
      <c r="P159" s="7">
        <v>1462.1729252508983</v>
      </c>
      <c r="Q159">
        <v>1455.2471354994268</v>
      </c>
      <c r="R159" t="s">
        <v>68</v>
      </c>
    </row>
    <row r="160" spans="1:18" x14ac:dyDescent="0.25">
      <c r="A160" s="7">
        <v>159</v>
      </c>
      <c r="B160" s="7">
        <v>1.1854470528784926</v>
      </c>
      <c r="C160" s="7">
        <v>290.81527939930493</v>
      </c>
      <c r="D160" s="7">
        <v>36.197900105888046</v>
      </c>
      <c r="E160" s="7">
        <v>9.4970535434090411E-2</v>
      </c>
      <c r="F160" s="7">
        <v>100000</v>
      </c>
      <c r="G160" s="7">
        <v>3.8851606872799622</v>
      </c>
      <c r="H160" s="7">
        <v>0.48562042872248706</v>
      </c>
      <c r="I160" s="7">
        <v>798.62671194658799</v>
      </c>
      <c r="J160" s="7">
        <v>327.96737821877792</v>
      </c>
      <c r="K160" s="7">
        <v>4.7405425289063823E-2</v>
      </c>
      <c r="L160" s="7">
        <v>159715.90051801759</v>
      </c>
      <c r="M160" s="7">
        <v>0.10509595277224512</v>
      </c>
      <c r="N160" s="7">
        <v>0.51868878339007674</v>
      </c>
      <c r="O160" s="7">
        <v>228.08776988078492</v>
      </c>
      <c r="P160" s="7">
        <v>1460.7631314199568</v>
      </c>
      <c r="Q160">
        <v>1465.9348953919762</v>
      </c>
      <c r="R160" t="s">
        <v>68</v>
      </c>
    </row>
    <row r="161" spans="1:18" x14ac:dyDescent="0.25">
      <c r="A161" s="7">
        <v>160</v>
      </c>
      <c r="B161" s="7">
        <v>1.1854953181649059</v>
      </c>
      <c r="C161" s="7">
        <v>290.84608878030554</v>
      </c>
      <c r="D161" s="7">
        <v>36.346156646610339</v>
      </c>
      <c r="E161" s="7">
        <v>9.4752854968323363E-2</v>
      </c>
      <c r="F161" s="7">
        <v>100000</v>
      </c>
      <c r="G161" s="7">
        <v>3.8138433489463837</v>
      </c>
      <c r="H161" s="7">
        <v>0.48527610497519019</v>
      </c>
      <c r="I161" s="7">
        <v>798.32793384083516</v>
      </c>
      <c r="J161" s="7">
        <v>326.28105319864869</v>
      </c>
      <c r="K161" s="7">
        <v>4.6479525409890803E-2</v>
      </c>
      <c r="L161" s="7">
        <v>159958.79429443192</v>
      </c>
      <c r="M161" s="7">
        <v>0.10530225006758492</v>
      </c>
      <c r="N161" s="7">
        <v>0.51866207068918624</v>
      </c>
      <c r="O161" s="7">
        <v>228.0559835602061</v>
      </c>
      <c r="P161" s="7">
        <v>1463.6448772341171</v>
      </c>
      <c r="Q161">
        <v>1457.0044584968637</v>
      </c>
      <c r="R161" t="s">
        <v>68</v>
      </c>
    </row>
    <row r="162" spans="1:18" x14ac:dyDescent="0.25">
      <c r="A162" s="7">
        <v>161</v>
      </c>
      <c r="B162" s="7">
        <v>1.1855528540432965</v>
      </c>
      <c r="C162" s="7">
        <v>290.82046238001641</v>
      </c>
      <c r="D162" s="7">
        <v>36.277860298598</v>
      </c>
      <c r="E162" s="7">
        <v>9.5185523932791713E-2</v>
      </c>
      <c r="F162" s="7">
        <v>100000</v>
      </c>
      <c r="G162" s="7">
        <v>3.8370159321018713</v>
      </c>
      <c r="H162" s="7">
        <v>0.48550491528695766</v>
      </c>
      <c r="I162" s="7">
        <v>798.8134544262291</v>
      </c>
      <c r="J162" s="7">
        <v>327.71601660839957</v>
      </c>
      <c r="K162" s="7">
        <v>4.707538222393743E-2</v>
      </c>
      <c r="L162" s="7">
        <v>159652.91344513994</v>
      </c>
      <c r="M162" s="7">
        <v>0.10528803454911556</v>
      </c>
      <c r="N162" s="7">
        <v>0.51870882092947657</v>
      </c>
      <c r="O162" s="7">
        <v>227.99511827012748</v>
      </c>
      <c r="P162" s="7">
        <v>1462.9544692550667</v>
      </c>
      <c r="Q162">
        <v>1462.2225411956242</v>
      </c>
      <c r="R162" t="s">
        <v>68</v>
      </c>
    </row>
    <row r="163" spans="1:18" x14ac:dyDescent="0.25">
      <c r="A163" s="7">
        <v>162</v>
      </c>
      <c r="B163" s="7">
        <v>1.1855324390431996</v>
      </c>
      <c r="C163" s="7">
        <v>290.86816360341402</v>
      </c>
      <c r="D163" s="7">
        <v>36.475776184495842</v>
      </c>
      <c r="E163" s="7">
        <v>9.5105116014589444E-2</v>
      </c>
      <c r="F163" s="7">
        <v>100000</v>
      </c>
      <c r="G163" s="7">
        <v>3.8561210199972034</v>
      </c>
      <c r="H163" s="7">
        <v>0.48551841086224645</v>
      </c>
      <c r="I163" s="7">
        <v>798.98061857621724</v>
      </c>
      <c r="J163" s="7">
        <v>324.55025362218936</v>
      </c>
      <c r="K163" s="7">
        <v>4.6576065805872972E-2</v>
      </c>
      <c r="L163" s="7">
        <v>159872.1083740617</v>
      </c>
      <c r="M163" s="7">
        <v>0.10538577539536396</v>
      </c>
      <c r="N163" s="7">
        <v>0.51869416060351514</v>
      </c>
      <c r="O163" s="7">
        <v>228.06265274037386</v>
      </c>
      <c r="P163" s="7">
        <v>1463.3271414225158</v>
      </c>
      <c r="Q163">
        <v>1453.6189482717818</v>
      </c>
      <c r="R163" t="s">
        <v>68</v>
      </c>
    </row>
    <row r="164" spans="1:18" x14ac:dyDescent="0.25">
      <c r="A164" s="7">
        <v>163</v>
      </c>
      <c r="B164" s="7">
        <v>1.1855382037143358</v>
      </c>
      <c r="C164" s="7">
        <v>290.87445665203853</v>
      </c>
      <c r="D164" s="7">
        <v>36.372599064800681</v>
      </c>
      <c r="E164" s="7">
        <v>9.5092431125261279E-2</v>
      </c>
      <c r="F164" s="7">
        <v>100000</v>
      </c>
      <c r="G164" s="7">
        <v>3.8235137807542841</v>
      </c>
      <c r="H164" s="7">
        <v>0.48526468518798854</v>
      </c>
      <c r="I164" s="7">
        <v>798.28794883584317</v>
      </c>
      <c r="J164" s="7">
        <v>326.70275059042177</v>
      </c>
      <c r="K164" s="7">
        <v>4.7310033952203914E-2</v>
      </c>
      <c r="L164" s="7">
        <v>160169.27516147625</v>
      </c>
      <c r="M164" s="7">
        <v>0.10545827226202435</v>
      </c>
      <c r="N164" s="7">
        <v>0.51862647829413333</v>
      </c>
      <c r="O164" s="7">
        <v>228.07811922717744</v>
      </c>
      <c r="P164" s="7">
        <v>1461.6223274586507</v>
      </c>
      <c r="Q164">
        <v>1458.6460754229265</v>
      </c>
      <c r="R164" t="s">
        <v>68</v>
      </c>
    </row>
    <row r="165" spans="1:18" x14ac:dyDescent="0.25">
      <c r="A165" s="7">
        <v>164</v>
      </c>
      <c r="B165" s="7">
        <v>1.185537676897402</v>
      </c>
      <c r="C165" s="7">
        <v>290.85817882739298</v>
      </c>
      <c r="D165" s="7">
        <v>36.379385971648546</v>
      </c>
      <c r="E165" s="7">
        <v>9.5120373777051639E-2</v>
      </c>
      <c r="F165" s="7">
        <v>100000</v>
      </c>
      <c r="G165" s="7">
        <v>3.8444768180230016</v>
      </c>
      <c r="H165" s="7">
        <v>0.48543109341668261</v>
      </c>
      <c r="I165" s="7">
        <v>798.36126249783399</v>
      </c>
      <c r="J165" s="7">
        <v>326.69646745747707</v>
      </c>
      <c r="K165" s="7">
        <v>4.7299414917609597E-2</v>
      </c>
      <c r="L165" s="7">
        <v>159817.6339569421</v>
      </c>
      <c r="M165" s="7">
        <v>0.10534211415203466</v>
      </c>
      <c r="N165" s="7">
        <v>0.51865709714201835</v>
      </c>
      <c r="O165" s="7">
        <v>228.07514064438328</v>
      </c>
      <c r="P165" s="7">
        <v>1462.1801319094889</v>
      </c>
      <c r="Q165">
        <v>1458.679527545748</v>
      </c>
      <c r="R165" t="s">
        <v>68</v>
      </c>
    </row>
    <row r="166" spans="1:18" x14ac:dyDescent="0.25">
      <c r="A166" s="7">
        <v>165</v>
      </c>
      <c r="B166" s="7">
        <v>1.1854959131792595</v>
      </c>
      <c r="C166" s="7">
        <v>290.85126323557012</v>
      </c>
      <c r="D166" s="7">
        <v>36.496124714486221</v>
      </c>
      <c r="E166" s="7">
        <v>9.5007306603241304E-2</v>
      </c>
      <c r="F166" s="7">
        <v>100000</v>
      </c>
      <c r="G166" s="7">
        <v>3.8282385130554517</v>
      </c>
      <c r="H166" s="7">
        <v>0.48558954694931999</v>
      </c>
      <c r="I166" s="7">
        <v>798.68131943144454</v>
      </c>
      <c r="J166" s="7">
        <v>325.82280088357754</v>
      </c>
      <c r="K166" s="7">
        <v>4.7167318162591954E-2</v>
      </c>
      <c r="L166" s="7">
        <v>160092.61231928715</v>
      </c>
      <c r="M166" s="7">
        <v>0.1051148050170669</v>
      </c>
      <c r="N166" s="7">
        <v>0.51859696619709494</v>
      </c>
      <c r="O166" s="7">
        <v>228.04114435206469</v>
      </c>
      <c r="P166" s="7">
        <v>1461.9564238719383</v>
      </c>
      <c r="Q166">
        <v>1457.9615532029929</v>
      </c>
      <c r="R166" t="s">
        <v>68</v>
      </c>
    </row>
    <row r="167" spans="1:18" x14ac:dyDescent="0.25">
      <c r="A167" s="7">
        <v>166</v>
      </c>
      <c r="B167" s="7">
        <v>1.1855390433720281</v>
      </c>
      <c r="C167" s="7">
        <v>290.83707367587436</v>
      </c>
      <c r="D167" s="7">
        <v>36.229048798104571</v>
      </c>
      <c r="E167" s="7">
        <v>9.5144513540614276E-2</v>
      </c>
      <c r="F167" s="7">
        <v>100000</v>
      </c>
      <c r="G167" s="7">
        <v>3.8270165329465637</v>
      </c>
      <c r="H167" s="7">
        <v>0.48553103734113778</v>
      </c>
      <c r="I167" s="7">
        <v>799.08043234763045</v>
      </c>
      <c r="J167" s="7">
        <v>325.0626497921287</v>
      </c>
      <c r="K167" s="7">
        <v>4.6612748107600487E-2</v>
      </c>
      <c r="L167" s="7">
        <v>160021.63423752063</v>
      </c>
      <c r="M167" s="7">
        <v>0.10516004344727867</v>
      </c>
      <c r="N167" s="7">
        <v>0.51860936629949494</v>
      </c>
      <c r="O167" s="7">
        <v>228.00495771534781</v>
      </c>
      <c r="P167" s="7">
        <v>1461.2867186917442</v>
      </c>
      <c r="Q167">
        <v>1455.0535203851105</v>
      </c>
      <c r="R167" t="s">
        <v>68</v>
      </c>
    </row>
    <row r="168" spans="1:18" x14ac:dyDescent="0.25">
      <c r="A168" s="7">
        <v>167</v>
      </c>
      <c r="B168" s="7">
        <v>1.1855390524874292</v>
      </c>
      <c r="C168" s="7">
        <v>290.84770025755097</v>
      </c>
      <c r="D168" s="7">
        <v>36.370712849635176</v>
      </c>
      <c r="E168" s="7">
        <v>9.493427179074003E-2</v>
      </c>
      <c r="F168" s="7">
        <v>100000</v>
      </c>
      <c r="G168" s="7">
        <v>3.8063926610920236</v>
      </c>
      <c r="H168" s="7">
        <v>0.48528945184037359</v>
      </c>
      <c r="I168" s="7">
        <v>798.35802116657703</v>
      </c>
      <c r="J168" s="7">
        <v>326.23369296545332</v>
      </c>
      <c r="K168" s="7">
        <v>4.7071724060926794E-2</v>
      </c>
      <c r="L168" s="7">
        <v>159871.54121473824</v>
      </c>
      <c r="M168" s="7">
        <v>0.10504020351324873</v>
      </c>
      <c r="N168" s="7">
        <v>0.51865838294239452</v>
      </c>
      <c r="O168" s="7">
        <v>228.07169975464333</v>
      </c>
      <c r="P168" s="7">
        <v>1465.0438660849345</v>
      </c>
      <c r="Q168">
        <v>1455.7966911759504</v>
      </c>
      <c r="R168" t="s">
        <v>68</v>
      </c>
    </row>
    <row r="169" spans="1:18" x14ac:dyDescent="0.25">
      <c r="A169" s="7">
        <v>168</v>
      </c>
      <c r="B169" s="7">
        <v>1.1855067182585071</v>
      </c>
      <c r="C169" s="7">
        <v>290.82028867482614</v>
      </c>
      <c r="D169" s="7">
        <v>36.357736412940405</v>
      </c>
      <c r="E169" s="7">
        <v>9.4766178410189417E-2</v>
      </c>
      <c r="F169" s="7">
        <v>100000</v>
      </c>
      <c r="G169" s="7">
        <v>3.8092688377440678</v>
      </c>
      <c r="H169" s="7">
        <v>0.48547060529569491</v>
      </c>
      <c r="I169" s="7">
        <v>798.50047024008484</v>
      </c>
      <c r="J169" s="7">
        <v>326.14963029555764</v>
      </c>
      <c r="K169" s="7">
        <v>4.7189477488354746E-2</v>
      </c>
      <c r="L169" s="7">
        <v>160108.11715880106</v>
      </c>
      <c r="M169" s="7">
        <v>0.10523986751116947</v>
      </c>
      <c r="N169" s="7">
        <v>0.51867808593131914</v>
      </c>
      <c r="O169" s="7">
        <v>228.07454840305263</v>
      </c>
      <c r="P169" s="7">
        <v>1461.7830035357945</v>
      </c>
      <c r="Q169">
        <v>1458.7271838735833</v>
      </c>
      <c r="R169" t="s">
        <v>68</v>
      </c>
    </row>
    <row r="170" spans="1:18" x14ac:dyDescent="0.25">
      <c r="A170" s="7">
        <v>169</v>
      </c>
      <c r="B170" s="7">
        <v>1.1855408277013195</v>
      </c>
      <c r="C170" s="7">
        <v>290.81959271243306</v>
      </c>
      <c r="D170" s="7">
        <v>36.340828534912418</v>
      </c>
      <c r="E170" s="7">
        <v>9.4917987115718735E-2</v>
      </c>
      <c r="F170" s="7">
        <v>100000</v>
      </c>
      <c r="G170" s="7">
        <v>3.825868314251577</v>
      </c>
      <c r="H170" s="7">
        <v>0.48544971704243489</v>
      </c>
      <c r="I170" s="7">
        <v>798.82412320139076</v>
      </c>
      <c r="J170" s="7">
        <v>325.094025605664</v>
      </c>
      <c r="K170" s="7">
        <v>4.6941544553084448E-2</v>
      </c>
      <c r="L170" s="7">
        <v>159742.83836934276</v>
      </c>
      <c r="M170" s="7">
        <v>0.10540092672370233</v>
      </c>
      <c r="N170" s="7">
        <v>0.51864880546861214</v>
      </c>
      <c r="O170" s="7">
        <v>228.04510697533075</v>
      </c>
      <c r="P170" s="7">
        <v>1464.2286152712952</v>
      </c>
      <c r="Q170">
        <v>1454.5446081958289</v>
      </c>
      <c r="R170" t="s">
        <v>68</v>
      </c>
    </row>
    <row r="171" spans="1:18" x14ac:dyDescent="0.25">
      <c r="A171" s="7">
        <v>170</v>
      </c>
      <c r="B171" s="7">
        <v>1.1855496810968709</v>
      </c>
      <c r="C171" s="7">
        <v>290.83084234836844</v>
      </c>
      <c r="D171" s="7">
        <v>36.374606784890801</v>
      </c>
      <c r="E171" s="7">
        <v>9.5011244025506481E-2</v>
      </c>
      <c r="F171" s="7">
        <v>100000</v>
      </c>
      <c r="G171" s="7">
        <v>3.83810924134769</v>
      </c>
      <c r="H171" s="7">
        <v>0.48556408061283451</v>
      </c>
      <c r="I171" s="7">
        <v>799.07614721012101</v>
      </c>
      <c r="J171" s="7">
        <v>325.51717180299391</v>
      </c>
      <c r="K171" s="7">
        <v>4.7284321511722675E-2</v>
      </c>
      <c r="L171" s="7">
        <v>159663.0589473038</v>
      </c>
      <c r="M171" s="7">
        <v>0.1054412197292072</v>
      </c>
      <c r="N171" s="7">
        <v>0.51870170961845652</v>
      </c>
      <c r="O171" s="7">
        <v>228.07038732960183</v>
      </c>
      <c r="P171" s="7">
        <v>1462.0279374368886</v>
      </c>
      <c r="Q171">
        <v>1455.5627762026197</v>
      </c>
      <c r="R171" t="s">
        <v>68</v>
      </c>
    </row>
    <row r="172" spans="1:18" x14ac:dyDescent="0.25">
      <c r="A172" s="7">
        <v>171</v>
      </c>
      <c r="B172" s="7">
        <v>1.185515784240025</v>
      </c>
      <c r="C172" s="7">
        <v>290.8698788299069</v>
      </c>
      <c r="D172" s="7">
        <v>36.317385658047421</v>
      </c>
      <c r="E172" s="7">
        <v>9.4827421570802831E-2</v>
      </c>
      <c r="F172" s="7">
        <v>100000</v>
      </c>
      <c r="G172" s="7">
        <v>3.8105736246341269</v>
      </c>
      <c r="H172" s="7">
        <v>0.48548712200464061</v>
      </c>
      <c r="I172" s="7">
        <v>798.59788974478363</v>
      </c>
      <c r="J172" s="7">
        <v>326.95291920884745</v>
      </c>
      <c r="K172" s="7">
        <v>4.7277936615324145E-2</v>
      </c>
      <c r="L172" s="7">
        <v>159859.46289517597</v>
      </c>
      <c r="M172" s="7">
        <v>0.10521665743076881</v>
      </c>
      <c r="N172" s="7">
        <v>0.51864295966360285</v>
      </c>
      <c r="O172" s="7">
        <v>228.07087338703775</v>
      </c>
      <c r="P172" s="7">
        <v>1464.1093041582296</v>
      </c>
      <c r="Q172">
        <v>1456.6737684573091</v>
      </c>
      <c r="R172" t="s">
        <v>68</v>
      </c>
    </row>
    <row r="173" spans="1:18" x14ac:dyDescent="0.25">
      <c r="A173" s="7">
        <v>172</v>
      </c>
      <c r="B173" s="7">
        <v>1.185523183559237</v>
      </c>
      <c r="C173" s="7">
        <v>290.8542826154391</v>
      </c>
      <c r="D173" s="7">
        <v>36.331633323953803</v>
      </c>
      <c r="E173" s="7">
        <v>9.4934418155934813E-2</v>
      </c>
      <c r="F173" s="7">
        <v>100000</v>
      </c>
      <c r="G173" s="7">
        <v>3.8420220309361017</v>
      </c>
      <c r="H173" s="7">
        <v>0.48543259554713625</v>
      </c>
      <c r="I173" s="7">
        <v>798.38669865136967</v>
      </c>
      <c r="J173" s="7">
        <v>324.67560367418105</v>
      </c>
      <c r="K173" s="7">
        <v>4.7219647472955921E-2</v>
      </c>
      <c r="L173" s="7">
        <v>159858.30835404122</v>
      </c>
      <c r="M173" s="7">
        <v>0.10529278505122214</v>
      </c>
      <c r="N173" s="7">
        <v>0.51864593264087089</v>
      </c>
      <c r="O173" s="7">
        <v>228.03984951450013</v>
      </c>
      <c r="P173" s="7">
        <v>1462.0465090075525</v>
      </c>
      <c r="Q173">
        <v>1452.977166528166</v>
      </c>
      <c r="R173" t="s">
        <v>68</v>
      </c>
    </row>
    <row r="174" spans="1:18" x14ac:dyDescent="0.25">
      <c r="A174" s="7">
        <v>173</v>
      </c>
      <c r="B174" s="7">
        <v>1.1855178091729366</v>
      </c>
      <c r="C174" s="7">
        <v>290.84979564386106</v>
      </c>
      <c r="D174" s="7">
        <v>36.392145688591675</v>
      </c>
      <c r="E174" s="7">
        <v>9.4918929342469746E-2</v>
      </c>
      <c r="F174" s="7">
        <v>100000</v>
      </c>
      <c r="G174" s="7">
        <v>3.8121768295194882</v>
      </c>
      <c r="H174" s="7">
        <v>0.48534985101239059</v>
      </c>
      <c r="I174" s="7">
        <v>798.35318516895734</v>
      </c>
      <c r="J174" s="7">
        <v>324.90247305816331</v>
      </c>
      <c r="K174" s="7">
        <v>4.7090647198880044E-2</v>
      </c>
      <c r="L174" s="7">
        <v>159827.27723345341</v>
      </c>
      <c r="M174" s="7">
        <v>0.10538029449306954</v>
      </c>
      <c r="N174" s="7">
        <v>0.51867430973039008</v>
      </c>
      <c r="O174" s="7">
        <v>228.06865327921486</v>
      </c>
      <c r="P174" s="7">
        <v>1461.5574463878381</v>
      </c>
      <c r="Q174">
        <v>1451.9690178647215</v>
      </c>
      <c r="R174" t="s">
        <v>68</v>
      </c>
    </row>
    <row r="175" spans="1:18" x14ac:dyDescent="0.25">
      <c r="A175" s="7">
        <v>174</v>
      </c>
      <c r="B175" s="7">
        <v>1.1855328521819155</v>
      </c>
      <c r="C175" s="7">
        <v>290.86693891356327</v>
      </c>
      <c r="D175" s="7">
        <v>36.244673152148948</v>
      </c>
      <c r="E175" s="7">
        <v>9.4778489697059279E-2</v>
      </c>
      <c r="F175" s="7">
        <v>100000</v>
      </c>
      <c r="G175" s="7">
        <v>3.8254002565508558</v>
      </c>
      <c r="H175" s="7">
        <v>0.48553188281135423</v>
      </c>
      <c r="I175" s="7">
        <v>799.07688221485864</v>
      </c>
      <c r="J175" s="7">
        <v>326.72975513207336</v>
      </c>
      <c r="K175" s="7">
        <v>4.6988748248469075E-2</v>
      </c>
      <c r="L175" s="7">
        <v>159720.36098882195</v>
      </c>
      <c r="M175" s="7">
        <v>0.10524134241047303</v>
      </c>
      <c r="N175" s="7">
        <v>0.51862022509964623</v>
      </c>
      <c r="O175" s="7">
        <v>228.02922732503058</v>
      </c>
      <c r="P175" s="7">
        <v>1463.3362600791077</v>
      </c>
      <c r="Q175">
        <v>1456.2197908298622</v>
      </c>
      <c r="R175" t="s">
        <v>68</v>
      </c>
    </row>
    <row r="176" spans="1:18" x14ac:dyDescent="0.25">
      <c r="A176" s="7">
        <v>175</v>
      </c>
      <c r="B176" s="7">
        <v>1.1855150352915031</v>
      </c>
      <c r="C176" s="7">
        <v>290.82431113069867</v>
      </c>
      <c r="D176" s="7">
        <v>36.340083911168854</v>
      </c>
      <c r="E176" s="7">
        <v>9.4838359768365646E-2</v>
      </c>
      <c r="F176" s="7">
        <v>100000</v>
      </c>
      <c r="G176" s="7">
        <v>3.8237008968060802</v>
      </c>
      <c r="H176" s="7">
        <v>0.48557445234228896</v>
      </c>
      <c r="I176" s="7">
        <v>799.03174165262419</v>
      </c>
      <c r="J176" s="7">
        <v>326.06288848580255</v>
      </c>
      <c r="K176" s="7">
        <v>4.6830896657647461E-2</v>
      </c>
      <c r="L176" s="7">
        <v>159698.64144039148</v>
      </c>
      <c r="M176" s="7">
        <v>0.10512890617453459</v>
      </c>
      <c r="N176" s="7">
        <v>0.5186114525705765</v>
      </c>
      <c r="O176" s="7">
        <v>228.03484788673256</v>
      </c>
      <c r="P176" s="7">
        <v>1464.7250507085628</v>
      </c>
      <c r="Q176">
        <v>1456.7832200737248</v>
      </c>
      <c r="R176" t="s">
        <v>68</v>
      </c>
    </row>
    <row r="177" spans="1:18" x14ac:dyDescent="0.25">
      <c r="A177" s="7">
        <v>176</v>
      </c>
      <c r="B177" s="7">
        <v>1.1855464951332864</v>
      </c>
      <c r="C177" s="7">
        <v>290.8691551909144</v>
      </c>
      <c r="D177" s="7">
        <v>36.233082866478377</v>
      </c>
      <c r="E177" s="7">
        <v>9.4779500852809506E-2</v>
      </c>
      <c r="F177" s="7">
        <v>100000</v>
      </c>
      <c r="G177" s="7">
        <v>3.8283544030678236</v>
      </c>
      <c r="H177" s="7">
        <v>0.4854721623492233</v>
      </c>
      <c r="I177" s="7">
        <v>798.98406414417798</v>
      </c>
      <c r="J177" s="7">
        <v>325.14408468591864</v>
      </c>
      <c r="K177" s="7">
        <v>4.7002291577570153E-2</v>
      </c>
      <c r="L177" s="7">
        <v>159691.10581540607</v>
      </c>
      <c r="M177" s="7">
        <v>0.10535240884928888</v>
      </c>
      <c r="N177" s="7">
        <v>0.51865275577657366</v>
      </c>
      <c r="O177" s="7">
        <v>228.07373346365026</v>
      </c>
      <c r="P177" s="7">
        <v>1464.5729085461089</v>
      </c>
      <c r="Q177">
        <v>1451.2074666480112</v>
      </c>
      <c r="R177" t="s">
        <v>68</v>
      </c>
    </row>
    <row r="178" spans="1:18" x14ac:dyDescent="0.25">
      <c r="A178" s="7">
        <v>177</v>
      </c>
      <c r="B178" s="7">
        <v>1.1855294145285216</v>
      </c>
      <c r="C178" s="7">
        <v>290.83865444256418</v>
      </c>
      <c r="D178" s="7">
        <v>36.273541248674952</v>
      </c>
      <c r="E178" s="7">
        <v>9.4847187754250564E-2</v>
      </c>
      <c r="F178" s="7">
        <v>100000</v>
      </c>
      <c r="G178" s="7">
        <v>3.8210681496035992</v>
      </c>
      <c r="H178" s="7">
        <v>0.48540863829425651</v>
      </c>
      <c r="I178" s="7">
        <v>798.99350727057231</v>
      </c>
      <c r="J178" s="7">
        <v>326.3577983768547</v>
      </c>
      <c r="K178" s="7">
        <v>4.7241045190773191E-2</v>
      </c>
      <c r="L178" s="7">
        <v>159682.60415332555</v>
      </c>
      <c r="M178" s="7">
        <v>0.10531580848717727</v>
      </c>
      <c r="N178" s="7">
        <v>0.5186743860776365</v>
      </c>
      <c r="O178" s="7">
        <v>228.036119200672</v>
      </c>
      <c r="P178" s="7">
        <v>1464.8224704116017</v>
      </c>
      <c r="Q178">
        <v>1456.2791435301115</v>
      </c>
      <c r="R178" t="s">
        <v>68</v>
      </c>
    </row>
    <row r="179" spans="1:18" x14ac:dyDescent="0.25">
      <c r="A179" s="7">
        <v>178</v>
      </c>
      <c r="B179" s="7">
        <v>1.185536104596993</v>
      </c>
      <c r="C179" s="7">
        <v>290.82162775029343</v>
      </c>
      <c r="D179" s="7">
        <v>36.365723343360401</v>
      </c>
      <c r="E179" s="7">
        <v>9.4893913749867026E-2</v>
      </c>
      <c r="F179" s="7">
        <v>100000</v>
      </c>
      <c r="G179" s="7">
        <v>3.8276410625246529</v>
      </c>
      <c r="H179" s="7">
        <v>0.48546750503200087</v>
      </c>
      <c r="I179" s="7">
        <v>798.59359951579336</v>
      </c>
      <c r="J179" s="7">
        <v>326.40860553292646</v>
      </c>
      <c r="K179" s="7">
        <v>4.7093134318004159E-2</v>
      </c>
      <c r="L179" s="7">
        <v>159988.39787583545</v>
      </c>
      <c r="M179" s="7">
        <v>0.10534519774996561</v>
      </c>
      <c r="N179" s="7">
        <v>0.51867572189552824</v>
      </c>
      <c r="O179" s="7">
        <v>228.0362877034913</v>
      </c>
      <c r="P179" s="7">
        <v>1463.1562674729005</v>
      </c>
      <c r="Q179">
        <v>1460.0303298016588</v>
      </c>
      <c r="R179" t="s">
        <v>68</v>
      </c>
    </row>
    <row r="180" spans="1:18" x14ac:dyDescent="0.25">
      <c r="A180" s="7">
        <v>179</v>
      </c>
      <c r="B180" s="7">
        <v>1.1855396579208604</v>
      </c>
      <c r="C180" s="7">
        <v>290.8469130485326</v>
      </c>
      <c r="D180" s="7">
        <v>36.342268685081827</v>
      </c>
      <c r="E180" s="7">
        <v>9.4779489519273563E-2</v>
      </c>
      <c r="F180" s="7">
        <v>100000</v>
      </c>
      <c r="G180" s="7">
        <v>3.8115633091317331</v>
      </c>
      <c r="H180" s="7">
        <v>0.48543052388845082</v>
      </c>
      <c r="I180" s="7">
        <v>799.05359108204038</v>
      </c>
      <c r="J180" s="7">
        <v>324.92520159167117</v>
      </c>
      <c r="K180" s="7">
        <v>4.691780042557938E-2</v>
      </c>
      <c r="L180" s="7">
        <v>159724.47242973128</v>
      </c>
      <c r="M180" s="7">
        <v>0.10519037887184958</v>
      </c>
      <c r="N180" s="7">
        <v>0.51869838750543917</v>
      </c>
      <c r="O180" s="7">
        <v>228.06464802810228</v>
      </c>
      <c r="P180" s="7">
        <v>1463.2626075251244</v>
      </c>
      <c r="Q180">
        <v>1451.4999961435606</v>
      </c>
      <c r="R180" t="s">
        <v>68</v>
      </c>
    </row>
    <row r="181" spans="1:18" x14ac:dyDescent="0.25">
      <c r="A181" s="7">
        <v>180</v>
      </c>
      <c r="B181" s="7">
        <v>1.1855250189681608</v>
      </c>
      <c r="C181" s="7">
        <v>290.86398588008757</v>
      </c>
      <c r="D181" s="7">
        <v>36.246060573078708</v>
      </c>
      <c r="E181" s="7">
        <v>9.4911773500649832E-2</v>
      </c>
      <c r="F181" s="7">
        <v>100000</v>
      </c>
      <c r="G181" s="7">
        <v>3.8158989305315831</v>
      </c>
      <c r="H181" s="7">
        <v>0.4854319706828763</v>
      </c>
      <c r="I181" s="7">
        <v>798.88753957833262</v>
      </c>
      <c r="J181" s="7">
        <v>326.0637961019155</v>
      </c>
      <c r="K181" s="7">
        <v>4.6927561362151649E-2</v>
      </c>
      <c r="L181" s="7">
        <v>159861.28825995987</v>
      </c>
      <c r="M181" s="7">
        <v>0.10519292540368445</v>
      </c>
      <c r="N181" s="7">
        <v>0.51867640119164182</v>
      </c>
      <c r="O181" s="7">
        <v>228.06547925698447</v>
      </c>
      <c r="P181" s="7">
        <v>1461.9406914708177</v>
      </c>
      <c r="Q181">
        <v>1454.5520606634018</v>
      </c>
      <c r="R181" t="s">
        <v>68</v>
      </c>
    </row>
    <row r="182" spans="1:18" x14ac:dyDescent="0.25">
      <c r="A182" s="7">
        <v>181</v>
      </c>
      <c r="B182" s="7">
        <v>1.1855430903858866</v>
      </c>
      <c r="C182" s="7">
        <v>290.83330787069048</v>
      </c>
      <c r="D182" s="7">
        <v>36.337167574642734</v>
      </c>
      <c r="E182" s="7">
        <v>9.477869262714439E-2</v>
      </c>
      <c r="F182" s="7">
        <v>100000</v>
      </c>
      <c r="G182" s="7">
        <v>3.8166301013768478</v>
      </c>
      <c r="H182" s="7">
        <v>0.48544890116532075</v>
      </c>
      <c r="I182" s="7">
        <v>798.89344376890438</v>
      </c>
      <c r="J182" s="7">
        <v>326.36230272058555</v>
      </c>
      <c r="K182" s="7">
        <v>4.7129277711943432E-2</v>
      </c>
      <c r="L182" s="7">
        <v>159980.63956631042</v>
      </c>
      <c r="M182" s="7">
        <v>0.10535262812288687</v>
      </c>
      <c r="N182" s="7">
        <v>0.51866113847183071</v>
      </c>
      <c r="O182" s="7">
        <v>228.04052979683524</v>
      </c>
      <c r="P182" s="7">
        <v>1464.7054586103245</v>
      </c>
      <c r="Q182">
        <v>1458.4479230496145</v>
      </c>
      <c r="R182" t="s">
        <v>68</v>
      </c>
    </row>
    <row r="183" spans="1:18" x14ac:dyDescent="0.25">
      <c r="A183" s="7">
        <v>182</v>
      </c>
      <c r="B183" s="7">
        <v>1.185527651616519</v>
      </c>
      <c r="C183" s="7">
        <v>290.8423638579589</v>
      </c>
      <c r="D183" s="7">
        <v>36.253696102501245</v>
      </c>
      <c r="E183" s="7">
        <v>9.489999119659967E-2</v>
      </c>
      <c r="F183" s="7">
        <v>100000</v>
      </c>
      <c r="G183" s="7">
        <v>3.8335694885519551</v>
      </c>
      <c r="H183" s="7">
        <v>0.48539980212924227</v>
      </c>
      <c r="I183" s="7">
        <v>798.60374307162385</v>
      </c>
      <c r="J183" s="7">
        <v>324.79294793503038</v>
      </c>
      <c r="K183" s="7">
        <v>4.7155866686932661E-2</v>
      </c>
      <c r="L183" s="7">
        <v>159830.212136596</v>
      </c>
      <c r="M183" s="7">
        <v>0.10533479211382102</v>
      </c>
      <c r="N183" s="7">
        <v>0.51864449590878037</v>
      </c>
      <c r="O183" s="7">
        <v>228.05608333365205</v>
      </c>
      <c r="P183" s="7">
        <v>1461.9833722275334</v>
      </c>
      <c r="Q183">
        <v>1452.9329183644659</v>
      </c>
      <c r="R183" t="s">
        <v>68</v>
      </c>
    </row>
    <row r="184" spans="1:18" x14ac:dyDescent="0.25">
      <c r="A184" s="7">
        <v>183</v>
      </c>
      <c r="B184" s="7">
        <v>1.1855462437829478</v>
      </c>
      <c r="C184" s="7">
        <v>290.84358909821503</v>
      </c>
      <c r="D184" s="7">
        <v>36.317225201391082</v>
      </c>
      <c r="E184" s="7">
        <v>9.4830736441289393E-2</v>
      </c>
      <c r="F184" s="7">
        <v>100000</v>
      </c>
      <c r="G184" s="7">
        <v>3.8236597267312589</v>
      </c>
      <c r="H184" s="7">
        <v>0.48538005767588699</v>
      </c>
      <c r="I184" s="7">
        <v>798.75706163049756</v>
      </c>
      <c r="J184" s="7">
        <v>325.85668435191894</v>
      </c>
      <c r="K184" s="7">
        <v>4.7172397847941333E-2</v>
      </c>
      <c r="L184" s="7">
        <v>159975.61587233644</v>
      </c>
      <c r="M184" s="7">
        <v>0.10525585855491822</v>
      </c>
      <c r="N184" s="7">
        <v>0.51864280170264876</v>
      </c>
      <c r="O184" s="7">
        <v>228.05315438118151</v>
      </c>
      <c r="P184" s="7">
        <v>1462.6975397247982</v>
      </c>
      <c r="Q184">
        <v>1456.6340089488585</v>
      </c>
      <c r="R184" t="s">
        <v>68</v>
      </c>
    </row>
    <row r="185" spans="1:18" x14ac:dyDescent="0.25">
      <c r="A185" s="7">
        <v>184</v>
      </c>
      <c r="B185" s="7">
        <v>1.1855370762209145</v>
      </c>
      <c r="C185" s="7">
        <v>290.85785114285443</v>
      </c>
      <c r="D185" s="7">
        <v>36.306607441614062</v>
      </c>
      <c r="E185" s="7">
        <v>9.4909093688068352E-2</v>
      </c>
      <c r="F185" s="7">
        <v>100000</v>
      </c>
      <c r="G185" s="7">
        <v>3.8151806986807735</v>
      </c>
      <c r="H185" s="7">
        <v>0.48550969605130356</v>
      </c>
      <c r="I185" s="7">
        <v>798.99957124064497</v>
      </c>
      <c r="J185" s="7">
        <v>326.15658992471299</v>
      </c>
      <c r="K185" s="7">
        <v>4.7181389544238422E-2</v>
      </c>
      <c r="L185" s="7">
        <v>159843.08569403051</v>
      </c>
      <c r="M185" s="7">
        <v>0.10535069948128101</v>
      </c>
      <c r="N185" s="7">
        <v>0.51866783770991476</v>
      </c>
      <c r="O185" s="7">
        <v>228.06018476081894</v>
      </c>
      <c r="P185" s="7">
        <v>1462.178219619954</v>
      </c>
      <c r="Q185">
        <v>1455.3293107564605</v>
      </c>
      <c r="R185" t="s">
        <v>68</v>
      </c>
    </row>
    <row r="186" spans="1:18" x14ac:dyDescent="0.25">
      <c r="A186" s="7">
        <v>185</v>
      </c>
      <c r="B186" s="7">
        <v>1.1855340393804226</v>
      </c>
      <c r="C186" s="7">
        <v>290.86045028721043</v>
      </c>
      <c r="D186" s="7">
        <v>36.323905331945369</v>
      </c>
      <c r="E186" s="7">
        <v>9.4838899799754614E-2</v>
      </c>
      <c r="F186" s="7">
        <v>100000</v>
      </c>
      <c r="G186" s="7">
        <v>3.8210426928784527</v>
      </c>
      <c r="H186" s="7">
        <v>0.48557080243207718</v>
      </c>
      <c r="I186" s="7">
        <v>798.83094967418435</v>
      </c>
      <c r="J186" s="7">
        <v>325.33604631384554</v>
      </c>
      <c r="K186" s="7">
        <v>4.693316703569847E-2</v>
      </c>
      <c r="L186" s="7">
        <v>159780.42195232573</v>
      </c>
      <c r="M186" s="7">
        <v>0.10522398147111194</v>
      </c>
      <c r="N186" s="7">
        <v>0.51862475821096843</v>
      </c>
      <c r="O186" s="7">
        <v>228.06560085355804</v>
      </c>
      <c r="P186" s="7">
        <v>1463.7282250955186</v>
      </c>
      <c r="Q186">
        <v>1452.7411378158067</v>
      </c>
      <c r="R186" t="s">
        <v>68</v>
      </c>
    </row>
    <row r="187" spans="1:18" x14ac:dyDescent="0.25">
      <c r="A187" s="7">
        <v>186</v>
      </c>
      <c r="B187" s="7">
        <v>1.1855357590716122</v>
      </c>
      <c r="C187" s="7">
        <v>290.82236462039532</v>
      </c>
      <c r="D187" s="7">
        <v>36.308768875127619</v>
      </c>
      <c r="E187" s="7">
        <v>9.4812556834480352E-2</v>
      </c>
      <c r="F187" s="7">
        <v>100000</v>
      </c>
      <c r="G187" s="7">
        <v>3.8196645393936102</v>
      </c>
      <c r="H187" s="7">
        <v>0.48550759539990823</v>
      </c>
      <c r="I187" s="7">
        <v>798.82280465678184</v>
      </c>
      <c r="J187" s="7">
        <v>325.03409795656722</v>
      </c>
      <c r="K187" s="7">
        <v>4.7200245883336836E-2</v>
      </c>
      <c r="L187" s="7">
        <v>159982.59899706929</v>
      </c>
      <c r="M187" s="7">
        <v>0.10519452067982463</v>
      </c>
      <c r="N187" s="7">
        <v>0.51868972776766853</v>
      </c>
      <c r="O187" s="7">
        <v>228.05103797549071</v>
      </c>
      <c r="P187" s="7">
        <v>1464.8160045113943</v>
      </c>
      <c r="Q187">
        <v>1455.1692122873428</v>
      </c>
      <c r="R187" t="s">
        <v>68</v>
      </c>
    </row>
    <row r="188" spans="1:18" x14ac:dyDescent="0.25">
      <c r="A188" s="7">
        <v>187</v>
      </c>
      <c r="B188" s="7">
        <v>1.1855267721164173</v>
      </c>
      <c r="C188" s="7">
        <v>290.8223932448916</v>
      </c>
      <c r="D188" s="7">
        <v>36.357756333742834</v>
      </c>
      <c r="E188" s="7">
        <v>9.4903381925545496E-2</v>
      </c>
      <c r="F188" s="7">
        <v>100000</v>
      </c>
      <c r="G188" s="7">
        <v>3.8259097851847002</v>
      </c>
      <c r="H188" s="7">
        <v>0.48555278282689052</v>
      </c>
      <c r="I188" s="7">
        <v>799.04101292217365</v>
      </c>
      <c r="J188" s="7">
        <v>325.7444403362577</v>
      </c>
      <c r="K188" s="7">
        <v>4.7063447309727321E-2</v>
      </c>
      <c r="L188" s="7">
        <v>159899.69049008089</v>
      </c>
      <c r="M188" s="7">
        <v>0.10525530711161145</v>
      </c>
      <c r="N188" s="7">
        <v>0.5186397332032493</v>
      </c>
      <c r="O188" s="7">
        <v>228.06500122116216</v>
      </c>
      <c r="P188" s="7">
        <v>1463.5713249143855</v>
      </c>
      <c r="Q188">
        <v>1457.3693573279816</v>
      </c>
      <c r="R188" t="s">
        <v>68</v>
      </c>
    </row>
    <row r="189" spans="1:18" x14ac:dyDescent="0.25">
      <c r="A189" s="7">
        <v>188</v>
      </c>
      <c r="B189" s="7">
        <v>1.1855315625133709</v>
      </c>
      <c r="C189" s="7">
        <v>290.8434337827033</v>
      </c>
      <c r="D189" s="7">
        <v>36.312249221644556</v>
      </c>
      <c r="E189" s="7">
        <v>9.4840626546009416E-2</v>
      </c>
      <c r="F189" s="7">
        <v>100000</v>
      </c>
      <c r="G189" s="7">
        <v>3.812012211237835</v>
      </c>
      <c r="H189" s="7">
        <v>0.48547810068260272</v>
      </c>
      <c r="I189" s="7">
        <v>798.63708251033586</v>
      </c>
      <c r="J189" s="7">
        <v>325.77074312077764</v>
      </c>
      <c r="K189" s="7">
        <v>4.7166370995231799E-2</v>
      </c>
      <c r="L189" s="7">
        <v>159865.68716636978</v>
      </c>
      <c r="M189" s="7">
        <v>0.1053094557990594</v>
      </c>
      <c r="N189" s="7">
        <v>0.51863797866575245</v>
      </c>
      <c r="O189" s="7">
        <v>228.05548400751425</v>
      </c>
      <c r="P189" s="7">
        <v>1462.3766831418541</v>
      </c>
      <c r="Q189">
        <v>1454.8624719793952</v>
      </c>
      <c r="R189" t="s">
        <v>68</v>
      </c>
    </row>
    <row r="190" spans="1:18" x14ac:dyDescent="0.25">
      <c r="A190" s="7">
        <v>189</v>
      </c>
      <c r="B190" s="7">
        <v>1.1855364012423881</v>
      </c>
      <c r="C190" s="7">
        <v>290.83157062314461</v>
      </c>
      <c r="D190" s="7">
        <v>36.27868611128045</v>
      </c>
      <c r="E190" s="7">
        <v>9.4784568024957841E-2</v>
      </c>
      <c r="F190" s="7">
        <v>100000</v>
      </c>
      <c r="G190" s="7">
        <v>3.8309875393243145</v>
      </c>
      <c r="H190" s="7">
        <v>0.4854550450503361</v>
      </c>
      <c r="I190" s="7">
        <v>798.95184435991735</v>
      </c>
      <c r="J190" s="7">
        <v>326.20262179474412</v>
      </c>
      <c r="K190" s="7">
        <v>4.7058172094240534E-2</v>
      </c>
      <c r="L190" s="7">
        <v>159763.16201671405</v>
      </c>
      <c r="M190" s="7">
        <v>0.10533843624090314</v>
      </c>
      <c r="N190" s="7">
        <v>0.51867895335454006</v>
      </c>
      <c r="O190" s="7">
        <v>228.04071696472346</v>
      </c>
      <c r="P190" s="7">
        <v>1462.0878890487279</v>
      </c>
      <c r="Q190">
        <v>1457.3555434808877</v>
      </c>
      <c r="R190" t="s">
        <v>68</v>
      </c>
    </row>
    <row r="191" spans="1:18" x14ac:dyDescent="0.25">
      <c r="A191" s="7">
        <v>190</v>
      </c>
      <c r="B191" s="7">
        <v>1.185541439209358</v>
      </c>
      <c r="C191" s="7">
        <v>290.83688007748765</v>
      </c>
      <c r="D191" s="7">
        <v>36.30924560413758</v>
      </c>
      <c r="E191" s="7">
        <v>9.4858519111334458E-2</v>
      </c>
      <c r="F191" s="7">
        <v>100000</v>
      </c>
      <c r="G191" s="7">
        <v>3.824753647741812</v>
      </c>
      <c r="H191" s="7">
        <v>0.4855701439163681</v>
      </c>
      <c r="I191" s="7">
        <v>798.99636385462441</v>
      </c>
      <c r="J191" s="7">
        <v>325.62016216986814</v>
      </c>
      <c r="K191" s="7">
        <v>4.7170950366279163E-2</v>
      </c>
      <c r="L191" s="7">
        <v>159978.33539540929</v>
      </c>
      <c r="M191" s="7">
        <v>0.105251749574636</v>
      </c>
      <c r="N191" s="7">
        <v>0.51865553395734454</v>
      </c>
      <c r="O191" s="7">
        <v>228.05837432489869</v>
      </c>
      <c r="P191" s="7">
        <v>1464.0801232182775</v>
      </c>
      <c r="Q191">
        <v>1456.4062511508164</v>
      </c>
      <c r="R191" t="s">
        <v>68</v>
      </c>
    </row>
    <row r="192" spans="1:18" x14ac:dyDescent="0.25">
      <c r="A192" s="7">
        <v>191</v>
      </c>
      <c r="B192" s="7">
        <v>1.185530613655166</v>
      </c>
      <c r="C192" s="7">
        <v>290.84769646264726</v>
      </c>
      <c r="D192" s="7">
        <v>36.260795737334789</v>
      </c>
      <c r="E192" s="7">
        <v>9.4824200914983531E-2</v>
      </c>
      <c r="F192" s="7">
        <v>100000</v>
      </c>
      <c r="G192" s="7">
        <v>3.8208517470930361</v>
      </c>
      <c r="H192" s="7">
        <v>0.48553326533389546</v>
      </c>
      <c r="I192" s="7">
        <v>798.8625399000673</v>
      </c>
      <c r="J192" s="7">
        <v>325.73694877082062</v>
      </c>
      <c r="K192" s="7">
        <v>4.7006866358650166E-2</v>
      </c>
      <c r="L192" s="7">
        <v>159851.1440328584</v>
      </c>
      <c r="M192" s="7">
        <v>0.10529538459329986</v>
      </c>
      <c r="N192" s="7">
        <v>0.51863297626068472</v>
      </c>
      <c r="O192" s="7">
        <v>228.06104378017903</v>
      </c>
      <c r="P192" s="7">
        <v>1464.5559745076152</v>
      </c>
      <c r="Q192">
        <v>1454.813692935677</v>
      </c>
      <c r="R192" t="s">
        <v>68</v>
      </c>
    </row>
    <row r="193" spans="1:18" x14ac:dyDescent="0.25">
      <c r="A193" s="7">
        <v>192</v>
      </c>
      <c r="B193" s="7">
        <v>1.1855368430064461</v>
      </c>
      <c r="C193" s="7">
        <v>290.8299984978064</v>
      </c>
      <c r="D193" s="7">
        <v>36.338672809999451</v>
      </c>
      <c r="E193" s="7">
        <v>9.4816938314075505E-2</v>
      </c>
      <c r="F193" s="7">
        <v>100000</v>
      </c>
      <c r="G193" s="7">
        <v>3.8277377302804259</v>
      </c>
      <c r="H193" s="7">
        <v>0.48538270045408366</v>
      </c>
      <c r="I193" s="7">
        <v>798.94465140746831</v>
      </c>
      <c r="J193" s="7">
        <v>326.08503123083949</v>
      </c>
      <c r="K193" s="7">
        <v>4.6981666779562344E-2</v>
      </c>
      <c r="L193" s="7">
        <v>159944.91659484169</v>
      </c>
      <c r="M193" s="7">
        <v>0.10530752476530983</v>
      </c>
      <c r="N193" s="7">
        <v>0.5186345428806457</v>
      </c>
      <c r="O193" s="7">
        <v>228.04724784293711</v>
      </c>
      <c r="P193" s="7">
        <v>1463.3786703494513</v>
      </c>
      <c r="Q193">
        <v>1458.31289029045</v>
      </c>
      <c r="R193" t="s">
        <v>68</v>
      </c>
    </row>
    <row r="194" spans="1:18" x14ac:dyDescent="0.25">
      <c r="A194" s="7">
        <v>193</v>
      </c>
      <c r="B194" s="7">
        <v>1.185541653314061</v>
      </c>
      <c r="C194" s="7">
        <v>290.85221025118477</v>
      </c>
      <c r="D194" s="7">
        <v>36.266770193267789</v>
      </c>
      <c r="E194" s="7">
        <v>9.4856297075130547E-2</v>
      </c>
      <c r="F194" s="7">
        <v>100000</v>
      </c>
      <c r="G194" s="7">
        <v>3.8231692603916918</v>
      </c>
      <c r="H194" s="7">
        <v>0.48549877557373156</v>
      </c>
      <c r="I194" s="7">
        <v>799.02477537251741</v>
      </c>
      <c r="J194" s="7">
        <v>325.8441277910203</v>
      </c>
      <c r="K194" s="7">
        <v>4.6971629941310336E-2</v>
      </c>
      <c r="L194" s="7">
        <v>159881.53579759167</v>
      </c>
      <c r="M194" s="7">
        <v>0.10526805796454469</v>
      </c>
      <c r="N194" s="7">
        <v>0.51864229333893064</v>
      </c>
      <c r="O194" s="7">
        <v>228.06554420329925</v>
      </c>
      <c r="P194" s="7">
        <v>1462.8998149393815</v>
      </c>
      <c r="Q194">
        <v>1455.2912784603468</v>
      </c>
      <c r="R194" t="s">
        <v>68</v>
      </c>
    </row>
    <row r="195" spans="1:18" x14ac:dyDescent="0.25">
      <c r="A195" s="7">
        <v>194</v>
      </c>
      <c r="B195" s="7">
        <v>1.185530178556552</v>
      </c>
      <c r="C195" s="7">
        <v>290.8356224717536</v>
      </c>
      <c r="D195" s="7">
        <v>36.304425517705432</v>
      </c>
      <c r="E195" s="7">
        <v>9.4906743840575417E-2</v>
      </c>
      <c r="F195" s="7">
        <v>100000</v>
      </c>
      <c r="G195" s="7">
        <v>3.8266653877300407</v>
      </c>
      <c r="H195" s="7">
        <v>0.4854079849950822</v>
      </c>
      <c r="I195" s="7">
        <v>798.71215298440404</v>
      </c>
      <c r="J195" s="7">
        <v>325.44735165654959</v>
      </c>
      <c r="K195" s="7">
        <v>4.7018707617400124E-2</v>
      </c>
      <c r="L195" s="7">
        <v>159813.33621618274</v>
      </c>
      <c r="M195" s="7">
        <v>0.10529908254883123</v>
      </c>
      <c r="N195" s="7">
        <v>0.51867250581381974</v>
      </c>
      <c r="O195" s="7">
        <v>228.04822336709034</v>
      </c>
      <c r="P195" s="7">
        <v>1462.1976620921046</v>
      </c>
      <c r="Q195">
        <v>1454.9766388825883</v>
      </c>
      <c r="R195" t="s">
        <v>68</v>
      </c>
    </row>
    <row r="196" spans="1:18" x14ac:dyDescent="0.25">
      <c r="A196" s="7">
        <v>195</v>
      </c>
      <c r="B196" s="7">
        <v>1.1855280220599662</v>
      </c>
      <c r="C196" s="7">
        <v>290.85978957697546</v>
      </c>
      <c r="D196" s="7">
        <v>36.263303271798833</v>
      </c>
      <c r="E196" s="7">
        <v>9.4790752825016145E-2</v>
      </c>
      <c r="F196" s="7">
        <v>100000</v>
      </c>
      <c r="G196" s="7">
        <v>3.8245170731533991</v>
      </c>
      <c r="H196" s="7">
        <v>0.48553487008320423</v>
      </c>
      <c r="I196" s="7">
        <v>798.87757027196096</v>
      </c>
      <c r="J196" s="7">
        <v>325.77954450435675</v>
      </c>
      <c r="K196" s="7">
        <v>4.7032217386258457E-2</v>
      </c>
      <c r="L196" s="7">
        <v>159906.44662903104</v>
      </c>
      <c r="M196" s="7">
        <v>0.1052247985361741</v>
      </c>
      <c r="N196" s="7">
        <v>0.51867462846993273</v>
      </c>
      <c r="O196" s="7">
        <v>228.04430098583552</v>
      </c>
      <c r="P196" s="7">
        <v>1463.3765426961943</v>
      </c>
      <c r="Q196">
        <v>1454.9214511178943</v>
      </c>
      <c r="R196" t="s">
        <v>68</v>
      </c>
    </row>
    <row r="197" spans="1:18" x14ac:dyDescent="0.25">
      <c r="A197" s="7">
        <v>196</v>
      </c>
      <c r="B197" s="7">
        <v>1.1855389420750111</v>
      </c>
      <c r="C197" s="7">
        <v>290.85657987775801</v>
      </c>
      <c r="D197" s="7">
        <v>36.326044361371231</v>
      </c>
      <c r="E197" s="7">
        <v>9.4844848465072615E-2</v>
      </c>
      <c r="F197" s="7">
        <v>100000</v>
      </c>
      <c r="G197" s="7">
        <v>3.8253891622051226</v>
      </c>
      <c r="H197" s="7">
        <v>0.48539281631064363</v>
      </c>
      <c r="I197" s="7">
        <v>798.97643404003077</v>
      </c>
      <c r="J197" s="7">
        <v>325.44356592366836</v>
      </c>
      <c r="K197" s="7">
        <v>4.6974062781676366E-2</v>
      </c>
      <c r="L197" s="7">
        <v>159852.79453709675</v>
      </c>
      <c r="M197" s="7">
        <v>0.10524044620971597</v>
      </c>
      <c r="N197" s="7">
        <v>0.51867954041306741</v>
      </c>
      <c r="O197" s="7">
        <v>228.05855095173357</v>
      </c>
      <c r="P197" s="7">
        <v>1462.8887834068184</v>
      </c>
      <c r="Q197">
        <v>1454.1211467299654</v>
      </c>
      <c r="R197" t="s">
        <v>68</v>
      </c>
    </row>
    <row r="198" spans="1:18" x14ac:dyDescent="0.25">
      <c r="A198" s="7">
        <v>197</v>
      </c>
      <c r="B198" s="7">
        <v>1.1855359752707084</v>
      </c>
      <c r="C198" s="7">
        <v>290.82777061698579</v>
      </c>
      <c r="D198" s="7">
        <v>36.267951514979138</v>
      </c>
      <c r="E198" s="7">
        <v>9.4833266030974417E-2</v>
      </c>
      <c r="F198" s="7">
        <v>100000</v>
      </c>
      <c r="G198" s="7">
        <v>3.8227111018059432</v>
      </c>
      <c r="H198" s="7">
        <v>0.48553512510576396</v>
      </c>
      <c r="I198" s="7">
        <v>798.8414641868543</v>
      </c>
      <c r="J198" s="7">
        <v>325.46233691381889</v>
      </c>
      <c r="K198" s="7">
        <v>4.7092848555264868E-2</v>
      </c>
      <c r="L198" s="7">
        <v>159973.07687503248</v>
      </c>
      <c r="M198" s="7">
        <v>0.10523511994257242</v>
      </c>
      <c r="N198" s="7">
        <v>0.51863801538859677</v>
      </c>
      <c r="O198" s="7">
        <v>228.06437329232745</v>
      </c>
      <c r="P198" s="7">
        <v>1462.9247822282459</v>
      </c>
      <c r="Q198">
        <v>1456.0287789877548</v>
      </c>
      <c r="R198" t="s">
        <v>68</v>
      </c>
    </row>
    <row r="199" spans="1:18" x14ac:dyDescent="0.25">
      <c r="A199" s="7">
        <v>198</v>
      </c>
      <c r="B199" s="7">
        <v>1.1855348427532535</v>
      </c>
      <c r="C199" s="7">
        <v>290.85372816814163</v>
      </c>
      <c r="D199" s="7">
        <v>36.284634938787356</v>
      </c>
      <c r="E199" s="7">
        <v>9.4889744282799934E-2</v>
      </c>
      <c r="F199" s="7">
        <v>100000</v>
      </c>
      <c r="G199" s="7">
        <v>3.8132631906695105</v>
      </c>
      <c r="H199" s="7">
        <v>0.48551651045142585</v>
      </c>
      <c r="I199" s="7">
        <v>798.93213271889306</v>
      </c>
      <c r="J199" s="7">
        <v>326.18716718837067</v>
      </c>
      <c r="K199" s="7">
        <v>4.7051107718988468E-2</v>
      </c>
      <c r="L199" s="7">
        <v>159926.88492315152</v>
      </c>
      <c r="M199" s="7">
        <v>0.10530663026996603</v>
      </c>
      <c r="N199" s="7">
        <v>0.51866748489745795</v>
      </c>
      <c r="O199" s="7">
        <v>228.0528821047798</v>
      </c>
      <c r="P199" s="7">
        <v>1462.5243054464249</v>
      </c>
      <c r="Q199">
        <v>1455.9627184202473</v>
      </c>
      <c r="R199" t="s">
        <v>68</v>
      </c>
    </row>
    <row r="200" spans="1:18" x14ac:dyDescent="0.25">
      <c r="A200" s="7">
        <v>199</v>
      </c>
      <c r="B200" s="7">
        <v>1.1855363470968634</v>
      </c>
      <c r="C200" s="7">
        <v>290.83087229934898</v>
      </c>
      <c r="D200" s="7">
        <v>36.331071013451428</v>
      </c>
      <c r="E200" s="7">
        <v>9.489277627416863E-2</v>
      </c>
      <c r="F200" s="7">
        <v>100000</v>
      </c>
      <c r="G200" s="7">
        <v>3.8275206195466733</v>
      </c>
      <c r="H200" s="7">
        <v>0.48549675486492355</v>
      </c>
      <c r="I200" s="7">
        <v>798.75988858995606</v>
      </c>
      <c r="J200" s="7">
        <v>325.6568669807761</v>
      </c>
      <c r="K200" s="7">
        <v>4.7020590083288683E-2</v>
      </c>
      <c r="L200" s="7">
        <v>159882.53950237707</v>
      </c>
      <c r="M200" s="7">
        <v>0.10530738885673678</v>
      </c>
      <c r="N200" s="7">
        <v>0.5186399566189227</v>
      </c>
      <c r="O200" s="7">
        <v>228.05006714382603</v>
      </c>
      <c r="P200" s="7">
        <v>1463.3031006858707</v>
      </c>
      <c r="Q200">
        <v>1456.4753524880434</v>
      </c>
      <c r="R200" t="s">
        <v>68</v>
      </c>
    </row>
    <row r="201" spans="1:18" x14ac:dyDescent="0.25">
      <c r="A201" s="7">
        <v>200</v>
      </c>
      <c r="B201" s="7">
        <v>1.1855284146102589</v>
      </c>
      <c r="C201" s="7">
        <v>290.84660696934725</v>
      </c>
      <c r="D201" s="7">
        <v>36.265348916981054</v>
      </c>
      <c r="E201" s="7">
        <v>9.4811269035728854E-2</v>
      </c>
      <c r="F201" s="7">
        <v>100000</v>
      </c>
      <c r="G201" s="7">
        <v>3.8268187458457228</v>
      </c>
      <c r="H201" s="7">
        <v>0.48547708230736902</v>
      </c>
      <c r="I201" s="7">
        <v>798.92464600987103</v>
      </c>
      <c r="J201" s="7">
        <v>326.11960812649733</v>
      </c>
      <c r="K201" s="7">
        <v>4.7085717487389121E-2</v>
      </c>
      <c r="L201" s="7">
        <v>159851.89741414238</v>
      </c>
      <c r="M201" s="7">
        <v>0.10522938080791684</v>
      </c>
      <c r="N201" s="7">
        <v>0.51863741223608928</v>
      </c>
      <c r="O201" s="7">
        <v>228.04827128455418</v>
      </c>
      <c r="P201" s="7">
        <v>1463.0187069929755</v>
      </c>
      <c r="Q201">
        <v>1456.4719065985919</v>
      </c>
      <c r="R201" t="s">
        <v>68</v>
      </c>
    </row>
    <row r="203" spans="1:18" x14ac:dyDescent="0.25">
      <c r="A203" t="s">
        <v>45</v>
      </c>
    </row>
    <row r="204" spans="1:18" x14ac:dyDescent="0.25">
      <c r="A204">
        <f t="array" ref="A204:A403">AVERAGE('Coeficiente de Acerto'!$P$2:$P$201)</f>
        <v>1536.5189609946733</v>
      </c>
    </row>
    <row r="205" spans="1:18" x14ac:dyDescent="0.25">
      <c r="A205">
        <v>1536.5189609946733</v>
      </c>
    </row>
    <row r="206" spans="1:18" x14ac:dyDescent="0.25">
      <c r="A206">
        <v>1536.5189609946733</v>
      </c>
    </row>
    <row r="207" spans="1:18" x14ac:dyDescent="0.25">
      <c r="A207">
        <v>1536.5189609946733</v>
      </c>
    </row>
    <row r="208" spans="1:18" x14ac:dyDescent="0.25">
      <c r="A208">
        <v>1536.5189609946733</v>
      </c>
    </row>
    <row r="209" spans="1:1" x14ac:dyDescent="0.25">
      <c r="A209">
        <v>1536.5189609946733</v>
      </c>
    </row>
    <row r="210" spans="1:1" x14ac:dyDescent="0.25">
      <c r="A210">
        <v>1536.5189609946733</v>
      </c>
    </row>
    <row r="211" spans="1:1" x14ac:dyDescent="0.25">
      <c r="A211">
        <v>1536.5189609946733</v>
      </c>
    </row>
    <row r="212" spans="1:1" x14ac:dyDescent="0.25">
      <c r="A212">
        <v>1536.5189609946733</v>
      </c>
    </row>
    <row r="213" spans="1:1" x14ac:dyDescent="0.25">
      <c r="A213">
        <v>1536.5189609946733</v>
      </c>
    </row>
    <row r="214" spans="1:1" x14ac:dyDescent="0.25">
      <c r="A214">
        <v>1536.5189609946733</v>
      </c>
    </row>
    <row r="215" spans="1:1" x14ac:dyDescent="0.25">
      <c r="A215">
        <v>1536.5189609946733</v>
      </c>
    </row>
    <row r="216" spans="1:1" x14ac:dyDescent="0.25">
      <c r="A216">
        <v>1536.5189609946733</v>
      </c>
    </row>
    <row r="217" spans="1:1" x14ac:dyDescent="0.25">
      <c r="A217">
        <v>1536.5189609946733</v>
      </c>
    </row>
    <row r="218" spans="1:1" x14ac:dyDescent="0.25">
      <c r="A218">
        <v>1536.5189609946733</v>
      </c>
    </row>
    <row r="219" spans="1:1" x14ac:dyDescent="0.25">
      <c r="A219">
        <v>1536.5189609946733</v>
      </c>
    </row>
    <row r="220" spans="1:1" x14ac:dyDescent="0.25">
      <c r="A220">
        <v>1536.5189609946733</v>
      </c>
    </row>
    <row r="221" spans="1:1" x14ac:dyDescent="0.25">
      <c r="A221">
        <v>1536.5189609946733</v>
      </c>
    </row>
    <row r="222" spans="1:1" x14ac:dyDescent="0.25">
      <c r="A222">
        <v>1536.5189609946733</v>
      </c>
    </row>
    <row r="223" spans="1:1" x14ac:dyDescent="0.25">
      <c r="A223">
        <v>1536.5189609946733</v>
      </c>
    </row>
    <row r="224" spans="1:1" x14ac:dyDescent="0.25">
      <c r="A224">
        <v>1536.5189609946733</v>
      </c>
    </row>
    <row r="225" spans="1:1" x14ac:dyDescent="0.25">
      <c r="A225">
        <v>1536.5189609946733</v>
      </c>
    </row>
    <row r="226" spans="1:1" x14ac:dyDescent="0.25">
      <c r="A226">
        <v>1536.5189609946733</v>
      </c>
    </row>
    <row r="227" spans="1:1" x14ac:dyDescent="0.25">
      <c r="A227">
        <v>1536.5189609946733</v>
      </c>
    </row>
    <row r="228" spans="1:1" x14ac:dyDescent="0.25">
      <c r="A228">
        <v>1536.5189609946733</v>
      </c>
    </row>
    <row r="229" spans="1:1" x14ac:dyDescent="0.25">
      <c r="A229">
        <v>1536.5189609946733</v>
      </c>
    </row>
    <row r="230" spans="1:1" x14ac:dyDescent="0.25">
      <c r="A230">
        <v>1536.5189609946733</v>
      </c>
    </row>
    <row r="231" spans="1:1" x14ac:dyDescent="0.25">
      <c r="A231">
        <v>1536.5189609946733</v>
      </c>
    </row>
    <row r="232" spans="1:1" x14ac:dyDescent="0.25">
      <c r="A232">
        <v>1536.5189609946733</v>
      </c>
    </row>
    <row r="233" spans="1:1" x14ac:dyDescent="0.25">
      <c r="A233">
        <v>1536.5189609946733</v>
      </c>
    </row>
    <row r="234" spans="1:1" x14ac:dyDescent="0.25">
      <c r="A234">
        <v>1536.5189609946733</v>
      </c>
    </row>
    <row r="235" spans="1:1" x14ac:dyDescent="0.25">
      <c r="A235">
        <v>1536.5189609946733</v>
      </c>
    </row>
    <row r="236" spans="1:1" x14ac:dyDescent="0.25">
      <c r="A236">
        <v>1536.5189609946733</v>
      </c>
    </row>
    <row r="237" spans="1:1" x14ac:dyDescent="0.25">
      <c r="A237">
        <v>1536.5189609946733</v>
      </c>
    </row>
    <row r="238" spans="1:1" x14ac:dyDescent="0.25">
      <c r="A238">
        <v>1536.5189609946733</v>
      </c>
    </row>
    <row r="239" spans="1:1" x14ac:dyDescent="0.25">
      <c r="A239">
        <v>1536.5189609946733</v>
      </c>
    </row>
    <row r="240" spans="1:1" x14ac:dyDescent="0.25">
      <c r="A240">
        <v>1536.5189609946733</v>
      </c>
    </row>
    <row r="241" spans="1:1" x14ac:dyDescent="0.25">
      <c r="A241">
        <v>1536.5189609946733</v>
      </c>
    </row>
    <row r="242" spans="1:1" x14ac:dyDescent="0.25">
      <c r="A242">
        <v>1536.5189609946733</v>
      </c>
    </row>
    <row r="243" spans="1:1" x14ac:dyDescent="0.25">
      <c r="A243">
        <v>1536.5189609946733</v>
      </c>
    </row>
    <row r="244" spans="1:1" x14ac:dyDescent="0.25">
      <c r="A244">
        <v>1536.5189609946733</v>
      </c>
    </row>
    <row r="245" spans="1:1" x14ac:dyDescent="0.25">
      <c r="A245">
        <v>1536.5189609946733</v>
      </c>
    </row>
    <row r="246" spans="1:1" x14ac:dyDescent="0.25">
      <c r="A246">
        <v>1536.5189609946733</v>
      </c>
    </row>
    <row r="247" spans="1:1" x14ac:dyDescent="0.25">
      <c r="A247">
        <v>1536.5189609946733</v>
      </c>
    </row>
    <row r="248" spans="1:1" x14ac:dyDescent="0.25">
      <c r="A248">
        <v>1536.5189609946733</v>
      </c>
    </row>
    <row r="249" spans="1:1" x14ac:dyDescent="0.25">
      <c r="A249">
        <v>1536.5189609946733</v>
      </c>
    </row>
    <row r="250" spans="1:1" x14ac:dyDescent="0.25">
      <c r="A250">
        <v>1536.5189609946733</v>
      </c>
    </row>
    <row r="251" spans="1:1" x14ac:dyDescent="0.25">
      <c r="A251">
        <v>1536.5189609946733</v>
      </c>
    </row>
    <row r="252" spans="1:1" x14ac:dyDescent="0.25">
      <c r="A252">
        <v>1536.5189609946733</v>
      </c>
    </row>
    <row r="253" spans="1:1" x14ac:dyDescent="0.25">
      <c r="A253">
        <v>1536.5189609946733</v>
      </c>
    </row>
    <row r="254" spans="1:1" x14ac:dyDescent="0.25">
      <c r="A254">
        <v>1536.5189609946733</v>
      </c>
    </row>
    <row r="255" spans="1:1" x14ac:dyDescent="0.25">
      <c r="A255">
        <v>1536.5189609946733</v>
      </c>
    </row>
    <row r="256" spans="1:1" x14ac:dyDescent="0.25">
      <c r="A256">
        <v>1536.5189609946733</v>
      </c>
    </row>
    <row r="257" spans="1:1" x14ac:dyDescent="0.25">
      <c r="A257">
        <v>1536.5189609946733</v>
      </c>
    </row>
    <row r="258" spans="1:1" x14ac:dyDescent="0.25">
      <c r="A258">
        <v>1536.5189609946733</v>
      </c>
    </row>
    <row r="259" spans="1:1" x14ac:dyDescent="0.25">
      <c r="A259">
        <v>1536.5189609946733</v>
      </c>
    </row>
    <row r="260" spans="1:1" x14ac:dyDescent="0.25">
      <c r="A260">
        <v>1536.5189609946733</v>
      </c>
    </row>
    <row r="261" spans="1:1" x14ac:dyDescent="0.25">
      <c r="A261">
        <v>1536.5189609946733</v>
      </c>
    </row>
    <row r="262" spans="1:1" x14ac:dyDescent="0.25">
      <c r="A262">
        <v>1536.5189609946733</v>
      </c>
    </row>
    <row r="263" spans="1:1" x14ac:dyDescent="0.25">
      <c r="A263">
        <v>1536.5189609946733</v>
      </c>
    </row>
    <row r="264" spans="1:1" x14ac:dyDescent="0.25">
      <c r="A264">
        <v>1536.5189609946733</v>
      </c>
    </row>
    <row r="265" spans="1:1" x14ac:dyDescent="0.25">
      <c r="A265">
        <v>1536.5189609946733</v>
      </c>
    </row>
    <row r="266" spans="1:1" x14ac:dyDescent="0.25">
      <c r="A266">
        <v>1536.5189609946733</v>
      </c>
    </row>
    <row r="267" spans="1:1" x14ac:dyDescent="0.25">
      <c r="A267">
        <v>1536.5189609946733</v>
      </c>
    </row>
    <row r="268" spans="1:1" x14ac:dyDescent="0.25">
      <c r="A268">
        <v>1536.5189609946733</v>
      </c>
    </row>
    <row r="269" spans="1:1" x14ac:dyDescent="0.25">
      <c r="A269">
        <v>1536.5189609946733</v>
      </c>
    </row>
    <row r="270" spans="1:1" x14ac:dyDescent="0.25">
      <c r="A270">
        <v>1536.5189609946733</v>
      </c>
    </row>
    <row r="271" spans="1:1" x14ac:dyDescent="0.25">
      <c r="A271">
        <v>1536.5189609946733</v>
      </c>
    </row>
    <row r="272" spans="1:1" x14ac:dyDescent="0.25">
      <c r="A272">
        <v>1536.5189609946733</v>
      </c>
    </row>
    <row r="273" spans="1:1" x14ac:dyDescent="0.25">
      <c r="A273">
        <v>1536.5189609946733</v>
      </c>
    </row>
    <row r="274" spans="1:1" x14ac:dyDescent="0.25">
      <c r="A274">
        <v>1536.5189609946733</v>
      </c>
    </row>
    <row r="275" spans="1:1" x14ac:dyDescent="0.25">
      <c r="A275">
        <v>1536.5189609946733</v>
      </c>
    </row>
    <row r="276" spans="1:1" x14ac:dyDescent="0.25">
      <c r="A276">
        <v>1536.5189609946733</v>
      </c>
    </row>
    <row r="277" spans="1:1" x14ac:dyDescent="0.25">
      <c r="A277">
        <v>1536.5189609946733</v>
      </c>
    </row>
    <row r="278" spans="1:1" x14ac:dyDescent="0.25">
      <c r="A278">
        <v>1536.5189609946733</v>
      </c>
    </row>
    <row r="279" spans="1:1" x14ac:dyDescent="0.25">
      <c r="A279">
        <v>1536.5189609946733</v>
      </c>
    </row>
    <row r="280" spans="1:1" x14ac:dyDescent="0.25">
      <c r="A280">
        <v>1536.5189609946733</v>
      </c>
    </row>
    <row r="281" spans="1:1" x14ac:dyDescent="0.25">
      <c r="A281">
        <v>1536.5189609946733</v>
      </c>
    </row>
    <row r="282" spans="1:1" x14ac:dyDescent="0.25">
      <c r="A282">
        <v>1536.5189609946733</v>
      </c>
    </row>
    <row r="283" spans="1:1" x14ac:dyDescent="0.25">
      <c r="A283">
        <v>1536.5189609946733</v>
      </c>
    </row>
    <row r="284" spans="1:1" x14ac:dyDescent="0.25">
      <c r="A284">
        <v>1536.5189609946733</v>
      </c>
    </row>
    <row r="285" spans="1:1" x14ac:dyDescent="0.25">
      <c r="A285">
        <v>1536.5189609946733</v>
      </c>
    </row>
    <row r="286" spans="1:1" x14ac:dyDescent="0.25">
      <c r="A286">
        <v>1536.5189609946733</v>
      </c>
    </row>
    <row r="287" spans="1:1" x14ac:dyDescent="0.25">
      <c r="A287">
        <v>1536.5189609946733</v>
      </c>
    </row>
    <row r="288" spans="1:1" x14ac:dyDescent="0.25">
      <c r="A288">
        <v>1536.5189609946733</v>
      </c>
    </row>
    <row r="289" spans="1:1" x14ac:dyDescent="0.25">
      <c r="A289">
        <v>1536.5189609946733</v>
      </c>
    </row>
    <row r="290" spans="1:1" x14ac:dyDescent="0.25">
      <c r="A290">
        <v>1536.5189609946733</v>
      </c>
    </row>
    <row r="291" spans="1:1" x14ac:dyDescent="0.25">
      <c r="A291">
        <v>1536.5189609946733</v>
      </c>
    </row>
    <row r="292" spans="1:1" x14ac:dyDescent="0.25">
      <c r="A292">
        <v>1536.5189609946733</v>
      </c>
    </row>
    <row r="293" spans="1:1" x14ac:dyDescent="0.25">
      <c r="A293">
        <v>1536.5189609946733</v>
      </c>
    </row>
    <row r="294" spans="1:1" x14ac:dyDescent="0.25">
      <c r="A294">
        <v>1536.5189609946733</v>
      </c>
    </row>
    <row r="295" spans="1:1" x14ac:dyDescent="0.25">
      <c r="A295">
        <v>1536.5189609946733</v>
      </c>
    </row>
    <row r="296" spans="1:1" x14ac:dyDescent="0.25">
      <c r="A296">
        <v>1536.5189609946733</v>
      </c>
    </row>
    <row r="297" spans="1:1" x14ac:dyDescent="0.25">
      <c r="A297">
        <v>1536.5189609946733</v>
      </c>
    </row>
    <row r="298" spans="1:1" x14ac:dyDescent="0.25">
      <c r="A298">
        <v>1536.5189609946733</v>
      </c>
    </row>
    <row r="299" spans="1:1" x14ac:dyDescent="0.25">
      <c r="A299">
        <v>1536.5189609946733</v>
      </c>
    </row>
    <row r="300" spans="1:1" x14ac:dyDescent="0.25">
      <c r="A300">
        <v>1536.5189609946733</v>
      </c>
    </row>
    <row r="301" spans="1:1" x14ac:dyDescent="0.25">
      <c r="A301">
        <v>1536.5189609946733</v>
      </c>
    </row>
    <row r="302" spans="1:1" x14ac:dyDescent="0.25">
      <c r="A302">
        <v>1536.5189609946733</v>
      </c>
    </row>
    <row r="303" spans="1:1" x14ac:dyDescent="0.25">
      <c r="A303">
        <v>1536.5189609946733</v>
      </c>
    </row>
    <row r="304" spans="1:1" x14ac:dyDescent="0.25">
      <c r="A304">
        <v>1536.5189609946733</v>
      </c>
    </row>
    <row r="305" spans="1:1" x14ac:dyDescent="0.25">
      <c r="A305">
        <v>1536.5189609946733</v>
      </c>
    </row>
    <row r="306" spans="1:1" x14ac:dyDescent="0.25">
      <c r="A306">
        <v>1536.5189609946733</v>
      </c>
    </row>
    <row r="307" spans="1:1" x14ac:dyDescent="0.25">
      <c r="A307">
        <v>1536.5189609946733</v>
      </c>
    </row>
    <row r="308" spans="1:1" x14ac:dyDescent="0.25">
      <c r="A308">
        <v>1536.5189609946733</v>
      </c>
    </row>
    <row r="309" spans="1:1" x14ac:dyDescent="0.25">
      <c r="A309">
        <v>1536.5189609946733</v>
      </c>
    </row>
    <row r="310" spans="1:1" x14ac:dyDescent="0.25">
      <c r="A310">
        <v>1536.5189609946733</v>
      </c>
    </row>
    <row r="311" spans="1:1" x14ac:dyDescent="0.25">
      <c r="A311">
        <v>1536.5189609946733</v>
      </c>
    </row>
    <row r="312" spans="1:1" x14ac:dyDescent="0.25">
      <c r="A312">
        <v>1536.5189609946733</v>
      </c>
    </row>
    <row r="313" spans="1:1" x14ac:dyDescent="0.25">
      <c r="A313">
        <v>1536.5189609946733</v>
      </c>
    </row>
    <row r="314" spans="1:1" x14ac:dyDescent="0.25">
      <c r="A314">
        <v>1536.5189609946733</v>
      </c>
    </row>
    <row r="315" spans="1:1" x14ac:dyDescent="0.25">
      <c r="A315">
        <v>1536.5189609946733</v>
      </c>
    </row>
    <row r="316" spans="1:1" x14ac:dyDescent="0.25">
      <c r="A316">
        <v>1536.5189609946733</v>
      </c>
    </row>
    <row r="317" spans="1:1" x14ac:dyDescent="0.25">
      <c r="A317">
        <v>1536.5189609946733</v>
      </c>
    </row>
    <row r="318" spans="1:1" x14ac:dyDescent="0.25">
      <c r="A318">
        <v>1536.5189609946733</v>
      </c>
    </row>
    <row r="319" spans="1:1" x14ac:dyDescent="0.25">
      <c r="A319">
        <v>1536.5189609946733</v>
      </c>
    </row>
    <row r="320" spans="1:1" x14ac:dyDescent="0.25">
      <c r="A320">
        <v>1536.5189609946733</v>
      </c>
    </row>
    <row r="321" spans="1:1" x14ac:dyDescent="0.25">
      <c r="A321">
        <v>1536.5189609946733</v>
      </c>
    </row>
    <row r="322" spans="1:1" x14ac:dyDescent="0.25">
      <c r="A322">
        <v>1536.5189609946733</v>
      </c>
    </row>
    <row r="323" spans="1:1" x14ac:dyDescent="0.25">
      <c r="A323">
        <v>1536.5189609946733</v>
      </c>
    </row>
    <row r="324" spans="1:1" x14ac:dyDescent="0.25">
      <c r="A324">
        <v>1536.5189609946733</v>
      </c>
    </row>
    <row r="325" spans="1:1" x14ac:dyDescent="0.25">
      <c r="A325">
        <v>1536.5189609946733</v>
      </c>
    </row>
    <row r="326" spans="1:1" x14ac:dyDescent="0.25">
      <c r="A326">
        <v>1536.5189609946733</v>
      </c>
    </row>
    <row r="327" spans="1:1" x14ac:dyDescent="0.25">
      <c r="A327">
        <v>1536.5189609946733</v>
      </c>
    </row>
    <row r="328" spans="1:1" x14ac:dyDescent="0.25">
      <c r="A328">
        <v>1536.5189609946733</v>
      </c>
    </row>
    <row r="329" spans="1:1" x14ac:dyDescent="0.25">
      <c r="A329">
        <v>1536.5189609946733</v>
      </c>
    </row>
    <row r="330" spans="1:1" x14ac:dyDescent="0.25">
      <c r="A330">
        <v>1536.5189609946733</v>
      </c>
    </row>
    <row r="331" spans="1:1" x14ac:dyDescent="0.25">
      <c r="A331">
        <v>1536.5189609946733</v>
      </c>
    </row>
    <row r="332" spans="1:1" x14ac:dyDescent="0.25">
      <c r="A332">
        <v>1536.5189609946733</v>
      </c>
    </row>
    <row r="333" spans="1:1" x14ac:dyDescent="0.25">
      <c r="A333">
        <v>1536.5189609946733</v>
      </c>
    </row>
    <row r="334" spans="1:1" x14ac:dyDescent="0.25">
      <c r="A334">
        <v>1536.5189609946733</v>
      </c>
    </row>
    <row r="335" spans="1:1" x14ac:dyDescent="0.25">
      <c r="A335">
        <v>1536.5189609946733</v>
      </c>
    </row>
    <row r="336" spans="1:1" x14ac:dyDescent="0.25">
      <c r="A336">
        <v>1536.5189609946733</v>
      </c>
    </row>
    <row r="337" spans="1:1" x14ac:dyDescent="0.25">
      <c r="A337">
        <v>1536.5189609946733</v>
      </c>
    </row>
    <row r="338" spans="1:1" x14ac:dyDescent="0.25">
      <c r="A338">
        <v>1536.5189609946733</v>
      </c>
    </row>
    <row r="339" spans="1:1" x14ac:dyDescent="0.25">
      <c r="A339">
        <v>1536.5189609946733</v>
      </c>
    </row>
    <row r="340" spans="1:1" x14ac:dyDescent="0.25">
      <c r="A340">
        <v>1536.5189609946733</v>
      </c>
    </row>
    <row r="341" spans="1:1" x14ac:dyDescent="0.25">
      <c r="A341">
        <v>1536.5189609946733</v>
      </c>
    </row>
    <row r="342" spans="1:1" x14ac:dyDescent="0.25">
      <c r="A342">
        <v>1536.5189609946733</v>
      </c>
    </row>
    <row r="343" spans="1:1" x14ac:dyDescent="0.25">
      <c r="A343">
        <v>1536.5189609946733</v>
      </c>
    </row>
    <row r="344" spans="1:1" x14ac:dyDescent="0.25">
      <c r="A344">
        <v>1536.5189609946733</v>
      </c>
    </row>
    <row r="345" spans="1:1" x14ac:dyDescent="0.25">
      <c r="A345">
        <v>1536.5189609946733</v>
      </c>
    </row>
    <row r="346" spans="1:1" x14ac:dyDescent="0.25">
      <c r="A346">
        <v>1536.5189609946733</v>
      </c>
    </row>
    <row r="347" spans="1:1" x14ac:dyDescent="0.25">
      <c r="A347">
        <v>1536.5189609946733</v>
      </c>
    </row>
    <row r="348" spans="1:1" x14ac:dyDescent="0.25">
      <c r="A348">
        <v>1536.5189609946733</v>
      </c>
    </row>
    <row r="349" spans="1:1" x14ac:dyDescent="0.25">
      <c r="A349">
        <v>1536.5189609946733</v>
      </c>
    </row>
    <row r="350" spans="1:1" x14ac:dyDescent="0.25">
      <c r="A350">
        <v>1536.5189609946733</v>
      </c>
    </row>
    <row r="351" spans="1:1" x14ac:dyDescent="0.25">
      <c r="A351">
        <v>1536.5189609946733</v>
      </c>
    </row>
    <row r="352" spans="1:1" x14ac:dyDescent="0.25">
      <c r="A352">
        <v>1536.5189609946733</v>
      </c>
    </row>
    <row r="353" spans="1:1" x14ac:dyDescent="0.25">
      <c r="A353">
        <v>1536.5189609946733</v>
      </c>
    </row>
    <row r="354" spans="1:1" x14ac:dyDescent="0.25">
      <c r="A354">
        <v>1536.5189609946733</v>
      </c>
    </row>
    <row r="355" spans="1:1" x14ac:dyDescent="0.25">
      <c r="A355">
        <v>1536.5189609946733</v>
      </c>
    </row>
    <row r="356" spans="1:1" x14ac:dyDescent="0.25">
      <c r="A356">
        <v>1536.5189609946733</v>
      </c>
    </row>
    <row r="357" spans="1:1" x14ac:dyDescent="0.25">
      <c r="A357">
        <v>1536.5189609946733</v>
      </c>
    </row>
    <row r="358" spans="1:1" x14ac:dyDescent="0.25">
      <c r="A358">
        <v>1536.5189609946733</v>
      </c>
    </row>
    <row r="359" spans="1:1" x14ac:dyDescent="0.25">
      <c r="A359">
        <v>1536.5189609946733</v>
      </c>
    </row>
    <row r="360" spans="1:1" x14ac:dyDescent="0.25">
      <c r="A360">
        <v>1536.5189609946733</v>
      </c>
    </row>
    <row r="361" spans="1:1" x14ac:dyDescent="0.25">
      <c r="A361">
        <v>1536.5189609946733</v>
      </c>
    </row>
    <row r="362" spans="1:1" x14ac:dyDescent="0.25">
      <c r="A362">
        <v>1536.5189609946733</v>
      </c>
    </row>
    <row r="363" spans="1:1" x14ac:dyDescent="0.25">
      <c r="A363">
        <v>1536.5189609946733</v>
      </c>
    </row>
    <row r="364" spans="1:1" x14ac:dyDescent="0.25">
      <c r="A364">
        <v>1536.5189609946733</v>
      </c>
    </row>
    <row r="365" spans="1:1" x14ac:dyDescent="0.25">
      <c r="A365">
        <v>1536.5189609946733</v>
      </c>
    </row>
    <row r="366" spans="1:1" x14ac:dyDescent="0.25">
      <c r="A366">
        <v>1536.5189609946733</v>
      </c>
    </row>
    <row r="367" spans="1:1" x14ac:dyDescent="0.25">
      <c r="A367">
        <v>1536.5189609946733</v>
      </c>
    </row>
    <row r="368" spans="1:1" x14ac:dyDescent="0.25">
      <c r="A368">
        <v>1536.5189609946733</v>
      </c>
    </row>
    <row r="369" spans="1:1" x14ac:dyDescent="0.25">
      <c r="A369">
        <v>1536.5189609946733</v>
      </c>
    </row>
    <row r="370" spans="1:1" x14ac:dyDescent="0.25">
      <c r="A370">
        <v>1536.5189609946733</v>
      </c>
    </row>
    <row r="371" spans="1:1" x14ac:dyDescent="0.25">
      <c r="A371">
        <v>1536.5189609946733</v>
      </c>
    </row>
    <row r="372" spans="1:1" x14ac:dyDescent="0.25">
      <c r="A372">
        <v>1536.5189609946733</v>
      </c>
    </row>
    <row r="373" spans="1:1" x14ac:dyDescent="0.25">
      <c r="A373">
        <v>1536.5189609946733</v>
      </c>
    </row>
    <row r="374" spans="1:1" x14ac:dyDescent="0.25">
      <c r="A374">
        <v>1536.5189609946733</v>
      </c>
    </row>
    <row r="375" spans="1:1" x14ac:dyDescent="0.25">
      <c r="A375">
        <v>1536.5189609946733</v>
      </c>
    </row>
    <row r="376" spans="1:1" x14ac:dyDescent="0.25">
      <c r="A376">
        <v>1536.5189609946733</v>
      </c>
    </row>
    <row r="377" spans="1:1" x14ac:dyDescent="0.25">
      <c r="A377">
        <v>1536.5189609946733</v>
      </c>
    </row>
    <row r="378" spans="1:1" x14ac:dyDescent="0.25">
      <c r="A378">
        <v>1536.5189609946733</v>
      </c>
    </row>
    <row r="379" spans="1:1" x14ac:dyDescent="0.25">
      <c r="A379">
        <v>1536.5189609946733</v>
      </c>
    </row>
    <row r="380" spans="1:1" x14ac:dyDescent="0.25">
      <c r="A380">
        <v>1536.5189609946733</v>
      </c>
    </row>
    <row r="381" spans="1:1" x14ac:dyDescent="0.25">
      <c r="A381">
        <v>1536.5189609946733</v>
      </c>
    </row>
    <row r="382" spans="1:1" x14ac:dyDescent="0.25">
      <c r="A382">
        <v>1536.5189609946733</v>
      </c>
    </row>
    <row r="383" spans="1:1" x14ac:dyDescent="0.25">
      <c r="A383">
        <v>1536.5189609946733</v>
      </c>
    </row>
    <row r="384" spans="1:1" x14ac:dyDescent="0.25">
      <c r="A384">
        <v>1536.5189609946733</v>
      </c>
    </row>
    <row r="385" spans="1:1" x14ac:dyDescent="0.25">
      <c r="A385">
        <v>1536.5189609946733</v>
      </c>
    </row>
    <row r="386" spans="1:1" x14ac:dyDescent="0.25">
      <c r="A386">
        <v>1536.5189609946733</v>
      </c>
    </row>
    <row r="387" spans="1:1" x14ac:dyDescent="0.25">
      <c r="A387">
        <v>1536.5189609946733</v>
      </c>
    </row>
    <row r="388" spans="1:1" x14ac:dyDescent="0.25">
      <c r="A388">
        <v>1536.5189609946733</v>
      </c>
    </row>
    <row r="389" spans="1:1" x14ac:dyDescent="0.25">
      <c r="A389">
        <v>1536.5189609946733</v>
      </c>
    </row>
    <row r="390" spans="1:1" x14ac:dyDescent="0.25">
      <c r="A390">
        <v>1536.5189609946733</v>
      </c>
    </row>
    <row r="391" spans="1:1" x14ac:dyDescent="0.25">
      <c r="A391">
        <v>1536.5189609946733</v>
      </c>
    </row>
    <row r="392" spans="1:1" x14ac:dyDescent="0.25">
      <c r="A392">
        <v>1536.5189609946733</v>
      </c>
    </row>
    <row r="393" spans="1:1" x14ac:dyDescent="0.25">
      <c r="A393">
        <v>1536.5189609946733</v>
      </c>
    </row>
    <row r="394" spans="1:1" x14ac:dyDescent="0.25">
      <c r="A394">
        <v>1536.5189609946733</v>
      </c>
    </row>
    <row r="395" spans="1:1" x14ac:dyDescent="0.25">
      <c r="A395">
        <v>1536.5189609946733</v>
      </c>
    </row>
    <row r="396" spans="1:1" x14ac:dyDescent="0.25">
      <c r="A396">
        <v>1536.5189609946733</v>
      </c>
    </row>
    <row r="397" spans="1:1" x14ac:dyDescent="0.25">
      <c r="A397">
        <v>1536.5189609946733</v>
      </c>
    </row>
    <row r="398" spans="1:1" x14ac:dyDescent="0.25">
      <c r="A398">
        <v>1536.5189609946733</v>
      </c>
    </row>
    <row r="399" spans="1:1" x14ac:dyDescent="0.25">
      <c r="A399">
        <v>1536.5189609946733</v>
      </c>
    </row>
    <row r="400" spans="1:1" x14ac:dyDescent="0.25">
      <c r="A400">
        <v>1536.5189609946733</v>
      </c>
    </row>
    <row r="401" spans="1:2" x14ac:dyDescent="0.25">
      <c r="A401">
        <v>1536.5189609946733</v>
      </c>
    </row>
    <row r="402" spans="1:2" x14ac:dyDescent="0.25">
      <c r="A402">
        <v>1536.5189609946733</v>
      </c>
    </row>
    <row r="403" spans="1:2" x14ac:dyDescent="0.25">
      <c r="A403">
        <v>1536.5189609946733</v>
      </c>
    </row>
    <row r="405" spans="1:2" x14ac:dyDescent="0.25">
      <c r="A405" t="s">
        <v>46</v>
      </c>
      <c r="B405">
        <f>1-SUMXMY2('Coeficiente de Acerto'!$Q$2:$Q$201,'Coeficiente de Acerto'!$P$2:$P$201)/SUMXMY2('Coeficiente de Acerto'!$P$2:$P$201,'Coeficiente de Acerto'!$A$204:$A$403)</f>
        <v>0.7477905455042626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Q72"/>
  <sheetViews>
    <sheetView topLeftCell="A56" workbookViewId="0">
      <selection activeCell="A73" sqref="A73"/>
    </sheetView>
  </sheetViews>
  <sheetFormatPr defaultRowHeight="15" x14ac:dyDescent="0.25"/>
  <sheetData>
    <row r="1" spans="1:17" x14ac:dyDescent="0.25">
      <c r="A1" s="7" t="s">
        <v>49</v>
      </c>
      <c r="B1" s="7" t="s">
        <v>50</v>
      </c>
      <c r="C1" s="7" t="s">
        <v>51</v>
      </c>
      <c r="D1" s="7" t="s">
        <v>52</v>
      </c>
      <c r="E1" s="7" t="s">
        <v>53</v>
      </c>
      <c r="F1" s="7" t="s">
        <v>54</v>
      </c>
      <c r="G1" s="7" t="s">
        <v>55</v>
      </c>
      <c r="H1" s="7" t="s">
        <v>56</v>
      </c>
      <c r="I1" s="7" t="s">
        <v>51</v>
      </c>
      <c r="J1" s="7" t="s">
        <v>52</v>
      </c>
      <c r="K1" s="7" t="s">
        <v>57</v>
      </c>
      <c r="L1" s="7" t="s">
        <v>58</v>
      </c>
      <c r="M1" s="7" t="s">
        <v>59</v>
      </c>
      <c r="N1" s="7" t="s">
        <v>60</v>
      </c>
      <c r="O1" s="7" t="s">
        <v>61</v>
      </c>
      <c r="P1" s="7" t="s">
        <v>63</v>
      </c>
      <c r="Q1" s="7" t="s">
        <v>64</v>
      </c>
    </row>
    <row r="2" spans="1:17" x14ac:dyDescent="0.25">
      <c r="A2" s="7">
        <v>1</v>
      </c>
      <c r="B2" s="7">
        <v>1.24</v>
      </c>
      <c r="C2" s="7">
        <v>280</v>
      </c>
      <c r="D2" s="7">
        <v>80</v>
      </c>
      <c r="E2" s="7">
        <v>0.10100000000000001</v>
      </c>
      <c r="F2" s="7">
        <v>100000</v>
      </c>
      <c r="G2" s="7">
        <v>6.12</v>
      </c>
      <c r="H2" s="7">
        <v>0.35</v>
      </c>
      <c r="I2" s="7">
        <v>980</v>
      </c>
      <c r="J2" s="7">
        <v>907</v>
      </c>
      <c r="K2" s="7">
        <v>3.1E-2</v>
      </c>
      <c r="L2" s="7">
        <v>200000</v>
      </c>
      <c r="M2" s="7">
        <v>0.14000000000000001</v>
      </c>
      <c r="N2" s="7">
        <v>0.8</v>
      </c>
      <c r="O2" s="7">
        <v>190</v>
      </c>
      <c r="P2" s="7">
        <v>4970</v>
      </c>
      <c r="Q2" s="7">
        <v>4191.6493949131036</v>
      </c>
    </row>
    <row r="3" spans="1:17" x14ac:dyDescent="0.25">
      <c r="A3" s="7">
        <v>3</v>
      </c>
      <c r="B3" s="7">
        <v>1.24</v>
      </c>
      <c r="C3" s="7">
        <v>280</v>
      </c>
      <c r="D3" s="7">
        <v>70</v>
      </c>
      <c r="E3" s="7">
        <v>0.18099999999999999</v>
      </c>
      <c r="F3" s="7">
        <v>100000</v>
      </c>
      <c r="G3" s="7">
        <v>9.9700000000000006</v>
      </c>
      <c r="H3" s="7">
        <v>0.39</v>
      </c>
      <c r="I3" s="7">
        <v>900</v>
      </c>
      <c r="J3" s="7">
        <v>497</v>
      </c>
      <c r="K3" s="7">
        <v>8.1000000000000003E-2</v>
      </c>
      <c r="L3" s="7">
        <v>200000</v>
      </c>
      <c r="M3" s="7">
        <v>0.2</v>
      </c>
      <c r="N3" s="7">
        <v>0.4</v>
      </c>
      <c r="O3" s="7">
        <v>230</v>
      </c>
      <c r="P3" s="7">
        <v>4718</v>
      </c>
      <c r="Q3" s="7">
        <v>3729.3913409251181</v>
      </c>
    </row>
    <row r="4" spans="1:17" x14ac:dyDescent="0.25">
      <c r="A4" s="7">
        <v>4</v>
      </c>
      <c r="B4" s="7">
        <v>1.24</v>
      </c>
      <c r="C4" s="7">
        <v>280</v>
      </c>
      <c r="D4" s="7">
        <v>60</v>
      </c>
      <c r="E4" s="7">
        <v>0.18099999999999999</v>
      </c>
      <c r="F4" s="7">
        <v>100000</v>
      </c>
      <c r="G4" s="7">
        <v>9.1999999999999993</v>
      </c>
      <c r="H4" s="7">
        <v>0.43</v>
      </c>
      <c r="I4" s="7">
        <v>800</v>
      </c>
      <c r="J4" s="7">
        <v>386</v>
      </c>
      <c r="K4" s="7">
        <v>8.1000000000000003E-2</v>
      </c>
      <c r="L4" s="7">
        <v>200000</v>
      </c>
      <c r="M4" s="7">
        <v>0.2</v>
      </c>
      <c r="N4" s="7">
        <v>0.5</v>
      </c>
      <c r="O4" s="7">
        <v>160</v>
      </c>
      <c r="P4" s="7">
        <v>3017</v>
      </c>
      <c r="Q4" s="7">
        <v>3370.7158651045684</v>
      </c>
    </row>
    <row r="5" spans="1:17" x14ac:dyDescent="0.25">
      <c r="A5" s="7">
        <v>5</v>
      </c>
      <c r="B5" s="7">
        <v>1.1599999999999999</v>
      </c>
      <c r="C5" s="7">
        <v>300</v>
      </c>
      <c r="D5" s="7">
        <v>70</v>
      </c>
      <c r="E5" s="7">
        <v>0.10100000000000001</v>
      </c>
      <c r="F5" s="7">
        <v>100000</v>
      </c>
      <c r="G5" s="7">
        <v>5.0199999999999996</v>
      </c>
      <c r="H5" s="7">
        <v>0.45</v>
      </c>
      <c r="I5" s="7">
        <v>700</v>
      </c>
      <c r="J5" s="7">
        <v>539</v>
      </c>
      <c r="K5" s="7">
        <v>3.1E-2</v>
      </c>
      <c r="L5" s="7">
        <v>200000</v>
      </c>
      <c r="M5" s="7">
        <v>0.14000000000000001</v>
      </c>
      <c r="N5" s="7">
        <v>0.4</v>
      </c>
      <c r="O5" s="7">
        <v>170</v>
      </c>
      <c r="P5" s="7">
        <v>2309</v>
      </c>
      <c r="Q5" s="7">
        <v>2169.3572215889508</v>
      </c>
    </row>
    <row r="6" spans="1:17" x14ac:dyDescent="0.25">
      <c r="A6" s="7">
        <v>6</v>
      </c>
      <c r="B6" s="7">
        <v>1.1599999999999999</v>
      </c>
      <c r="C6" s="7">
        <v>300</v>
      </c>
      <c r="D6" s="7">
        <v>60</v>
      </c>
      <c r="E6" s="7">
        <v>0.10199999999999999</v>
      </c>
      <c r="F6" s="7">
        <v>100000</v>
      </c>
      <c r="G6" s="7">
        <v>4.87</v>
      </c>
      <c r="H6" s="7">
        <v>0.35</v>
      </c>
      <c r="I6" s="7">
        <v>990</v>
      </c>
      <c r="J6" s="7">
        <v>451</v>
      </c>
      <c r="K6" s="7">
        <v>4.4999999999999998E-2</v>
      </c>
      <c r="L6" s="7">
        <v>200000</v>
      </c>
      <c r="M6" s="7">
        <v>0.15</v>
      </c>
      <c r="N6" s="7">
        <v>0.45</v>
      </c>
      <c r="O6" s="7">
        <v>200</v>
      </c>
      <c r="P6" s="7">
        <v>1912</v>
      </c>
      <c r="Q6" s="7">
        <v>2570.2026757584463</v>
      </c>
    </row>
    <row r="7" spans="1:17" x14ac:dyDescent="0.25">
      <c r="A7" s="7">
        <v>7</v>
      </c>
      <c r="B7" s="7">
        <v>1.1599999999999999</v>
      </c>
      <c r="C7" s="7">
        <v>300</v>
      </c>
      <c r="D7" s="7">
        <v>50</v>
      </c>
      <c r="E7" s="7">
        <v>0.18099999999999999</v>
      </c>
      <c r="F7" s="7">
        <v>100000</v>
      </c>
      <c r="G7" s="7">
        <v>7.28</v>
      </c>
      <c r="H7" s="7">
        <v>0.53</v>
      </c>
      <c r="I7" s="7">
        <v>850</v>
      </c>
      <c r="J7" s="7">
        <v>257</v>
      </c>
      <c r="K7" s="7">
        <v>8.1000000000000003E-2</v>
      </c>
      <c r="L7" s="7">
        <v>200000</v>
      </c>
      <c r="M7" s="7">
        <v>0.2</v>
      </c>
      <c r="N7" s="7">
        <v>0.7</v>
      </c>
      <c r="O7" s="7">
        <v>190</v>
      </c>
      <c r="P7" s="7">
        <v>1943</v>
      </c>
      <c r="Q7" s="7">
        <v>2165.4299122843004</v>
      </c>
    </row>
    <row r="8" spans="1:17" x14ac:dyDescent="0.25">
      <c r="A8" s="7">
        <v>8</v>
      </c>
      <c r="B8" s="7">
        <v>1.1599999999999999</v>
      </c>
      <c r="C8" s="7">
        <v>300</v>
      </c>
      <c r="D8" s="7">
        <v>70</v>
      </c>
      <c r="E8" s="7">
        <v>0.10199999999999999</v>
      </c>
      <c r="F8" s="7">
        <v>100000</v>
      </c>
      <c r="G8" s="7">
        <v>9.9499999999999993</v>
      </c>
      <c r="H8" s="7">
        <v>0.39</v>
      </c>
      <c r="I8" s="7">
        <v>900</v>
      </c>
      <c r="J8" s="7">
        <v>471</v>
      </c>
      <c r="K8" s="7">
        <v>4.4999999999999998E-2</v>
      </c>
      <c r="L8" s="7">
        <v>200000</v>
      </c>
      <c r="M8" s="7">
        <v>0.15</v>
      </c>
      <c r="N8" s="7">
        <v>0.8</v>
      </c>
      <c r="O8" s="7">
        <v>160</v>
      </c>
      <c r="P8" s="7">
        <v>2330</v>
      </c>
      <c r="Q8" s="7">
        <v>2739.5433533464602</v>
      </c>
    </row>
    <row r="9" spans="1:17" x14ac:dyDescent="0.25">
      <c r="A9" s="7">
        <v>9</v>
      </c>
      <c r="B9" s="7">
        <v>1.1599999999999999</v>
      </c>
      <c r="C9" s="7">
        <v>300</v>
      </c>
      <c r="D9" s="7">
        <v>60</v>
      </c>
      <c r="E9" s="7">
        <v>0.10100000000000001</v>
      </c>
      <c r="F9" s="7">
        <v>100000</v>
      </c>
      <c r="G9" s="7">
        <v>4.32</v>
      </c>
      <c r="H9" s="7">
        <v>0.39</v>
      </c>
      <c r="I9" s="7">
        <v>900</v>
      </c>
      <c r="J9" s="7">
        <v>575</v>
      </c>
      <c r="K9" s="7">
        <v>3.1E-2</v>
      </c>
      <c r="L9" s="7">
        <v>200000</v>
      </c>
      <c r="M9" s="7">
        <v>0.14000000000000001</v>
      </c>
      <c r="N9" s="7">
        <v>0.7</v>
      </c>
      <c r="O9" s="7">
        <v>270</v>
      </c>
      <c r="P9" s="7">
        <v>2255</v>
      </c>
      <c r="Q9" s="7">
        <v>2381.3182786448087</v>
      </c>
    </row>
    <row r="10" spans="1:17" x14ac:dyDescent="0.25">
      <c r="A10" s="7">
        <v>10</v>
      </c>
      <c r="B10" s="7">
        <v>1.1599999999999999</v>
      </c>
      <c r="C10" s="7">
        <v>300</v>
      </c>
      <c r="D10" s="7">
        <v>2</v>
      </c>
      <c r="E10" s="7">
        <v>8.0000000000000002E-3</v>
      </c>
      <c r="F10" s="7">
        <v>100000</v>
      </c>
      <c r="G10" s="7">
        <v>1.7999999999999999E-2</v>
      </c>
      <c r="H10" s="7">
        <v>0.43</v>
      </c>
      <c r="I10" s="7">
        <v>800</v>
      </c>
      <c r="J10" s="7">
        <v>5</v>
      </c>
      <c r="K10" s="7">
        <v>8.0000000000000002E-3</v>
      </c>
      <c r="L10" s="7">
        <v>100000</v>
      </c>
      <c r="M10" s="7">
        <v>0.05</v>
      </c>
      <c r="N10" s="7">
        <v>0.33</v>
      </c>
      <c r="O10" s="7">
        <v>260</v>
      </c>
      <c r="P10" s="7">
        <v>0.06</v>
      </c>
      <c r="Q10" s="7">
        <v>80.726962516368076</v>
      </c>
    </row>
    <row r="11" spans="1:17" x14ac:dyDescent="0.25">
      <c r="A11" s="7">
        <v>11</v>
      </c>
      <c r="B11" s="7">
        <v>1.1667530292701285</v>
      </c>
      <c r="C11" s="7">
        <v>286.66781485369677</v>
      </c>
      <c r="D11" s="7">
        <v>49.320530346724809</v>
      </c>
      <c r="E11" s="7">
        <v>0.16965971584048542</v>
      </c>
      <c r="F11" s="7">
        <v>100000</v>
      </c>
      <c r="G11" s="7">
        <v>2.295154926737681</v>
      </c>
      <c r="H11" s="7">
        <v>0.4126623629590726</v>
      </c>
      <c r="I11" s="7">
        <v>763.12336098254946</v>
      </c>
      <c r="J11" s="7">
        <v>658.63039850330097</v>
      </c>
      <c r="K11" s="7">
        <v>4.6033458396396595E-2</v>
      </c>
      <c r="L11" s="7">
        <v>192584.85386646137</v>
      </c>
      <c r="M11" s="7">
        <v>0.14992799634844137</v>
      </c>
      <c r="N11" s="7">
        <v>0.78927563588214744</v>
      </c>
      <c r="O11" s="7">
        <v>240.59562282956699</v>
      </c>
      <c r="P11" s="7">
        <v>1868.6329837191026</v>
      </c>
      <c r="Q11" s="7">
        <v>2540.1111195078629</v>
      </c>
    </row>
    <row r="12" spans="1:17" x14ac:dyDescent="0.25">
      <c r="A12" s="7">
        <v>12</v>
      </c>
      <c r="B12" s="7">
        <v>1.1637387993215749</v>
      </c>
      <c r="C12" s="7">
        <v>290.32608405394734</v>
      </c>
      <c r="D12" s="7">
        <v>76.356998217360712</v>
      </c>
      <c r="E12" s="7">
        <v>0.15408288442378273</v>
      </c>
      <c r="F12" s="7">
        <v>100000</v>
      </c>
      <c r="G12" s="7">
        <v>9.8468249107742398</v>
      </c>
      <c r="H12" s="7">
        <v>0.4045255822862811</v>
      </c>
      <c r="I12" s="7">
        <v>757.44703132454254</v>
      </c>
      <c r="J12" s="7">
        <v>557.67749827552518</v>
      </c>
      <c r="K12" s="7">
        <v>3.6015896098957501E-2</v>
      </c>
      <c r="L12" s="7">
        <v>137362.82880296651</v>
      </c>
      <c r="M12" s="7">
        <v>8.9715847756492551E-2</v>
      </c>
      <c r="N12" s="7">
        <v>0.6519625179348818</v>
      </c>
      <c r="O12" s="7">
        <v>186.19577049529653</v>
      </c>
      <c r="P12" s="7">
        <v>2498.8927390434042</v>
      </c>
      <c r="Q12" s="7">
        <v>2772.9128895238318</v>
      </c>
    </row>
    <row r="13" spans="1:17" x14ac:dyDescent="0.25">
      <c r="A13" s="7">
        <v>13</v>
      </c>
      <c r="B13" s="7">
        <v>1.2044158756957899</v>
      </c>
      <c r="C13" s="7">
        <v>292.14325950932323</v>
      </c>
      <c r="D13" s="7">
        <v>13.784159862966366</v>
      </c>
      <c r="E13" s="7">
        <v>0.13519853459984163</v>
      </c>
      <c r="F13" s="7">
        <v>100000</v>
      </c>
      <c r="G13" s="7">
        <v>6.4358138575449297</v>
      </c>
      <c r="H13" s="7">
        <v>0.47521773855147065</v>
      </c>
      <c r="I13" s="7">
        <v>859.52565190576479</v>
      </c>
      <c r="J13" s="7">
        <v>517.43981495248045</v>
      </c>
      <c r="K13" s="7">
        <v>1.7006569355698664E-2</v>
      </c>
      <c r="L13" s="7">
        <v>185485.27945778327</v>
      </c>
      <c r="M13" s="7">
        <v>0.16777236757156772</v>
      </c>
      <c r="N13" s="7">
        <v>0.43828899956512724</v>
      </c>
      <c r="O13" s="7">
        <v>239.06278275957965</v>
      </c>
      <c r="P13" s="7">
        <v>2234.086789683503</v>
      </c>
      <c r="Q13" s="7">
        <v>1994.1680413612557</v>
      </c>
    </row>
    <row r="14" spans="1:17" x14ac:dyDescent="0.25">
      <c r="A14" s="7">
        <v>14</v>
      </c>
      <c r="B14" s="7">
        <v>1.2018688128286317</v>
      </c>
      <c r="C14" s="7">
        <v>287.61774275795892</v>
      </c>
      <c r="D14" s="7">
        <v>8.6713341362277312</v>
      </c>
      <c r="E14" s="7">
        <v>0.14513980393738357</v>
      </c>
      <c r="F14" s="7">
        <v>100000</v>
      </c>
      <c r="G14" s="7">
        <v>3.9557365545934529</v>
      </c>
      <c r="H14" s="7">
        <v>0.40536326269660922</v>
      </c>
      <c r="I14" s="7">
        <v>746.3217180846417</v>
      </c>
      <c r="J14" s="7">
        <v>210.30805809632758</v>
      </c>
      <c r="K14" s="7">
        <v>7.3861776337964147E-2</v>
      </c>
      <c r="L14" s="7">
        <v>134020.17059652868</v>
      </c>
      <c r="M14" s="7">
        <v>9.2737693283689776E-2</v>
      </c>
      <c r="N14" s="7">
        <v>0.35417266633745054</v>
      </c>
      <c r="O14" s="7">
        <v>224.56427150900089</v>
      </c>
      <c r="P14" s="7">
        <v>142.55593268429934</v>
      </c>
      <c r="Q14" s="7">
        <v>941.24542910436139</v>
      </c>
    </row>
    <row r="15" spans="1:17" x14ac:dyDescent="0.25">
      <c r="A15" s="7">
        <v>16</v>
      </c>
      <c r="B15" s="7">
        <v>1.1624211650174012</v>
      </c>
      <c r="C15" s="7">
        <v>295.2257330474572</v>
      </c>
      <c r="D15" s="7">
        <v>48.629963933721875</v>
      </c>
      <c r="E15" s="7">
        <v>0.14641587052709071</v>
      </c>
      <c r="F15" s="7">
        <v>100000</v>
      </c>
      <c r="G15" s="7">
        <v>4.458847216472912</v>
      </c>
      <c r="H15" s="7">
        <v>0.5195577076855552</v>
      </c>
      <c r="I15" s="7">
        <v>804.08653698499779</v>
      </c>
      <c r="J15" s="7">
        <v>101.83915416795141</v>
      </c>
      <c r="K15" s="7">
        <v>5.9270832515313294E-2</v>
      </c>
      <c r="L15" s="7">
        <v>166657.7923230585</v>
      </c>
      <c r="M15" s="7">
        <v>0.16382232942267907</v>
      </c>
      <c r="N15" s="7">
        <v>0.75663519499451459</v>
      </c>
      <c r="O15" s="7">
        <v>180.88562253366283</v>
      </c>
      <c r="P15" s="7">
        <v>552.04418807066054</v>
      </c>
      <c r="Q15" s="7">
        <v>924.96078076649428</v>
      </c>
    </row>
    <row r="16" spans="1:17" x14ac:dyDescent="0.25">
      <c r="A16" s="7">
        <v>17</v>
      </c>
      <c r="B16" s="7">
        <v>1.1705519537285254</v>
      </c>
      <c r="C16" s="7">
        <v>296.41512812195037</v>
      </c>
      <c r="D16" s="7">
        <v>17.09713766634048</v>
      </c>
      <c r="E16" s="7">
        <v>1.1297325946142467E-2</v>
      </c>
      <c r="F16" s="7">
        <v>100000</v>
      </c>
      <c r="G16" s="7">
        <v>7.797394521943243</v>
      </c>
      <c r="H16" s="7">
        <v>0.42511131650732253</v>
      </c>
      <c r="I16" s="7">
        <v>837.90801417929572</v>
      </c>
      <c r="J16" s="7">
        <v>302.03935286183753</v>
      </c>
      <c r="K16" s="7">
        <v>4.7695453847198456E-2</v>
      </c>
      <c r="L16" s="7">
        <v>153967.22939929293</v>
      </c>
      <c r="M16" s="7">
        <v>9.8065370514674718E-2</v>
      </c>
      <c r="N16" s="7">
        <v>0.38261673701297944</v>
      </c>
      <c r="O16" s="7">
        <v>253.5264895781134</v>
      </c>
      <c r="P16" s="7">
        <v>343.94953213723477</v>
      </c>
      <c r="Q16" s="7">
        <v>1149.0235776170666</v>
      </c>
    </row>
    <row r="17" spans="1:17" x14ac:dyDescent="0.25">
      <c r="A17" s="7">
        <v>18</v>
      </c>
      <c r="B17" s="7">
        <v>1.1844912972126356</v>
      </c>
      <c r="C17" s="7">
        <v>292.49460715577453</v>
      </c>
      <c r="D17" s="7">
        <v>33.127492000668468</v>
      </c>
      <c r="E17" s="7">
        <v>7.9639208012270035E-2</v>
      </c>
      <c r="F17" s="7">
        <v>100000</v>
      </c>
      <c r="G17" s="7">
        <v>5.6658027027726323</v>
      </c>
      <c r="H17" s="7">
        <v>0.4371472740198078</v>
      </c>
      <c r="I17" s="7">
        <v>754.66903685224577</v>
      </c>
      <c r="J17" s="7">
        <v>349.83626512934336</v>
      </c>
      <c r="K17" s="7">
        <v>9.6412103175524226E-3</v>
      </c>
      <c r="L17" s="7">
        <v>119811.62098438881</v>
      </c>
      <c r="M17" s="7">
        <v>0.13250757810119448</v>
      </c>
      <c r="N17" s="7">
        <v>0.57735705772685963</v>
      </c>
      <c r="O17" s="7">
        <v>183.64603438472477</v>
      </c>
      <c r="P17" s="7">
        <v>1652.3469597124897</v>
      </c>
      <c r="Q17" s="7">
        <v>1387.1107206908564</v>
      </c>
    </row>
    <row r="18" spans="1:17" x14ac:dyDescent="0.25">
      <c r="A18" s="7">
        <v>19</v>
      </c>
      <c r="B18" s="7">
        <v>1.1752045171504428</v>
      </c>
      <c r="C18" s="7">
        <v>297.74115631905158</v>
      </c>
      <c r="D18" s="7">
        <v>8.6568593347077503</v>
      </c>
      <c r="E18" s="7">
        <v>3.3736437305737742E-2</v>
      </c>
      <c r="F18" s="7">
        <v>100000</v>
      </c>
      <c r="G18" s="7">
        <v>9.388218612579923</v>
      </c>
      <c r="H18" s="7">
        <v>0.50262940547937096</v>
      </c>
      <c r="I18" s="7">
        <v>878.12281029710459</v>
      </c>
      <c r="J18" s="7">
        <v>67.154104815149424</v>
      </c>
      <c r="K18" s="7">
        <v>3.4689302241255798E-2</v>
      </c>
      <c r="L18" s="7">
        <v>199671.44947157963</v>
      </c>
      <c r="M18" s="7">
        <v>0.10720512038672406</v>
      </c>
      <c r="N18" s="7">
        <v>0.46647876339672478</v>
      </c>
      <c r="O18" s="7">
        <v>186.42886849743837</v>
      </c>
      <c r="P18" s="7">
        <v>2245.6391669329519</v>
      </c>
      <c r="Q18" s="7">
        <v>1923.1835614032389</v>
      </c>
    </row>
    <row r="19" spans="1:17" x14ac:dyDescent="0.25">
      <c r="A19" s="7">
        <v>20</v>
      </c>
      <c r="B19" s="7">
        <v>1.1673522130512617</v>
      </c>
      <c r="C19" s="7">
        <v>288.01301652492492</v>
      </c>
      <c r="D19" s="7">
        <v>51.456322528257381</v>
      </c>
      <c r="E19" s="7">
        <v>8.8357454783872136E-2</v>
      </c>
      <c r="F19" s="7">
        <v>100000</v>
      </c>
      <c r="G19" s="7">
        <v>0.48784627155270305</v>
      </c>
      <c r="H19" s="7">
        <v>0.43366599179372411</v>
      </c>
      <c r="I19" s="7">
        <v>872.55918071164012</v>
      </c>
      <c r="J19" s="7">
        <v>161.87108595576785</v>
      </c>
      <c r="K19" s="7">
        <v>6.7894040642083459E-2</v>
      </c>
      <c r="L19" s="7">
        <v>156204.81820432932</v>
      </c>
      <c r="M19" s="7">
        <v>5.0835808904804887E-2</v>
      </c>
      <c r="N19" s="7">
        <v>0.51876130569857337</v>
      </c>
      <c r="O19" s="7">
        <v>242.27817879563568</v>
      </c>
      <c r="P19" s="7">
        <v>364.42011840204174</v>
      </c>
      <c r="Q19" s="7">
        <v>913.3044898399894</v>
      </c>
    </row>
    <row r="20" spans="1:17" x14ac:dyDescent="0.25">
      <c r="A20" s="7">
        <v>21</v>
      </c>
      <c r="B20" s="7">
        <v>1.1799922266652665</v>
      </c>
      <c r="C20" s="7">
        <v>291.01036393460095</v>
      </c>
      <c r="D20" s="7">
        <v>67.581600342488102</v>
      </c>
      <c r="E20" s="7">
        <v>7.9905172247649398E-2</v>
      </c>
      <c r="F20" s="7">
        <v>100000</v>
      </c>
      <c r="G20" s="7">
        <v>4.8650419541148429</v>
      </c>
      <c r="H20" s="7">
        <v>0.41110412841837718</v>
      </c>
      <c r="I20" s="7">
        <v>818.55119174854599</v>
      </c>
      <c r="J20" s="7">
        <v>220.47694506823228</v>
      </c>
      <c r="K20" s="7">
        <v>1.4248390415235578E-2</v>
      </c>
      <c r="L20" s="7">
        <v>145666.65321070363</v>
      </c>
      <c r="M20" s="7">
        <v>0.10673229446208393</v>
      </c>
      <c r="N20" s="7">
        <v>0.36116903950427287</v>
      </c>
      <c r="O20" s="7">
        <v>189.74731781119178</v>
      </c>
      <c r="P20" s="7">
        <v>593.23331014976316</v>
      </c>
      <c r="Q20" s="7">
        <v>1316.5346815964949</v>
      </c>
    </row>
    <row r="21" spans="1:17" x14ac:dyDescent="0.25">
      <c r="A21" s="7">
        <v>23</v>
      </c>
      <c r="B21" s="7">
        <v>1.1863645271249033</v>
      </c>
      <c r="C21" s="7">
        <v>294.02941129868037</v>
      </c>
      <c r="D21" s="7">
        <v>13.037246120227197</v>
      </c>
      <c r="E21" s="7">
        <v>9.8599031473302109E-2</v>
      </c>
      <c r="F21" s="7">
        <v>100000</v>
      </c>
      <c r="G21" s="7">
        <v>2.8359104940982225</v>
      </c>
      <c r="H21" s="7">
        <v>0.4006640491038907</v>
      </c>
      <c r="I21" s="7">
        <v>875.80464183734</v>
      </c>
      <c r="J21" s="7">
        <v>524.92679152448727</v>
      </c>
      <c r="K21" s="7">
        <v>5.0520113780222795E-2</v>
      </c>
      <c r="L21" s="7">
        <v>118231.58451703473</v>
      </c>
      <c r="M21" s="7">
        <v>0.14535954538161339</v>
      </c>
      <c r="N21" s="7">
        <v>0.61141248666221903</v>
      </c>
      <c r="O21" s="7">
        <v>198.02834093429564</v>
      </c>
      <c r="P21" s="7">
        <v>2245.0090591005646</v>
      </c>
      <c r="Q21" s="7">
        <v>1973.9178719820266</v>
      </c>
    </row>
    <row r="22" spans="1:17" x14ac:dyDescent="0.25">
      <c r="A22" s="7">
        <v>25</v>
      </c>
      <c r="B22" s="7">
        <v>1.1729645406537783</v>
      </c>
      <c r="C22" s="7">
        <v>293.39660969092347</v>
      </c>
      <c r="D22" s="7">
        <v>66.486766660015746</v>
      </c>
      <c r="E22" s="7">
        <v>0.13917979513766859</v>
      </c>
      <c r="F22" s="7">
        <v>100000</v>
      </c>
      <c r="G22" s="7">
        <v>0.54758259115975338</v>
      </c>
      <c r="H22" s="7">
        <v>0.50760459962582272</v>
      </c>
      <c r="I22" s="7">
        <v>757.77837271387534</v>
      </c>
      <c r="J22" s="7">
        <v>252.82665385718241</v>
      </c>
      <c r="K22" s="7">
        <v>4.9254877084440554E-2</v>
      </c>
      <c r="L22" s="7">
        <v>161577.46491429102</v>
      </c>
      <c r="M22" s="7">
        <v>9.3950193646043512E-2</v>
      </c>
      <c r="N22" s="7">
        <v>0.65428073687006583</v>
      </c>
      <c r="O22" s="7">
        <v>242.55474133985615</v>
      </c>
      <c r="P22" s="7">
        <v>1758.2818591876448</v>
      </c>
      <c r="Q22" s="7">
        <v>990.02375374285475</v>
      </c>
    </row>
    <row r="23" spans="1:17" x14ac:dyDescent="0.25">
      <c r="A23" s="7">
        <v>26</v>
      </c>
      <c r="B23" s="7">
        <v>1.1715399378752125</v>
      </c>
      <c r="C23" s="7">
        <v>293.9186882234294</v>
      </c>
      <c r="D23" s="7">
        <v>10.639739294747354</v>
      </c>
      <c r="E23" s="7">
        <v>0.14589480298499208</v>
      </c>
      <c r="F23" s="7">
        <v>100000</v>
      </c>
      <c r="G23" s="7">
        <v>6.2802530069970279</v>
      </c>
      <c r="H23" s="7">
        <v>0.48129577225547154</v>
      </c>
      <c r="I23" s="7">
        <v>796.1142927222711</v>
      </c>
      <c r="J23" s="7">
        <v>485.07747877766099</v>
      </c>
      <c r="K23" s="7">
        <v>2.3442500483973602E-2</v>
      </c>
      <c r="L23" s="7">
        <v>126852.1169651916</v>
      </c>
      <c r="M23" s="7">
        <v>5.5247567391543219E-2</v>
      </c>
      <c r="N23" s="7">
        <v>0.405983829114971</v>
      </c>
      <c r="O23" s="7">
        <v>202.86834376671251</v>
      </c>
      <c r="P23" s="7">
        <v>2069.4392471006972</v>
      </c>
      <c r="Q23" s="7">
        <v>1876.833326313812</v>
      </c>
    </row>
    <row r="24" spans="1:17" x14ac:dyDescent="0.25">
      <c r="A24" s="7">
        <v>27</v>
      </c>
      <c r="B24" s="7">
        <v>1.1834600513440603</v>
      </c>
      <c r="C24" s="7">
        <v>296.79928024976806</v>
      </c>
      <c r="D24" s="7">
        <v>51.944594682467695</v>
      </c>
      <c r="E24" s="7">
        <v>9.4607762713498134E-2</v>
      </c>
      <c r="F24" s="7">
        <v>100000</v>
      </c>
      <c r="G24" s="7">
        <v>2.728392895448442</v>
      </c>
      <c r="H24" s="7">
        <v>0.49397624430053633</v>
      </c>
      <c r="I24" s="7">
        <v>764.25953532885876</v>
      </c>
      <c r="J24" s="7">
        <v>198.45624273815665</v>
      </c>
      <c r="K24" s="7">
        <v>1.0515926035967847E-2</v>
      </c>
      <c r="L24" s="7">
        <v>162181.73402825234</v>
      </c>
      <c r="M24" s="7">
        <v>0.1011693044377161</v>
      </c>
      <c r="N24" s="7">
        <v>0.41676968418847427</v>
      </c>
      <c r="O24" s="7">
        <v>205.09057136416428</v>
      </c>
      <c r="P24" s="7">
        <v>2015.1624917410059</v>
      </c>
      <c r="Q24" s="7">
        <v>855.70743371725985</v>
      </c>
    </row>
    <row r="25" spans="1:17" x14ac:dyDescent="0.25">
      <c r="A25" s="7">
        <v>28</v>
      </c>
      <c r="B25" s="7">
        <v>1.1788818218014081</v>
      </c>
      <c r="C25" s="7">
        <v>291.40269925733168</v>
      </c>
      <c r="D25" s="7">
        <v>17.155108207148217</v>
      </c>
      <c r="E25" s="7">
        <v>0.12416363904584618</v>
      </c>
      <c r="F25" s="7">
        <v>100000</v>
      </c>
      <c r="G25" s="7">
        <v>8.6604743009740854</v>
      </c>
      <c r="H25" s="7">
        <v>0.50364466674952724</v>
      </c>
      <c r="I25" s="7">
        <v>856.32376372973397</v>
      </c>
      <c r="J25" s="7">
        <v>128.82182759155734</v>
      </c>
      <c r="K25" s="7">
        <v>1.911811758958129E-2</v>
      </c>
      <c r="L25" s="7">
        <v>174918.71712178297</v>
      </c>
      <c r="M25" s="7">
        <v>0.12237837266074655</v>
      </c>
      <c r="N25" s="7">
        <v>0.60926705612178278</v>
      </c>
      <c r="O25" s="7">
        <v>214.09505846836413</v>
      </c>
      <c r="P25" s="7">
        <v>852.84255286092321</v>
      </c>
      <c r="Q25" s="7">
        <v>1335.7393316167218</v>
      </c>
    </row>
    <row r="26" spans="1:17" x14ac:dyDescent="0.25">
      <c r="A26" s="7">
        <v>30</v>
      </c>
      <c r="B26" s="7">
        <v>1.189828922648337</v>
      </c>
      <c r="C26" s="7">
        <v>289.45455163709482</v>
      </c>
      <c r="D26" s="7">
        <v>34.419859616428127</v>
      </c>
      <c r="E26" s="7">
        <v>0.1361962383603624</v>
      </c>
      <c r="F26" s="7">
        <v>100000</v>
      </c>
      <c r="G26" s="7">
        <v>3.2453864996373891</v>
      </c>
      <c r="H26" s="7">
        <v>0.50301948429145638</v>
      </c>
      <c r="I26" s="7">
        <v>772.61660641449919</v>
      </c>
      <c r="J26" s="7">
        <v>411.56178074535433</v>
      </c>
      <c r="K26" s="7">
        <v>3.4990681829183398E-2</v>
      </c>
      <c r="L26" s="7">
        <v>172788.33553333563</v>
      </c>
      <c r="M26" s="7">
        <v>0.13800175778086837</v>
      </c>
      <c r="N26" s="7">
        <v>0.65536084157339003</v>
      </c>
      <c r="O26" s="7">
        <v>214.73922983279206</v>
      </c>
      <c r="P26" s="7">
        <v>1963.5665429944502</v>
      </c>
      <c r="Q26" s="7">
        <v>1794.3802535401119</v>
      </c>
    </row>
    <row r="27" spans="1:17" x14ac:dyDescent="0.25">
      <c r="A27" s="7">
        <v>32</v>
      </c>
      <c r="B27" s="7">
        <v>1.1797900198056976</v>
      </c>
      <c r="C27" s="7">
        <v>290.67264167452203</v>
      </c>
      <c r="D27" s="7">
        <v>66.026138134958799</v>
      </c>
      <c r="E27" s="7">
        <v>0.1180464638117775</v>
      </c>
      <c r="F27" s="7">
        <v>100000</v>
      </c>
      <c r="G27" s="7">
        <v>1.2418117434650759</v>
      </c>
      <c r="H27" s="7">
        <v>0.47787253304630201</v>
      </c>
      <c r="I27" s="7">
        <v>796.06474478961582</v>
      </c>
      <c r="J27" s="7">
        <v>467.94523334836521</v>
      </c>
      <c r="K27" s="7">
        <v>1.6199251332970285E-2</v>
      </c>
      <c r="L27" s="7">
        <v>144799.10797847839</v>
      </c>
      <c r="M27" s="7">
        <v>0.12937872250377058</v>
      </c>
      <c r="N27" s="7">
        <v>0.52336254094954071</v>
      </c>
      <c r="O27" s="7">
        <v>226.32793943076197</v>
      </c>
      <c r="P27" s="7">
        <v>2036.076356676559</v>
      </c>
      <c r="Q27" s="7">
        <v>1702.9714892952979</v>
      </c>
    </row>
    <row r="28" spans="1:17" x14ac:dyDescent="0.25">
      <c r="A28" s="7">
        <v>33</v>
      </c>
      <c r="B28" s="7">
        <v>1.1844814367889824</v>
      </c>
      <c r="C28" s="7">
        <v>289.99342718337044</v>
      </c>
      <c r="D28" s="7">
        <v>57.144293069411361</v>
      </c>
      <c r="E28" s="7">
        <v>8.6295563133106309E-2</v>
      </c>
      <c r="F28" s="7">
        <v>100000</v>
      </c>
      <c r="G28" s="7">
        <v>4.2378197818462562</v>
      </c>
      <c r="H28" s="7">
        <v>0.47315260998239073</v>
      </c>
      <c r="I28" s="7">
        <v>766.46691433177523</v>
      </c>
      <c r="J28" s="7">
        <v>227.60699852590272</v>
      </c>
      <c r="K28" s="7">
        <v>2.1337609191090363E-2</v>
      </c>
      <c r="L28" s="7">
        <v>177474.71199794975</v>
      </c>
      <c r="M28" s="7">
        <v>0.1267271730044888</v>
      </c>
      <c r="N28" s="7">
        <v>0.58285015363379078</v>
      </c>
      <c r="O28" s="7">
        <v>222.55480535772159</v>
      </c>
      <c r="P28" s="7">
        <v>1707.7769945383536</v>
      </c>
      <c r="Q28" s="7">
        <v>1610.1124068199933</v>
      </c>
    </row>
    <row r="29" spans="1:17" x14ac:dyDescent="0.25">
      <c r="A29" s="7">
        <v>34</v>
      </c>
      <c r="B29" s="7">
        <v>1.1740108036653045</v>
      </c>
      <c r="C29" s="7">
        <v>294.18421439601582</v>
      </c>
      <c r="D29" s="7">
        <v>12.472413966080417</v>
      </c>
      <c r="E29" s="7">
        <v>7.3532746256728482E-2</v>
      </c>
      <c r="F29" s="7">
        <v>100000</v>
      </c>
      <c r="G29" s="7">
        <v>4.3413156370180292</v>
      </c>
      <c r="H29" s="7">
        <v>0.47937211126068502</v>
      </c>
      <c r="I29" s="7">
        <v>856.89120321277517</v>
      </c>
      <c r="J29" s="7">
        <v>204.55512875290879</v>
      </c>
      <c r="K29" s="7">
        <v>3.9142450608180529E-2</v>
      </c>
      <c r="L29" s="7">
        <v>153067.13892342028</v>
      </c>
      <c r="M29" s="7">
        <v>8.6462074165304187E-2</v>
      </c>
      <c r="N29" s="7">
        <v>0.51732571224818946</v>
      </c>
      <c r="O29" s="7">
        <v>222.68074341819968</v>
      </c>
      <c r="P29" s="7">
        <v>1893.4562013220743</v>
      </c>
      <c r="Q29" s="7">
        <v>840.43014171258983</v>
      </c>
    </row>
    <row r="30" spans="1:17" x14ac:dyDescent="0.25">
      <c r="A30" s="7">
        <v>35</v>
      </c>
      <c r="B30" s="7">
        <v>1.1774975665717502</v>
      </c>
      <c r="C30" s="7">
        <v>289.77045828002298</v>
      </c>
      <c r="D30" s="7">
        <v>54.995103183103538</v>
      </c>
      <c r="E30" s="7">
        <v>0.13275361359695659</v>
      </c>
      <c r="F30" s="7">
        <v>100000</v>
      </c>
      <c r="G30" s="7">
        <v>5.9604136976445146</v>
      </c>
      <c r="H30" s="7">
        <v>0.49048233117694279</v>
      </c>
      <c r="I30" s="7">
        <v>792.9980383952992</v>
      </c>
      <c r="J30" s="7">
        <v>221.92959695996637</v>
      </c>
      <c r="K30" s="7">
        <v>5.7019462483625022E-2</v>
      </c>
      <c r="L30" s="7">
        <v>150467.79922292745</v>
      </c>
      <c r="M30" s="7">
        <v>9.6555226567152264E-2</v>
      </c>
      <c r="N30" s="7">
        <v>0.42798539765641624</v>
      </c>
      <c r="O30" s="7">
        <v>204.19581862323108</v>
      </c>
      <c r="P30" s="7">
        <v>872.79727878081007</v>
      </c>
      <c r="Q30" s="7">
        <v>1412.2933062316661</v>
      </c>
    </row>
    <row r="31" spans="1:17" x14ac:dyDescent="0.25">
      <c r="A31" s="7">
        <v>37</v>
      </c>
      <c r="B31" s="7">
        <v>1.1880193984562519</v>
      </c>
      <c r="C31" s="7">
        <v>290.34443836343758</v>
      </c>
      <c r="D31" s="7">
        <v>20.79046632431924</v>
      </c>
      <c r="E31" s="7">
        <v>0.12050327512497727</v>
      </c>
      <c r="F31" s="7">
        <v>100000</v>
      </c>
      <c r="G31" s="7">
        <v>7.208984026833253</v>
      </c>
      <c r="H31" s="7">
        <v>0.49800045285576833</v>
      </c>
      <c r="I31" s="7">
        <v>774.14785444496806</v>
      </c>
      <c r="J31" s="7">
        <v>413.10382944474213</v>
      </c>
      <c r="K31" s="7">
        <v>6.6402143536600414E-2</v>
      </c>
      <c r="L31" s="7">
        <v>153176.60417975322</v>
      </c>
      <c r="M31" s="7">
        <v>0.13488863416600988</v>
      </c>
      <c r="N31" s="7">
        <v>0.51960387305215694</v>
      </c>
      <c r="O31" s="7">
        <v>233.21321473397438</v>
      </c>
      <c r="P31" s="7">
        <v>1987.2313071792287</v>
      </c>
      <c r="Q31" s="7">
        <v>1862.3601495018738</v>
      </c>
    </row>
    <row r="32" spans="1:17" x14ac:dyDescent="0.25">
      <c r="A32" s="7">
        <v>39</v>
      </c>
      <c r="B32" s="7">
        <v>1.188208708218486</v>
      </c>
      <c r="C32" s="7">
        <v>291.78138601097066</v>
      </c>
      <c r="D32" s="7">
        <v>54.417062328338005</v>
      </c>
      <c r="E32" s="7">
        <v>0.11984691524485561</v>
      </c>
      <c r="F32" s="7">
        <v>100000</v>
      </c>
      <c r="G32" s="7">
        <v>4.5946741819401611</v>
      </c>
      <c r="H32" s="7">
        <v>0.49554605436762339</v>
      </c>
      <c r="I32" s="7">
        <v>808.0530573980119</v>
      </c>
      <c r="J32" s="7">
        <v>441.557111085016</v>
      </c>
      <c r="K32" s="7">
        <v>3.468970930591566E-2</v>
      </c>
      <c r="L32" s="7">
        <v>142985.29682538088</v>
      </c>
      <c r="M32" s="7">
        <v>0.13392630559334717</v>
      </c>
      <c r="N32" s="7">
        <v>0.58751493399264021</v>
      </c>
      <c r="O32" s="7">
        <v>237.16846774225661</v>
      </c>
      <c r="P32" s="7">
        <v>1161.2064767080274</v>
      </c>
      <c r="Q32" s="7">
        <v>1695.9753761401444</v>
      </c>
    </row>
    <row r="33" spans="1:17" x14ac:dyDescent="0.25">
      <c r="A33" s="7">
        <v>40</v>
      </c>
      <c r="B33" s="7">
        <v>1.1823323324246318</v>
      </c>
      <c r="C33" s="7">
        <v>291.40003325127111</v>
      </c>
      <c r="D33" s="7">
        <v>28.174629100653142</v>
      </c>
      <c r="E33" s="7">
        <v>0.10756887787380046</v>
      </c>
      <c r="F33" s="7">
        <v>100000</v>
      </c>
      <c r="G33" s="7">
        <v>3.9469385163900896</v>
      </c>
      <c r="H33" s="7">
        <v>0.49099757408999006</v>
      </c>
      <c r="I33" s="7">
        <v>795.84163470431122</v>
      </c>
      <c r="J33" s="7">
        <v>297.6066609435901</v>
      </c>
      <c r="K33" s="7">
        <v>1.7798500623277026E-2</v>
      </c>
      <c r="L33" s="7">
        <v>175531.81586677657</v>
      </c>
      <c r="M33" s="7">
        <v>0.11772047107791392</v>
      </c>
      <c r="N33" s="7">
        <v>0.60724462791988643</v>
      </c>
      <c r="O33" s="7">
        <v>224.69077563153093</v>
      </c>
      <c r="P33" s="7">
        <v>1360.2502601313026</v>
      </c>
      <c r="Q33" s="7">
        <v>1440.3615554309727</v>
      </c>
    </row>
    <row r="34" spans="1:17" x14ac:dyDescent="0.25">
      <c r="A34" s="7">
        <v>41</v>
      </c>
      <c r="B34" s="7">
        <v>1.1822897611420855</v>
      </c>
      <c r="C34" s="7">
        <v>289.83249163179261</v>
      </c>
      <c r="D34" s="7">
        <v>28.679571949615877</v>
      </c>
      <c r="E34" s="7">
        <v>0.10685932407846019</v>
      </c>
      <c r="F34" s="7">
        <v>100000</v>
      </c>
      <c r="G34" s="7">
        <v>2.5631325641126015</v>
      </c>
      <c r="H34" s="7">
        <v>0.49331338115661905</v>
      </c>
      <c r="I34" s="7">
        <v>786.57985918939323</v>
      </c>
      <c r="J34" s="7">
        <v>305.30341576824759</v>
      </c>
      <c r="K34" s="7">
        <v>4.5603446123309785E-2</v>
      </c>
      <c r="L34" s="7">
        <v>139161.97551716151</v>
      </c>
      <c r="M34" s="7">
        <v>8.7929690327198939E-2</v>
      </c>
      <c r="N34" s="7">
        <v>0.4292270426768568</v>
      </c>
      <c r="O34" s="7">
        <v>231.12381699613732</v>
      </c>
      <c r="P34" s="7">
        <v>1205.0777304016965</v>
      </c>
      <c r="Q34" s="7">
        <v>1108.9441611295842</v>
      </c>
    </row>
    <row r="35" spans="1:17" x14ac:dyDescent="0.25">
      <c r="A35" s="7">
        <v>42</v>
      </c>
      <c r="B35" s="7">
        <v>1.1830835351799578</v>
      </c>
      <c r="C35" s="7">
        <v>291.56821234520027</v>
      </c>
      <c r="D35" s="7">
        <v>56.313637528584515</v>
      </c>
      <c r="E35" s="7">
        <v>0.11321065610777964</v>
      </c>
      <c r="F35" s="7">
        <v>100000</v>
      </c>
      <c r="G35" s="7">
        <v>1.7411734925087776</v>
      </c>
      <c r="H35" s="7">
        <v>0.4937142555490317</v>
      </c>
      <c r="I35" s="7">
        <v>834.61214311974391</v>
      </c>
      <c r="J35" s="7">
        <v>288.66739393297166</v>
      </c>
      <c r="K35" s="7">
        <v>3.9175692470987164E-2</v>
      </c>
      <c r="L35" s="7">
        <v>142346.05244436173</v>
      </c>
      <c r="M35" s="7">
        <v>9.6635551260441058E-2</v>
      </c>
      <c r="N35" s="7">
        <v>0.55216372928291801</v>
      </c>
      <c r="O35" s="7">
        <v>224.34619611979994</v>
      </c>
      <c r="P35" s="7">
        <v>1217.8581186337731</v>
      </c>
      <c r="Q35" s="7">
        <v>1046.7616909229473</v>
      </c>
    </row>
    <row r="36" spans="1:17" x14ac:dyDescent="0.25">
      <c r="A36" s="7">
        <v>43</v>
      </c>
      <c r="B36" s="7">
        <v>1.1813187708777266</v>
      </c>
      <c r="C36" s="7">
        <v>290.3935977128769</v>
      </c>
      <c r="D36" s="7">
        <v>48.787629366078725</v>
      </c>
      <c r="E36" s="7">
        <v>0.12211406897130427</v>
      </c>
      <c r="F36" s="7">
        <v>100000</v>
      </c>
      <c r="G36" s="7">
        <v>3.2276929297856127</v>
      </c>
      <c r="H36" s="7">
        <v>0.48281453398100338</v>
      </c>
      <c r="I36" s="7">
        <v>795.63794702617076</v>
      </c>
      <c r="J36" s="7">
        <v>242.68109127698108</v>
      </c>
      <c r="K36" s="7">
        <v>6.4121776946413869E-2</v>
      </c>
      <c r="L36" s="7">
        <v>170727.21806787123</v>
      </c>
      <c r="M36" s="7">
        <v>8.7755100078030751E-2</v>
      </c>
      <c r="N36" s="7">
        <v>0.53496237359398913</v>
      </c>
      <c r="O36" s="7">
        <v>209.06600274927786</v>
      </c>
      <c r="P36" s="7">
        <v>1924.9860296626146</v>
      </c>
      <c r="Q36" s="7">
        <v>1448.2778799246225</v>
      </c>
    </row>
    <row r="37" spans="1:17" x14ac:dyDescent="0.25">
      <c r="A37" s="7">
        <v>44</v>
      </c>
      <c r="B37" s="7">
        <v>1.1888806009168553</v>
      </c>
      <c r="C37" s="7">
        <v>292.65799515287966</v>
      </c>
      <c r="D37" s="7">
        <v>51.015765991956052</v>
      </c>
      <c r="E37" s="7">
        <v>9.0365935289773769E-2</v>
      </c>
      <c r="F37" s="7">
        <v>100000</v>
      </c>
      <c r="G37" s="7">
        <v>1.8542115022305889</v>
      </c>
      <c r="H37" s="7">
        <v>0.47872190432876027</v>
      </c>
      <c r="I37" s="7">
        <v>839.7660913450145</v>
      </c>
      <c r="J37" s="7">
        <v>392.05269684475559</v>
      </c>
      <c r="K37" s="7">
        <v>4.5864130174332017E-2</v>
      </c>
      <c r="L37" s="7">
        <v>142327.89682806074</v>
      </c>
      <c r="M37" s="7">
        <v>9.6646945300689804E-2</v>
      </c>
      <c r="N37" s="7">
        <v>0.513152884657472</v>
      </c>
      <c r="O37" s="7">
        <v>219.0269157357497</v>
      </c>
      <c r="P37" s="7">
        <v>973.85635304034633</v>
      </c>
      <c r="Q37" s="7">
        <v>1372.9792951396012</v>
      </c>
    </row>
    <row r="38" spans="1:17" x14ac:dyDescent="0.25">
      <c r="A38" s="7">
        <v>45</v>
      </c>
      <c r="B38" s="7">
        <v>1.1803743605463171</v>
      </c>
      <c r="C38" s="7">
        <v>292.50042783777911</v>
      </c>
      <c r="D38" s="7">
        <v>55.162399608891704</v>
      </c>
      <c r="E38" s="7">
        <v>0.12023453325991318</v>
      </c>
      <c r="F38" s="7">
        <v>100000</v>
      </c>
      <c r="G38" s="7">
        <v>6.9449023258555291</v>
      </c>
      <c r="H38" s="7">
        <v>0.4821484433640687</v>
      </c>
      <c r="I38" s="7">
        <v>834.22272064007916</v>
      </c>
      <c r="J38" s="7">
        <v>333.40811577693387</v>
      </c>
      <c r="K38" s="7">
        <v>3.2185383185525336E-2</v>
      </c>
      <c r="L38" s="7">
        <v>159645.23697853609</v>
      </c>
      <c r="M38" s="7">
        <v>0.1173736119540586</v>
      </c>
      <c r="N38" s="7">
        <v>0.46403063156334212</v>
      </c>
      <c r="O38" s="7">
        <v>225.42995189540224</v>
      </c>
      <c r="P38" s="7">
        <v>1912.6095992518199</v>
      </c>
      <c r="Q38" s="7">
        <v>1693.325836016149</v>
      </c>
    </row>
    <row r="39" spans="1:17" x14ac:dyDescent="0.25">
      <c r="A39" s="7">
        <v>46</v>
      </c>
      <c r="B39" s="7">
        <v>1.1874248217972829</v>
      </c>
      <c r="C39" s="7">
        <v>292.3153354787367</v>
      </c>
      <c r="D39" s="7">
        <v>39.127939244574542</v>
      </c>
      <c r="E39" s="7">
        <v>9.9379025457694489E-2</v>
      </c>
      <c r="F39" s="7">
        <v>100000</v>
      </c>
      <c r="G39" s="7">
        <v>5.1355995610793821</v>
      </c>
      <c r="H39" s="7">
        <v>0.48768300505385026</v>
      </c>
      <c r="I39" s="7">
        <v>780.15998387298544</v>
      </c>
      <c r="J39" s="7">
        <v>312.83128628366512</v>
      </c>
      <c r="K39" s="7">
        <v>1.8054631499051246E-2</v>
      </c>
      <c r="L39" s="7">
        <v>155399.11255698398</v>
      </c>
      <c r="M39" s="7">
        <v>0.12174575194575145</v>
      </c>
      <c r="N39" s="7">
        <v>0.59021670383432701</v>
      </c>
      <c r="O39" s="7">
        <v>229.93075483204041</v>
      </c>
      <c r="P39" s="7">
        <v>1143.5189712394667</v>
      </c>
      <c r="Q39" s="7">
        <v>1387.5620612159182</v>
      </c>
    </row>
    <row r="40" spans="1:17" x14ac:dyDescent="0.25">
      <c r="A40" s="7">
        <v>48</v>
      </c>
      <c r="B40" s="7">
        <v>1.1822596563843559</v>
      </c>
      <c r="C40" s="7">
        <v>290.52976855858702</v>
      </c>
      <c r="D40" s="7">
        <v>50.901984208771253</v>
      </c>
      <c r="E40" s="7">
        <v>8.2247720754658818E-2</v>
      </c>
      <c r="F40" s="7">
        <v>100000</v>
      </c>
      <c r="G40" s="7">
        <v>3.4894544781100754</v>
      </c>
      <c r="H40" s="7">
        <v>0.48220518849797239</v>
      </c>
      <c r="I40" s="7">
        <v>796.27126818892498</v>
      </c>
      <c r="J40" s="7">
        <v>289.88215537812476</v>
      </c>
      <c r="K40" s="7">
        <v>5.4393787298488552E-2</v>
      </c>
      <c r="L40" s="7">
        <v>144739.52261839234</v>
      </c>
      <c r="M40" s="7">
        <v>0.10046345821613198</v>
      </c>
      <c r="N40" s="7">
        <v>0.57012080017709965</v>
      </c>
      <c r="O40" s="7">
        <v>236.06702878149272</v>
      </c>
      <c r="P40" s="7">
        <v>1658.7851734141361</v>
      </c>
      <c r="Q40" s="7">
        <v>1183.7820914878321</v>
      </c>
    </row>
    <row r="41" spans="1:17" x14ac:dyDescent="0.25">
      <c r="A41" s="7">
        <v>49</v>
      </c>
      <c r="B41" s="7">
        <v>1.1816712139682854</v>
      </c>
      <c r="C41" s="7">
        <v>291.20596849980427</v>
      </c>
      <c r="D41" s="7">
        <v>39.824842562255391</v>
      </c>
      <c r="E41" s="7">
        <v>0.11493359087726635</v>
      </c>
      <c r="F41" s="7">
        <v>100000</v>
      </c>
      <c r="G41" s="7">
        <v>4.5690088892961001</v>
      </c>
      <c r="H41" s="7">
        <v>0.48896651923643142</v>
      </c>
      <c r="I41" s="7">
        <v>805.33089656869765</v>
      </c>
      <c r="J41" s="7">
        <v>387.51678630079618</v>
      </c>
      <c r="K41" s="7">
        <v>3.1812024219931706E-2</v>
      </c>
      <c r="L41" s="7">
        <v>165791.71682959312</v>
      </c>
      <c r="M41" s="7">
        <v>0.11859838249777759</v>
      </c>
      <c r="N41" s="7">
        <v>0.55609199480772942</v>
      </c>
      <c r="O41" s="7">
        <v>215.25731955449476</v>
      </c>
      <c r="P41" s="7">
        <v>1643.3858955506616</v>
      </c>
      <c r="Q41" s="7">
        <v>1746.2302158651219</v>
      </c>
    </row>
    <row r="42" spans="1:17" x14ac:dyDescent="0.25">
      <c r="A42" s="7">
        <v>50</v>
      </c>
      <c r="B42" s="7">
        <v>1.1837039216684568</v>
      </c>
      <c r="C42" s="7">
        <v>291.69998509905719</v>
      </c>
      <c r="D42" s="7">
        <v>53.273929829312962</v>
      </c>
      <c r="E42" s="7">
        <v>0.10302386411025102</v>
      </c>
      <c r="F42" s="7">
        <v>100000</v>
      </c>
      <c r="G42" s="7">
        <v>3.4340819164508769</v>
      </c>
      <c r="H42" s="7">
        <v>0.48444634860704505</v>
      </c>
      <c r="I42" s="7">
        <v>809.03865469197819</v>
      </c>
      <c r="J42" s="7">
        <v>345.1192939569591</v>
      </c>
      <c r="K42" s="7">
        <v>5.6396984582219103E-2</v>
      </c>
      <c r="L42" s="7">
        <v>161047.33416335963</v>
      </c>
      <c r="M42" s="7">
        <v>8.8712430225637628E-2</v>
      </c>
      <c r="N42" s="7">
        <v>0.5489035613038018</v>
      </c>
      <c r="O42" s="7">
        <v>215.61975848473568</v>
      </c>
      <c r="P42" s="7">
        <v>1454.4557442276762</v>
      </c>
      <c r="Q42" s="7">
        <v>1572.7842803352323</v>
      </c>
    </row>
    <row r="43" spans="1:17" x14ac:dyDescent="0.25">
      <c r="A43" s="7">
        <v>51</v>
      </c>
      <c r="B43" s="7">
        <v>1.1853315150934594</v>
      </c>
      <c r="C43" s="7">
        <v>289.99502985822949</v>
      </c>
      <c r="D43" s="7">
        <v>44.465727527888681</v>
      </c>
      <c r="E43" s="7">
        <v>9.9622962051842207E-2</v>
      </c>
      <c r="F43" s="7">
        <v>100000</v>
      </c>
      <c r="G43" s="7">
        <v>1.7799607829595907</v>
      </c>
      <c r="H43" s="7">
        <v>0.49160732001541896</v>
      </c>
      <c r="I43" s="7">
        <v>798.58424618542153</v>
      </c>
      <c r="J43" s="7">
        <v>242.82809815595334</v>
      </c>
      <c r="K43" s="7">
        <v>6.3456481022113986E-2</v>
      </c>
      <c r="L43" s="7">
        <v>148206.98810488076</v>
      </c>
      <c r="M43" s="7">
        <v>9.7332170647366031E-2</v>
      </c>
      <c r="N43" s="7">
        <v>0.55237192162139881</v>
      </c>
      <c r="O43" s="7">
        <v>216.90821388502732</v>
      </c>
      <c r="P43" s="7">
        <v>1816.3944101012096</v>
      </c>
      <c r="Q43" s="7">
        <v>1063.1665795085064</v>
      </c>
    </row>
    <row r="44" spans="1:17" x14ac:dyDescent="0.25">
      <c r="A44" s="7">
        <v>52</v>
      </c>
      <c r="B44" s="7">
        <v>1.1887983043743142</v>
      </c>
      <c r="C44" s="7">
        <v>290.12955374757934</v>
      </c>
      <c r="D44" s="7">
        <v>25.649635396762296</v>
      </c>
      <c r="E44" s="7">
        <v>0.1016281684802893</v>
      </c>
      <c r="F44" s="7">
        <v>100000</v>
      </c>
      <c r="G44" s="7">
        <v>1.7891079473984557</v>
      </c>
      <c r="H44" s="7">
        <v>0.49081209082990179</v>
      </c>
      <c r="I44" s="7">
        <v>797.77529671226398</v>
      </c>
      <c r="J44" s="7">
        <v>390.1339377257483</v>
      </c>
      <c r="K44" s="7">
        <v>3.3892030790395766E-2</v>
      </c>
      <c r="L44" s="7">
        <v>159224.16454496089</v>
      </c>
      <c r="M44" s="7">
        <v>9.2618886853517338E-2</v>
      </c>
      <c r="N44" s="7">
        <v>0.55633593962389183</v>
      </c>
      <c r="O44" s="7">
        <v>229.51410393958662</v>
      </c>
      <c r="P44" s="7">
        <v>1197.9721358662089</v>
      </c>
      <c r="Q44" s="7">
        <v>1498.4706974974179</v>
      </c>
    </row>
    <row r="45" spans="1:17" x14ac:dyDescent="0.25">
      <c r="A45" s="7">
        <v>53</v>
      </c>
      <c r="B45" s="7">
        <v>1.1825137553524987</v>
      </c>
      <c r="C45" s="7">
        <v>292.21826781003557</v>
      </c>
      <c r="D45" s="7">
        <v>50.025210569530529</v>
      </c>
      <c r="E45" s="7">
        <v>9.4952608714876499E-2</v>
      </c>
      <c r="F45" s="7">
        <v>100000</v>
      </c>
      <c r="G45" s="7">
        <v>2.6286645166677052</v>
      </c>
      <c r="H45" s="7">
        <v>0.48339653645444342</v>
      </c>
      <c r="I45" s="7">
        <v>797.02640395711626</v>
      </c>
      <c r="J45" s="7">
        <v>368.518546764532</v>
      </c>
      <c r="K45" s="7">
        <v>5.7215031318635604E-2</v>
      </c>
      <c r="L45" s="7">
        <v>169963.81155743758</v>
      </c>
      <c r="M45" s="7">
        <v>9.9261158314756792E-2</v>
      </c>
      <c r="N45" s="7">
        <v>0.50131274744453003</v>
      </c>
      <c r="O45" s="7">
        <v>233.09271268824932</v>
      </c>
      <c r="P45" s="7">
        <v>1293.4063492839341</v>
      </c>
      <c r="Q45" s="7">
        <v>1553.9610215500506</v>
      </c>
    </row>
    <row r="46" spans="1:17" x14ac:dyDescent="0.25">
      <c r="A46" s="7">
        <v>55</v>
      </c>
      <c r="B46" s="7">
        <v>1.1826837629542521</v>
      </c>
      <c r="C46" s="7">
        <v>291.78942040019996</v>
      </c>
      <c r="D46" s="7">
        <v>47.567088503219267</v>
      </c>
      <c r="E46" s="7">
        <v>9.0769074331067914E-2</v>
      </c>
      <c r="F46" s="7">
        <v>100000</v>
      </c>
      <c r="G46" s="7">
        <v>5.5760891482125086</v>
      </c>
      <c r="H46" s="7">
        <v>0.49129626298532675</v>
      </c>
      <c r="I46" s="7">
        <v>786.96717642514761</v>
      </c>
      <c r="J46" s="7">
        <v>248.01638633029575</v>
      </c>
      <c r="K46" s="7">
        <v>4.2739846348682602E-2</v>
      </c>
      <c r="L46" s="7">
        <v>150800.56657912294</v>
      </c>
      <c r="M46" s="7">
        <v>0.11543141489675825</v>
      </c>
      <c r="N46" s="7">
        <v>0.55589906377864096</v>
      </c>
      <c r="O46" s="7">
        <v>235.93033024104633</v>
      </c>
      <c r="P46" s="7">
        <v>1614.6942684299941</v>
      </c>
      <c r="Q46" s="7">
        <v>1201.5651261323874</v>
      </c>
    </row>
    <row r="47" spans="1:17" x14ac:dyDescent="0.25">
      <c r="A47" s="7">
        <v>56</v>
      </c>
      <c r="B47" s="7">
        <v>1.1827818601618114</v>
      </c>
      <c r="C47" s="7">
        <v>291.96167966268757</v>
      </c>
      <c r="D47" s="7">
        <v>29.120998034668499</v>
      </c>
      <c r="E47" s="7">
        <v>0.10645428566384479</v>
      </c>
      <c r="F47" s="7">
        <v>100000</v>
      </c>
      <c r="G47" s="7">
        <v>5.6993814236317304</v>
      </c>
      <c r="H47" s="7">
        <v>0.48810121806552476</v>
      </c>
      <c r="I47" s="7">
        <v>796.22323955268109</v>
      </c>
      <c r="J47" s="7">
        <v>363.91367550387372</v>
      </c>
      <c r="K47" s="7">
        <v>5.1512350678393097E-2</v>
      </c>
      <c r="L47" s="7">
        <v>170617.57658095221</v>
      </c>
      <c r="M47" s="7">
        <v>0.11205970607638573</v>
      </c>
      <c r="N47" s="7">
        <v>0.52990502593819744</v>
      </c>
      <c r="O47" s="7">
        <v>222.30840142336879</v>
      </c>
      <c r="P47" s="7">
        <v>1784.8079701113047</v>
      </c>
      <c r="Q47" s="7">
        <v>1636.6928523033785</v>
      </c>
    </row>
    <row r="48" spans="1:17" x14ac:dyDescent="0.25">
      <c r="A48" s="7">
        <v>57</v>
      </c>
      <c r="B48" s="7">
        <v>1.1829230642964457</v>
      </c>
      <c r="C48" s="7">
        <v>290.67690898495812</v>
      </c>
      <c r="D48" s="7">
        <v>47.300643165102272</v>
      </c>
      <c r="E48" s="7">
        <v>0.1022549605344994</v>
      </c>
      <c r="F48" s="7">
        <v>100000</v>
      </c>
      <c r="G48" s="7">
        <v>4.7280701981334019</v>
      </c>
      <c r="H48" s="7">
        <v>0.47968033793476728</v>
      </c>
      <c r="I48" s="7">
        <v>793.09901016327331</v>
      </c>
      <c r="J48" s="7">
        <v>340.61153615474478</v>
      </c>
      <c r="K48" s="7">
        <v>3.9058325867399539E-2</v>
      </c>
      <c r="L48" s="7">
        <v>164696.46918308284</v>
      </c>
      <c r="M48" s="7">
        <v>0.1067269447963356</v>
      </c>
      <c r="N48" s="7">
        <v>0.512419089634786</v>
      </c>
      <c r="O48" s="7">
        <v>226.45528055756748</v>
      </c>
      <c r="P48" s="7">
        <v>1518.8018140484005</v>
      </c>
      <c r="Q48" s="7">
        <v>1654.4016894780143</v>
      </c>
    </row>
    <row r="49" spans="1:17" x14ac:dyDescent="0.25">
      <c r="A49" s="7">
        <v>58</v>
      </c>
      <c r="B49" s="7">
        <v>1.1872927311071801</v>
      </c>
      <c r="C49" s="7">
        <v>290.84719285901906</v>
      </c>
      <c r="D49" s="7">
        <v>42.935003297203664</v>
      </c>
      <c r="E49" s="7">
        <v>9.4241178971364567E-2</v>
      </c>
      <c r="F49" s="7">
        <v>100000</v>
      </c>
      <c r="G49" s="7">
        <v>5.4436735700576486</v>
      </c>
      <c r="H49" s="7">
        <v>0.48674696353323677</v>
      </c>
      <c r="I49" s="7">
        <v>806.2707214966116</v>
      </c>
      <c r="J49" s="7">
        <v>385.97221270388957</v>
      </c>
      <c r="K49" s="7">
        <v>4.9608329594061605E-2</v>
      </c>
      <c r="L49" s="7">
        <v>154545.5120654646</v>
      </c>
      <c r="M49" s="7">
        <v>9.7580004574298246E-2</v>
      </c>
      <c r="N49" s="7">
        <v>0.53677039714905472</v>
      </c>
      <c r="O49" s="7">
        <v>231.20428264317587</v>
      </c>
      <c r="P49" s="7">
        <v>1325.572996309447</v>
      </c>
      <c r="Q49" s="7">
        <v>1729.9907068291723</v>
      </c>
    </row>
    <row r="50" spans="1:17" x14ac:dyDescent="0.25">
      <c r="A50" s="7">
        <v>59</v>
      </c>
      <c r="B50" s="7">
        <v>1.185111782490432</v>
      </c>
      <c r="C50" s="7">
        <v>291.82701522341154</v>
      </c>
      <c r="D50" s="7">
        <v>31.623066738730586</v>
      </c>
      <c r="E50" s="7">
        <v>9.5847172887876822E-2</v>
      </c>
      <c r="F50" s="7">
        <v>100000</v>
      </c>
      <c r="G50" s="7">
        <v>2.6375471810802842</v>
      </c>
      <c r="H50" s="7">
        <v>0.47960261039357049</v>
      </c>
      <c r="I50" s="7">
        <v>802.7191915937351</v>
      </c>
      <c r="J50" s="7">
        <v>300.99876491682954</v>
      </c>
      <c r="K50" s="7">
        <v>4.1586963608203555E-2</v>
      </c>
      <c r="L50" s="7">
        <v>158648.17618875444</v>
      </c>
      <c r="M50" s="7">
        <v>0.10941923984294738</v>
      </c>
      <c r="N50" s="7">
        <v>0.53351175656686378</v>
      </c>
      <c r="O50" s="7">
        <v>225.83714162877354</v>
      </c>
      <c r="P50" s="7">
        <v>1590.6978520544865</v>
      </c>
      <c r="Q50" s="7">
        <v>1232.5516146122754</v>
      </c>
    </row>
    <row r="51" spans="1:17" x14ac:dyDescent="0.25">
      <c r="A51" s="7">
        <v>60</v>
      </c>
      <c r="B51" s="7">
        <v>1.1830353128235591</v>
      </c>
      <c r="C51" s="7">
        <v>290.59067002198708</v>
      </c>
      <c r="D51" s="7">
        <v>37.902030309110586</v>
      </c>
      <c r="E51" s="7">
        <v>9.9477505209657646E-2</v>
      </c>
      <c r="F51" s="7">
        <v>100000</v>
      </c>
      <c r="G51" s="7">
        <v>2.9933045781587033</v>
      </c>
      <c r="H51" s="7">
        <v>0.484165682867785</v>
      </c>
      <c r="I51" s="7">
        <v>808.86121297364832</v>
      </c>
      <c r="J51" s="7">
        <v>248.39505898059159</v>
      </c>
      <c r="K51" s="7">
        <v>4.7748547687613489E-2</v>
      </c>
      <c r="L51" s="7">
        <v>154870.84920712697</v>
      </c>
      <c r="M51" s="7">
        <v>0.11340736758429143</v>
      </c>
      <c r="N51" s="7">
        <v>0.51855574788572611</v>
      </c>
      <c r="O51" s="7">
        <v>228.06926272819462</v>
      </c>
      <c r="P51" s="7">
        <v>1474.8143582627017</v>
      </c>
      <c r="Q51" s="7">
        <v>1151.4305541862777</v>
      </c>
    </row>
    <row r="52" spans="1:17" x14ac:dyDescent="0.25">
      <c r="A52" s="7">
        <v>61</v>
      </c>
      <c r="B52" s="7">
        <v>1.1869766889967901</v>
      </c>
      <c r="C52" s="7">
        <v>290.0235473706191</v>
      </c>
      <c r="D52" s="7">
        <v>29.417434009077549</v>
      </c>
      <c r="E52" s="7">
        <v>0.10158789381132523</v>
      </c>
      <c r="F52" s="7">
        <v>100000</v>
      </c>
      <c r="G52" s="7">
        <v>5.5806560039015238</v>
      </c>
      <c r="H52" s="7">
        <v>0.48985361599906913</v>
      </c>
      <c r="I52" s="7">
        <v>788.70948875204601</v>
      </c>
      <c r="J52" s="7">
        <v>292.91826988348481</v>
      </c>
      <c r="K52" s="7">
        <v>6.1265248387094809E-2</v>
      </c>
      <c r="L52" s="7">
        <v>149034.77522756814</v>
      </c>
      <c r="M52" s="7">
        <v>0.10539737366312664</v>
      </c>
      <c r="N52" s="7">
        <v>0.52710752612830247</v>
      </c>
      <c r="O52" s="7">
        <v>226.46841226066672</v>
      </c>
      <c r="P52" s="7">
        <v>1687.553482158266</v>
      </c>
      <c r="Q52" s="7">
        <v>1414.8742327828004</v>
      </c>
    </row>
    <row r="53" spans="1:17" x14ac:dyDescent="0.25">
      <c r="A53" s="7">
        <v>62</v>
      </c>
      <c r="B53" s="7">
        <v>1.1830898236718601</v>
      </c>
      <c r="C53" s="7">
        <v>291.78690733155673</v>
      </c>
      <c r="D53" s="7">
        <v>35.177283754190171</v>
      </c>
      <c r="E53" s="7">
        <v>0.10185471843018126</v>
      </c>
      <c r="F53" s="7">
        <v>100000</v>
      </c>
      <c r="G53" s="7">
        <v>5.4397081032452261</v>
      </c>
      <c r="H53" s="7">
        <v>0.48205674462971831</v>
      </c>
      <c r="I53" s="7">
        <v>798.01577811377695</v>
      </c>
      <c r="J53" s="7">
        <v>310.73886445858875</v>
      </c>
      <c r="K53" s="7">
        <v>4.6692273858176009E-2</v>
      </c>
      <c r="L53" s="7">
        <v>157269.67646735269</v>
      </c>
      <c r="M53" s="7">
        <v>9.9240177794513995E-2</v>
      </c>
      <c r="N53" s="7">
        <v>0.52454075850800741</v>
      </c>
      <c r="O53" s="7">
        <v>230.82939628775731</v>
      </c>
      <c r="P53" s="7">
        <v>1332.6416601380549</v>
      </c>
      <c r="Q53" s="7">
        <v>1431.0796292925297</v>
      </c>
    </row>
    <row r="54" spans="1:17" x14ac:dyDescent="0.25">
      <c r="A54" s="7">
        <v>63</v>
      </c>
      <c r="B54" s="7">
        <v>1.1841388125730323</v>
      </c>
      <c r="C54" s="7">
        <v>290.50070897780597</v>
      </c>
      <c r="D54" s="7">
        <v>45.83272025435501</v>
      </c>
      <c r="E54" s="7">
        <v>0.10000582576110047</v>
      </c>
      <c r="F54" s="7">
        <v>100000</v>
      </c>
      <c r="G54" s="7">
        <v>5.3077791277816821</v>
      </c>
      <c r="H54" s="7">
        <v>0.4854435073470203</v>
      </c>
      <c r="I54" s="7">
        <v>800.54172870123955</v>
      </c>
      <c r="J54" s="7">
        <v>343.18694026096568</v>
      </c>
      <c r="K54" s="7">
        <v>4.3486920636574708E-2</v>
      </c>
      <c r="L54" s="7">
        <v>154732.35242059655</v>
      </c>
      <c r="M54" s="7">
        <v>9.8181893369608503E-2</v>
      </c>
      <c r="N54" s="7">
        <v>0.50538960846967229</v>
      </c>
      <c r="O54" s="7">
        <v>233.9462871688394</v>
      </c>
      <c r="P54" s="7">
        <v>1443.3277966976746</v>
      </c>
      <c r="Q54" s="7">
        <v>1605.269539738707</v>
      </c>
    </row>
    <row r="55" spans="1:17" x14ac:dyDescent="0.25">
      <c r="A55" s="7">
        <v>64</v>
      </c>
      <c r="B55" s="7">
        <v>1.1826803690941177</v>
      </c>
      <c r="C55" s="7">
        <v>291.91720223137287</v>
      </c>
      <c r="D55" s="7">
        <v>31.246225583163749</v>
      </c>
      <c r="E55" s="7">
        <v>9.4007363637526292E-2</v>
      </c>
      <c r="F55" s="7">
        <v>100000</v>
      </c>
      <c r="G55" s="7">
        <v>2.8785597318165737</v>
      </c>
      <c r="H55" s="7">
        <v>0.47999661784055148</v>
      </c>
      <c r="I55" s="7">
        <v>793.10011292898935</v>
      </c>
      <c r="J55" s="7">
        <v>358.44529659058776</v>
      </c>
      <c r="K55" s="7">
        <v>3.9031360535332217E-2</v>
      </c>
      <c r="L55" s="7">
        <v>167966.18928001463</v>
      </c>
      <c r="M55" s="7">
        <v>0.10425924328557352</v>
      </c>
      <c r="N55" s="7">
        <v>0.53180790695988112</v>
      </c>
      <c r="O55" s="7">
        <v>225.87612576418184</v>
      </c>
      <c r="P55" s="7">
        <v>1366.9267331727613</v>
      </c>
      <c r="Q55" s="7">
        <v>1450.1793578652942</v>
      </c>
    </row>
    <row r="56" spans="1:17" x14ac:dyDescent="0.25">
      <c r="A56" s="7">
        <v>68</v>
      </c>
      <c r="B56" s="7">
        <v>1.1857534489337771</v>
      </c>
      <c r="C56" s="7">
        <v>290.0841635523131</v>
      </c>
      <c r="D56" s="7">
        <v>32.088283011919749</v>
      </c>
      <c r="E56" s="7">
        <v>9.9028248046046652E-2</v>
      </c>
      <c r="F56" s="7">
        <v>100000</v>
      </c>
      <c r="G56" s="7">
        <v>3.5476475060874328</v>
      </c>
      <c r="H56" s="7">
        <v>0.48725903838281992</v>
      </c>
      <c r="I56" s="7">
        <v>788.8163854808937</v>
      </c>
      <c r="J56" s="7">
        <v>372.91590789227405</v>
      </c>
      <c r="K56" s="7">
        <v>4.3668050256914559E-2</v>
      </c>
      <c r="L56" s="7">
        <v>164921.1089575915</v>
      </c>
      <c r="M56" s="7">
        <v>0.10925503144567542</v>
      </c>
      <c r="N56" s="7">
        <v>0.51282510120447389</v>
      </c>
      <c r="O56" s="7">
        <v>225.9178491556728</v>
      </c>
      <c r="P56" s="7">
        <v>1494.1025562089726</v>
      </c>
      <c r="Q56" s="7">
        <v>1621.6673645483606</v>
      </c>
    </row>
    <row r="57" spans="1:17" x14ac:dyDescent="0.25">
      <c r="A57" s="7">
        <v>69</v>
      </c>
      <c r="B57" s="7">
        <v>1.1842351937687596</v>
      </c>
      <c r="C57" s="7">
        <v>290.20417724977733</v>
      </c>
      <c r="D57" s="7">
        <v>41.138876345579718</v>
      </c>
      <c r="E57" s="7">
        <v>9.4094464303609363E-2</v>
      </c>
      <c r="F57" s="7">
        <v>100000</v>
      </c>
      <c r="G57" s="7">
        <v>4.7817726025707969</v>
      </c>
      <c r="H57" s="7">
        <v>0.48514582706319043</v>
      </c>
      <c r="I57" s="7">
        <v>807.95803692782329</v>
      </c>
      <c r="J57" s="7">
        <v>363.38852224455445</v>
      </c>
      <c r="K57" s="7">
        <v>4.7505795508652415E-2</v>
      </c>
      <c r="L57" s="7">
        <v>168527.28713077406</v>
      </c>
      <c r="M57" s="7">
        <v>0.10635992502547245</v>
      </c>
      <c r="N57" s="7">
        <v>0.52429896246273899</v>
      </c>
      <c r="O57" s="7">
        <v>227.24830973446223</v>
      </c>
      <c r="P57" s="7">
        <v>1522.1230450848416</v>
      </c>
      <c r="Q57" s="7">
        <v>1736.6673217146235</v>
      </c>
    </row>
    <row r="58" spans="1:17" x14ac:dyDescent="0.25">
      <c r="A58" s="7">
        <v>70</v>
      </c>
      <c r="B58" s="7">
        <v>1.1841763029494066</v>
      </c>
      <c r="C58" s="7">
        <v>290.27844074056986</v>
      </c>
      <c r="D58" s="7">
        <v>41.314779339696628</v>
      </c>
      <c r="E58" s="7">
        <v>9.905447222527336E-2</v>
      </c>
      <c r="F58" s="7">
        <v>100000</v>
      </c>
      <c r="G58" s="7">
        <v>3.0407667096714475</v>
      </c>
      <c r="H58" s="7">
        <v>0.48929114374752702</v>
      </c>
      <c r="I58" s="7">
        <v>794.38829889069518</v>
      </c>
      <c r="J58" s="7">
        <v>332.05755393872619</v>
      </c>
      <c r="K58" s="7">
        <v>5.4421175754162734E-2</v>
      </c>
      <c r="L58" s="7">
        <v>155536.47067642637</v>
      </c>
      <c r="M58" s="7">
        <v>0.10460653010577602</v>
      </c>
      <c r="N58" s="7">
        <v>0.52574594605488389</v>
      </c>
      <c r="O58" s="7">
        <v>229.55107298883505</v>
      </c>
      <c r="P58" s="7">
        <v>1554.7997423155953</v>
      </c>
      <c r="Q58" s="7">
        <v>1436.5738962757678</v>
      </c>
    </row>
    <row r="59" spans="1:17" x14ac:dyDescent="0.25">
      <c r="A59" s="7">
        <v>72</v>
      </c>
      <c r="B59" s="7">
        <v>1.1839969905188263</v>
      </c>
      <c r="C59" s="7">
        <v>290.51168852511518</v>
      </c>
      <c r="D59" s="7">
        <v>42.243811742341734</v>
      </c>
      <c r="E59" s="7">
        <v>9.9784281463172628E-2</v>
      </c>
      <c r="F59" s="7">
        <v>100000</v>
      </c>
      <c r="G59" s="7">
        <v>4.7302119070458266</v>
      </c>
      <c r="H59" s="7">
        <v>0.48004133298338225</v>
      </c>
      <c r="I59" s="7">
        <v>808.26752888793817</v>
      </c>
      <c r="J59" s="7">
        <v>297.06176666576494</v>
      </c>
      <c r="K59" s="7">
        <v>5.8663488346134232E-2</v>
      </c>
      <c r="L59" s="7">
        <v>163279.43423280615</v>
      </c>
      <c r="M59" s="7">
        <v>0.1057832013123914</v>
      </c>
      <c r="N59" s="7">
        <v>0.51037245595634262</v>
      </c>
      <c r="O59" s="7">
        <v>229.68377611746106</v>
      </c>
      <c r="P59" s="7">
        <v>1395.0617918251298</v>
      </c>
      <c r="Q59" s="7">
        <v>1502.1489992306379</v>
      </c>
    </row>
    <row r="60" spans="1:17" x14ac:dyDescent="0.25">
      <c r="A60" s="7">
        <v>73</v>
      </c>
      <c r="B60" s="7">
        <v>1.1855770553826048</v>
      </c>
      <c r="C60" s="7">
        <v>291.54936185486235</v>
      </c>
      <c r="D60" s="7">
        <v>41.949279267618216</v>
      </c>
      <c r="E60" s="7">
        <v>9.6116186056914618E-2</v>
      </c>
      <c r="F60" s="7">
        <v>100000</v>
      </c>
      <c r="G60" s="7">
        <v>4.8019210769434544</v>
      </c>
      <c r="H60" s="7">
        <v>0.4800961263809102</v>
      </c>
      <c r="I60" s="7">
        <v>792.97022591369944</v>
      </c>
      <c r="J60" s="7">
        <v>372.70768926802134</v>
      </c>
      <c r="K60" s="7">
        <v>4.1523001390772779E-2</v>
      </c>
      <c r="L60" s="7">
        <v>155179.18124556763</v>
      </c>
      <c r="M60" s="7">
        <v>0.10727329099900246</v>
      </c>
      <c r="N60" s="7">
        <v>0.52174924519898602</v>
      </c>
      <c r="O60" s="7">
        <v>231.36094110772473</v>
      </c>
      <c r="P60" s="7">
        <v>1468.2422198349029</v>
      </c>
      <c r="Q60" s="7">
        <v>1603.5885452179282</v>
      </c>
    </row>
    <row r="61" spans="1:17" x14ac:dyDescent="0.25">
      <c r="A61" s="7">
        <v>74</v>
      </c>
      <c r="B61" s="7">
        <v>1.1867391010655428</v>
      </c>
      <c r="C61" s="7">
        <v>290.84770778093809</v>
      </c>
      <c r="D61" s="7">
        <v>41.100420900968516</v>
      </c>
      <c r="E61" s="7">
        <v>9.4412061947689196E-2</v>
      </c>
      <c r="F61" s="7">
        <v>100000</v>
      </c>
      <c r="G61" s="7">
        <v>4.3761999261814015</v>
      </c>
      <c r="H61" s="7">
        <v>0.48330496089380109</v>
      </c>
      <c r="I61" s="7">
        <v>800.99975514096184</v>
      </c>
      <c r="J61" s="7">
        <v>302.96139216104365</v>
      </c>
      <c r="K61" s="7">
        <v>4.6709532983626768E-2</v>
      </c>
      <c r="L61" s="7">
        <v>166766.13801479319</v>
      </c>
      <c r="M61" s="7">
        <v>0.10440863122572769</v>
      </c>
      <c r="N61" s="7">
        <v>0.53049308843471332</v>
      </c>
      <c r="O61" s="7">
        <v>229.40494189152528</v>
      </c>
      <c r="P61" s="7">
        <v>1411.9798916716663</v>
      </c>
      <c r="Q61" s="7">
        <v>1497.7934504625664</v>
      </c>
    </row>
    <row r="62" spans="1:17" x14ac:dyDescent="0.25">
      <c r="A62" s="7">
        <v>75</v>
      </c>
      <c r="B62" s="7">
        <v>1.1870464103747846</v>
      </c>
      <c r="C62" s="7">
        <v>290.22357688612101</v>
      </c>
      <c r="D62" s="7">
        <v>32.695466049090491</v>
      </c>
      <c r="E62" s="7">
        <v>9.9008751392579392E-2</v>
      </c>
      <c r="F62" s="7">
        <v>100000</v>
      </c>
      <c r="G62" s="7">
        <v>3.7002969622742872</v>
      </c>
      <c r="H62" s="7">
        <v>0.4887805145052076</v>
      </c>
      <c r="I62" s="7">
        <v>805.05636380969213</v>
      </c>
      <c r="J62" s="7">
        <v>329.80270735841611</v>
      </c>
      <c r="K62" s="7">
        <v>4.801509355449967E-2</v>
      </c>
      <c r="L62" s="7">
        <v>155514.42473651766</v>
      </c>
      <c r="M62" s="7">
        <v>0.1058522475296771</v>
      </c>
      <c r="N62" s="7">
        <v>0.51242302114556815</v>
      </c>
      <c r="O62" s="7">
        <v>227.01566385598016</v>
      </c>
      <c r="P62" s="7">
        <v>1573.4755669719398</v>
      </c>
      <c r="Q62" s="7">
        <v>1456.8084740338891</v>
      </c>
    </row>
    <row r="63" spans="1:17" x14ac:dyDescent="0.25">
      <c r="A63" s="7">
        <v>76</v>
      </c>
      <c r="B63" s="7">
        <v>1.1856199881393736</v>
      </c>
      <c r="C63" s="7">
        <v>290.47484811468985</v>
      </c>
      <c r="D63" s="7">
        <v>39.232710484223418</v>
      </c>
      <c r="E63" s="7">
        <v>9.5577383531499416E-2</v>
      </c>
      <c r="F63" s="7">
        <v>100000</v>
      </c>
      <c r="G63" s="7">
        <v>3.2327850229315636</v>
      </c>
      <c r="H63" s="7">
        <v>0.48726221587190049</v>
      </c>
      <c r="I63" s="7">
        <v>798.3167268978118</v>
      </c>
      <c r="J63" s="7">
        <v>301.54399409122584</v>
      </c>
      <c r="K63" s="7">
        <v>4.7956804446013725E-2</v>
      </c>
      <c r="L63" s="7">
        <v>158596.12041252706</v>
      </c>
      <c r="M63" s="7">
        <v>0.10384985339309792</v>
      </c>
      <c r="N63" s="7">
        <v>0.52854805954770712</v>
      </c>
      <c r="O63" s="7">
        <v>226.95338602090402</v>
      </c>
      <c r="P63" s="7">
        <v>1545.4037900206072</v>
      </c>
      <c r="Q63" s="7">
        <v>1373.8940815548922</v>
      </c>
    </row>
    <row r="64" spans="1:17" x14ac:dyDescent="0.25">
      <c r="A64" s="7">
        <v>78</v>
      </c>
      <c r="B64" s="7">
        <v>1.1838293033943352</v>
      </c>
      <c r="C64" s="7">
        <v>290.80770057379868</v>
      </c>
      <c r="D64" s="7">
        <v>38.005181950046698</v>
      </c>
      <c r="E64" s="7">
        <v>9.3194112630156326E-2</v>
      </c>
      <c r="F64" s="7">
        <v>100000</v>
      </c>
      <c r="G64" s="7">
        <v>3.732504022608683</v>
      </c>
      <c r="H64" s="7">
        <v>0.48817203094400974</v>
      </c>
      <c r="I64" s="7">
        <v>790.95284102035862</v>
      </c>
      <c r="J64" s="7">
        <v>302.95694932011833</v>
      </c>
      <c r="K64" s="7">
        <v>4.3462863644308292E-2</v>
      </c>
      <c r="L64" s="7">
        <v>166231.29488071662</v>
      </c>
      <c r="M64" s="7">
        <v>0.10448890625593517</v>
      </c>
      <c r="N64" s="7">
        <v>0.52475128863284837</v>
      </c>
      <c r="O64" s="7">
        <v>230.18030349894772</v>
      </c>
      <c r="P64" s="7">
        <v>1538.1348530233172</v>
      </c>
      <c r="Q64" s="7">
        <v>1431.663008728814</v>
      </c>
    </row>
    <row r="65" spans="1:17" x14ac:dyDescent="0.25">
      <c r="A65" s="7">
        <v>81</v>
      </c>
      <c r="B65" s="7">
        <v>1.1847706599581183</v>
      </c>
      <c r="C65" s="7">
        <v>291.30020378406692</v>
      </c>
      <c r="D65" s="7">
        <v>40.566697071274987</v>
      </c>
      <c r="E65" s="7">
        <v>9.2664736197040173E-2</v>
      </c>
      <c r="F65" s="7">
        <v>100000</v>
      </c>
      <c r="G65" s="7">
        <v>4.674194748345684</v>
      </c>
      <c r="H65" s="7">
        <v>0.48061953636868793</v>
      </c>
      <c r="I65" s="7">
        <v>802.05496963422922</v>
      </c>
      <c r="J65" s="7">
        <v>364.32274868783804</v>
      </c>
      <c r="K65" s="7">
        <v>5.6689317314813123E-2</v>
      </c>
      <c r="L65" s="7">
        <v>156359.34260340268</v>
      </c>
      <c r="M65" s="7">
        <v>0.10681913188817137</v>
      </c>
      <c r="N65" s="7">
        <v>0.5261682485586392</v>
      </c>
      <c r="O65" s="7">
        <v>228.19439659883705</v>
      </c>
      <c r="P65" s="7">
        <v>1417.4766586278197</v>
      </c>
      <c r="Q65" s="7">
        <v>1599.2979587343798</v>
      </c>
    </row>
    <row r="66" spans="1:17" x14ac:dyDescent="0.25">
      <c r="A66" s="7">
        <v>83</v>
      </c>
      <c r="B66" s="7">
        <v>1.1853984275808076</v>
      </c>
      <c r="C66" s="7">
        <v>290.45754940099738</v>
      </c>
      <c r="D66" s="7">
        <v>38.817505183373882</v>
      </c>
      <c r="E66" s="7">
        <v>9.4416664198918129E-2</v>
      </c>
      <c r="F66" s="7">
        <v>100000</v>
      </c>
      <c r="G66" s="7">
        <v>3.8126402534353154</v>
      </c>
      <c r="H66" s="7">
        <v>0.48800216864497897</v>
      </c>
      <c r="I66" s="7">
        <v>804.49891601461957</v>
      </c>
      <c r="J66" s="7">
        <v>352.69148332838307</v>
      </c>
      <c r="K66" s="7">
        <v>4.2605008938684588E-2</v>
      </c>
      <c r="L66" s="7">
        <v>165006.68650057647</v>
      </c>
      <c r="M66" s="7">
        <v>0.10720501243139417</v>
      </c>
      <c r="N66" s="7">
        <v>0.52487032639588282</v>
      </c>
      <c r="O66" s="7">
        <v>227.08332013695053</v>
      </c>
      <c r="P66" s="7">
        <v>1428.1545220755015</v>
      </c>
      <c r="Q66" s="7">
        <v>1601.033326597586</v>
      </c>
    </row>
    <row r="67" spans="1:17" x14ac:dyDescent="0.25">
      <c r="A67" s="7">
        <v>85</v>
      </c>
      <c r="B67" s="7">
        <v>1.1866542628338048</v>
      </c>
      <c r="C67" s="7">
        <v>290.33775505714618</v>
      </c>
      <c r="D67" s="7">
        <v>38.043976523282566</v>
      </c>
      <c r="E67" s="7">
        <v>9.7659172666860111E-2</v>
      </c>
      <c r="F67" s="7">
        <v>100000</v>
      </c>
      <c r="G67" s="7">
        <v>3.7984958482894959</v>
      </c>
      <c r="H67" s="7">
        <v>0.48822791632994694</v>
      </c>
      <c r="I67" s="7">
        <v>791.1349538273314</v>
      </c>
      <c r="J67" s="7">
        <v>364.0652135848058</v>
      </c>
      <c r="K67" s="7">
        <v>5.429159305338857E-2</v>
      </c>
      <c r="L67" s="7">
        <v>166009.62551581167</v>
      </c>
      <c r="M67" s="7">
        <v>0.10685320225891637</v>
      </c>
      <c r="N67" s="7">
        <v>0.51587754696031984</v>
      </c>
      <c r="O67" s="7">
        <v>229.18000872741098</v>
      </c>
      <c r="P67" s="7">
        <v>1485.1580367466602</v>
      </c>
      <c r="Q67" s="7">
        <v>1626.5472300109031</v>
      </c>
    </row>
    <row r="68" spans="1:17" x14ac:dyDescent="0.25">
      <c r="A68" s="7">
        <v>88</v>
      </c>
      <c r="B68" s="7">
        <v>1.1845989943015098</v>
      </c>
      <c r="C68" s="7">
        <v>290.65853833693836</v>
      </c>
      <c r="D68" s="7">
        <v>37.115261626297837</v>
      </c>
      <c r="E68" s="7">
        <v>9.6600788981269572E-2</v>
      </c>
      <c r="F68" s="7">
        <v>100000</v>
      </c>
      <c r="G68" s="7">
        <v>4.1572141171009793</v>
      </c>
      <c r="H68" s="7">
        <v>0.48722254793906405</v>
      </c>
      <c r="I68" s="7">
        <v>800.09823779040062</v>
      </c>
      <c r="J68" s="7">
        <v>357.40154002966398</v>
      </c>
      <c r="K68" s="7">
        <v>4.7547776044972401E-2</v>
      </c>
      <c r="L68" s="7">
        <v>165913.24427774531</v>
      </c>
      <c r="M68" s="7">
        <v>0.10708583579982202</v>
      </c>
      <c r="N68" s="7">
        <v>0.52785126940377058</v>
      </c>
      <c r="O68" s="7">
        <v>227.20443916543621</v>
      </c>
      <c r="P68" s="7">
        <v>1473.9368419689122</v>
      </c>
      <c r="Q68" s="7">
        <v>1616.6684424464402</v>
      </c>
    </row>
    <row r="69" spans="1:17" x14ac:dyDescent="0.25">
      <c r="A69" s="7">
        <v>91</v>
      </c>
      <c r="B69" s="7">
        <v>1.1846116438904937</v>
      </c>
      <c r="C69" s="7">
        <v>290.96814966394862</v>
      </c>
      <c r="D69" s="7">
        <v>35.998809361059735</v>
      </c>
      <c r="E69" s="7">
        <v>9.3634091308436876E-2</v>
      </c>
      <c r="F69" s="7">
        <v>100000</v>
      </c>
      <c r="G69" s="7">
        <v>4.2249679885689959</v>
      </c>
      <c r="H69" s="7">
        <v>0.48166474255195668</v>
      </c>
      <c r="I69" s="7">
        <v>797.99835752713318</v>
      </c>
      <c r="J69" s="7">
        <v>356.86372246852625</v>
      </c>
      <c r="K69" s="7">
        <v>4.7352084731435207E-2</v>
      </c>
      <c r="L69" s="7">
        <v>161190.41298442151</v>
      </c>
      <c r="M69" s="7">
        <v>0.10414464783863064</v>
      </c>
      <c r="N69" s="7">
        <v>0.52218041771642676</v>
      </c>
      <c r="O69" s="7">
        <v>227.47148250477966</v>
      </c>
      <c r="P69" s="7">
        <v>1486.3289487226104</v>
      </c>
      <c r="Q69" s="7">
        <v>1572.8270625226942</v>
      </c>
    </row>
    <row r="70" spans="1:17" x14ac:dyDescent="0.25">
      <c r="A70" s="7">
        <v>93</v>
      </c>
      <c r="B70" s="7">
        <v>1.1854763055774127</v>
      </c>
      <c r="C70" s="7">
        <v>291.15935510823039</v>
      </c>
      <c r="D70" s="7">
        <v>37.57249674913988</v>
      </c>
      <c r="E70" s="7">
        <v>9.455218596182452E-2</v>
      </c>
      <c r="F70" s="7">
        <v>100000</v>
      </c>
      <c r="G70" s="7">
        <v>3.6092959349867275</v>
      </c>
      <c r="H70" s="7">
        <v>0.48301579650551912</v>
      </c>
      <c r="I70" s="7">
        <v>791.85281898463279</v>
      </c>
      <c r="J70" s="7">
        <v>307.82462978855472</v>
      </c>
      <c r="K70" s="7">
        <v>4.4767189190303001E-2</v>
      </c>
      <c r="L70" s="7">
        <v>160867.54331555421</v>
      </c>
      <c r="M70" s="7">
        <v>0.1040176305707089</v>
      </c>
      <c r="N70" s="7">
        <v>0.52089580248991163</v>
      </c>
      <c r="O70" s="7">
        <v>228.57435504211705</v>
      </c>
      <c r="P70" s="7">
        <v>1481.9847749182413</v>
      </c>
      <c r="Q70" s="7">
        <v>1381.0783917584267</v>
      </c>
    </row>
    <row r="71" spans="1:17" x14ac:dyDescent="0.25">
      <c r="A71" s="7">
        <v>101</v>
      </c>
      <c r="B71" s="7">
        <v>1.1858991556011236</v>
      </c>
      <c r="C71" s="7">
        <v>290.738449855986</v>
      </c>
      <c r="D71" s="7">
        <v>36.235382822004205</v>
      </c>
      <c r="E71" s="7">
        <v>9.4163294916399146E-2</v>
      </c>
      <c r="F71" s="7">
        <v>100000</v>
      </c>
      <c r="G71" s="7">
        <v>4.0148697610261221</v>
      </c>
      <c r="H71" s="7">
        <v>0.48625535350738991</v>
      </c>
      <c r="I71" s="7">
        <v>797.43554761315386</v>
      </c>
      <c r="J71" s="7">
        <v>340.25543511071885</v>
      </c>
      <c r="K71" s="7">
        <v>4.6898621963921312E-2</v>
      </c>
      <c r="L71" s="7">
        <v>161378.42008453808</v>
      </c>
      <c r="M71" s="7">
        <v>0.10539297099521816</v>
      </c>
      <c r="N71" s="7">
        <v>0.51961455989296956</v>
      </c>
      <c r="O71" s="7">
        <v>227.64167940045809</v>
      </c>
      <c r="P71" s="7">
        <v>1439.9003548378819</v>
      </c>
      <c r="Q71" s="7">
        <v>1525.204749092627</v>
      </c>
    </row>
    <row r="72" spans="1:17" x14ac:dyDescent="0.25">
      <c r="A72" s="7">
        <v>103</v>
      </c>
      <c r="B72" s="7">
        <v>1.1845356762952526</v>
      </c>
      <c r="C72" s="7">
        <v>291.16792700974412</v>
      </c>
      <c r="D72" s="7">
        <v>37.581098062722297</v>
      </c>
      <c r="E72" s="7">
        <v>9.4712426536161937E-2</v>
      </c>
      <c r="F72" s="7">
        <v>100000</v>
      </c>
      <c r="G72" s="7">
        <v>4.2361522217896947</v>
      </c>
      <c r="H72" s="7">
        <v>0.48661536368253139</v>
      </c>
      <c r="I72" s="7">
        <v>796.12277070528148</v>
      </c>
      <c r="J72" s="7">
        <v>341.16832032310822</v>
      </c>
      <c r="K72" s="7">
        <v>4.5066917557010013E-2</v>
      </c>
      <c r="L72" s="7">
        <v>159196.09281646696</v>
      </c>
      <c r="M72" s="7">
        <v>0.10489874462414797</v>
      </c>
      <c r="N72" s="7">
        <v>0.51883931124237403</v>
      </c>
      <c r="O72" s="7">
        <v>228.42618250178384</v>
      </c>
      <c r="P72" s="7">
        <v>1435.1110885967519</v>
      </c>
      <c r="Q72" s="7">
        <v>1508.718352321237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Solução</vt:lpstr>
      <vt:lpstr>Formulário</vt:lpstr>
      <vt:lpstr>Sem Outlayers</vt:lpstr>
      <vt:lpstr>Coeficiente de Acerto</vt:lpstr>
      <vt:lpstr>Outlayers</vt:lpstr>
      <vt:lpstr>'Sem Outlayers'!Titulos_de_impressao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2017-07-08T16:25:51Z</cp:lastPrinted>
  <dcterms:created xsi:type="dcterms:W3CDTF">2013-01-06T09:57:14Z</dcterms:created>
  <dcterms:modified xsi:type="dcterms:W3CDTF">2017-09-24T15:46:18Z</dcterms:modified>
</cp:coreProperties>
</file>