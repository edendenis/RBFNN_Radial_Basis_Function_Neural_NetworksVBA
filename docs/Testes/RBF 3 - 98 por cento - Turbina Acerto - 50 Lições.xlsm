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Eden\Google Drive\EdenSoft\Aplicativos\RBF2\Testes\"/>
    </mc:Choice>
  </mc:AlternateContent>
  <bookViews>
    <workbookView xWindow="360" yWindow="45" windowWidth="3585" windowHeight="4935" tabRatio="886" firstSheet="8" activeTab="10"/>
  </bookViews>
  <sheets>
    <sheet name="Executar" sheetId="1" r:id="rId1"/>
    <sheet name="Tabela Entrada-Saída" sheetId="2" r:id="rId2"/>
    <sheet name="Coordenadas dos Polos" sheetId="3" r:id="rId3"/>
    <sheet name="Cálculos Diversos" sheetId="4" r:id="rId4"/>
    <sheet name="Matrix (R)" sheetId="5" r:id="rId5"/>
    <sheet name="Matrix (R)^t" sheetId="6" r:id="rId6"/>
    <sheet name="Matrix (R)^t.(R)" sheetId="7" r:id="rId7"/>
    <sheet name="Matrix ((R)^t.(R))^(-1)" sheetId="8" r:id="rId8"/>
    <sheet name="Matrix (((R)^t.(R))^(-1)).(R)^t" sheetId="9" r:id="rId9"/>
    <sheet name="Solução" sheetId="10" r:id="rId10"/>
    <sheet name="Formulário" sheetId="11" r:id="rId11"/>
    <sheet name="Sem Outlayers" sheetId="14" r:id="rId12"/>
    <sheet name="Coeficiente de Acerto" sheetId="12" r:id="rId13"/>
    <sheet name="Outlayers" sheetId="13" r:id="rId14"/>
  </sheets>
  <definedNames>
    <definedName name="_xlnm._FilterDatabase" localSheetId="12" hidden="1">'Coeficiente de Acerto'!$A$372:$X$782</definedName>
    <definedName name="_xlnm.Print_Titles" localSheetId="11">'Sem Outlayers'!$1:$1</definedName>
  </definedNames>
  <calcPr calcId="171027"/>
</workbook>
</file>

<file path=xl/calcChain.xml><?xml version="1.0" encoding="utf-8"?>
<calcChain xmlns="http://schemas.openxmlformats.org/spreadsheetml/2006/main">
  <c r="A54" i="12" l="1" a="1"/>
  <c r="A54" i="12" s="1"/>
  <c r="GP16" i="3"/>
  <c r="GB16" i="3"/>
  <c r="FN16" i="3"/>
  <c r="EZ16" i="3"/>
  <c r="EL16" i="3"/>
  <c r="DX16" i="3"/>
  <c r="DJ16" i="3"/>
  <c r="CV16" i="3"/>
  <c r="CH16" i="3"/>
  <c r="BT16" i="3"/>
  <c r="BF16" i="3"/>
  <c r="AR16" i="3"/>
  <c r="AD16" i="3"/>
  <c r="P16" i="3"/>
  <c r="GP15" i="3"/>
  <c r="GB15" i="3"/>
  <c r="FN15" i="3"/>
  <c r="EZ15" i="3"/>
  <c r="EL15" i="3"/>
  <c r="DX15" i="3"/>
  <c r="DJ15" i="3"/>
  <c r="CV15" i="3"/>
  <c r="CH15" i="3"/>
  <c r="BT15" i="3"/>
  <c r="BF15" i="3"/>
  <c r="AR15" i="3"/>
  <c r="AD15" i="3"/>
  <c r="P15" i="3"/>
  <c r="GP14" i="3"/>
  <c r="GB14" i="3"/>
  <c r="FN14" i="3"/>
  <c r="EZ14" i="3"/>
  <c r="EL14" i="3"/>
  <c r="DX14" i="3"/>
  <c r="DJ14" i="3"/>
  <c r="CV14" i="3"/>
  <c r="CH14" i="3"/>
  <c r="BT14" i="3"/>
  <c r="BF14" i="3"/>
  <c r="AR14" i="3"/>
  <c r="AD14" i="3"/>
  <c r="P14" i="3"/>
  <c r="GP13" i="3"/>
  <c r="GB13" i="3"/>
  <c r="FN13" i="3"/>
  <c r="EZ13" i="3"/>
  <c r="EL13" i="3"/>
  <c r="DX13" i="3"/>
  <c r="DJ13" i="3"/>
  <c r="CV13" i="3"/>
  <c r="CH13" i="3"/>
  <c r="BT13" i="3"/>
  <c r="BF13" i="3"/>
  <c r="AR13" i="3"/>
  <c r="AD13" i="3"/>
  <c r="P13" i="3"/>
  <c r="GP12" i="3"/>
  <c r="GB12" i="3"/>
  <c r="FN12" i="3"/>
  <c r="EZ12" i="3"/>
  <c r="EL12" i="3"/>
  <c r="DX12" i="3"/>
  <c r="DJ12" i="3"/>
  <c r="CV12" i="3"/>
  <c r="CH12" i="3"/>
  <c r="BT12" i="3"/>
  <c r="BF12" i="3"/>
  <c r="AR12" i="3"/>
  <c r="AD12" i="3"/>
  <c r="P12" i="3"/>
  <c r="GP11" i="3"/>
  <c r="GB11" i="3"/>
  <c r="FN11" i="3"/>
  <c r="EZ11" i="3"/>
  <c r="EL11" i="3"/>
  <c r="DX11" i="3"/>
  <c r="DJ11" i="3"/>
  <c r="CV11" i="3"/>
  <c r="CH11" i="3"/>
  <c r="BT11" i="3"/>
  <c r="BF11" i="3"/>
  <c r="AR11" i="3"/>
  <c r="AD11" i="3"/>
  <c r="P11" i="3"/>
  <c r="GP10" i="3"/>
  <c r="GB10" i="3"/>
  <c r="FN10" i="3"/>
  <c r="EZ10" i="3"/>
  <c r="EL10" i="3"/>
  <c r="DX10" i="3"/>
  <c r="DJ10" i="3"/>
  <c r="CV10" i="3"/>
  <c r="CH10" i="3"/>
  <c r="BT10" i="3"/>
  <c r="BF10" i="3"/>
  <c r="AR10" i="3"/>
  <c r="AD10" i="3"/>
  <c r="P10" i="3"/>
  <c r="GP9" i="3"/>
  <c r="GB9" i="3"/>
  <c r="FN9" i="3"/>
  <c r="EZ9" i="3"/>
  <c r="EL9" i="3"/>
  <c r="DX9" i="3"/>
  <c r="DJ9" i="3"/>
  <c r="CV9" i="3"/>
  <c r="CH9" i="3"/>
  <c r="BT9" i="3"/>
  <c r="BF9" i="3"/>
  <c r="AR9" i="3"/>
  <c r="AD9" i="3"/>
  <c r="P9" i="3"/>
  <c r="GP8" i="3"/>
  <c r="GB8" i="3"/>
  <c r="FN8" i="3"/>
  <c r="EZ8" i="3"/>
  <c r="EL8" i="3"/>
  <c r="DX8" i="3"/>
  <c r="DJ8" i="3"/>
  <c r="CV8" i="3"/>
  <c r="CH8" i="3"/>
  <c r="BT8" i="3"/>
  <c r="BF8" i="3"/>
  <c r="AR8" i="3"/>
  <c r="AD8" i="3"/>
  <c r="P8" i="3"/>
  <c r="GP7" i="3"/>
  <c r="GB7" i="3"/>
  <c r="FN7" i="3"/>
  <c r="EZ7" i="3"/>
  <c r="EL7" i="3"/>
  <c r="DX7" i="3"/>
  <c r="DJ7" i="3"/>
  <c r="CV7" i="3"/>
  <c r="CH7" i="3"/>
  <c r="BT7" i="3"/>
  <c r="BF7" i="3"/>
  <c r="AR7" i="3"/>
  <c r="AD7" i="3"/>
  <c r="P7" i="3"/>
  <c r="GP6" i="3"/>
  <c r="GB6" i="3"/>
  <c r="FN6" i="3"/>
  <c r="EZ6" i="3"/>
  <c r="EL6" i="3"/>
  <c r="DX6" i="3"/>
  <c r="DJ6" i="3"/>
  <c r="CV6" i="3"/>
  <c r="CH6" i="3"/>
  <c r="BT6" i="3"/>
  <c r="BF6" i="3"/>
  <c r="AR6" i="3"/>
  <c r="AD6" i="3"/>
  <c r="P6" i="3"/>
  <c r="GP5" i="3"/>
  <c r="GB5" i="3"/>
  <c r="FN5" i="3"/>
  <c r="EZ5" i="3"/>
  <c r="EL5" i="3"/>
  <c r="DX5" i="3"/>
  <c r="DJ5" i="3"/>
  <c r="CV5" i="3"/>
  <c r="CH5" i="3"/>
  <c r="BT5" i="3"/>
  <c r="BF5" i="3"/>
  <c r="AR5" i="3"/>
  <c r="AD5" i="3"/>
  <c r="P5" i="3"/>
  <c r="GP4" i="3"/>
  <c r="GB4" i="3"/>
  <c r="FN4" i="3"/>
  <c r="EZ4" i="3"/>
  <c r="EL4" i="3"/>
  <c r="DX4" i="3"/>
  <c r="DJ4" i="3"/>
  <c r="CV4" i="3"/>
  <c r="CH4" i="3"/>
  <c r="BT4" i="3"/>
  <c r="BF4" i="3"/>
  <c r="AR4" i="3"/>
  <c r="AD4" i="3"/>
  <c r="P4" i="3"/>
  <c r="GP3" i="3"/>
  <c r="GB3" i="3"/>
  <c r="FN3" i="3"/>
  <c r="EZ3" i="3"/>
  <c r="EL3" i="3"/>
  <c r="DX3" i="3"/>
  <c r="DJ3" i="3"/>
  <c r="CV3" i="3"/>
  <c r="CH3" i="3"/>
  <c r="BT3" i="3"/>
  <c r="BF3" i="3"/>
  <c r="AR3" i="3"/>
  <c r="AD3" i="3"/>
  <c r="P3" i="3"/>
  <c r="B3" i="4" s="1"/>
  <c r="B5" i="4" s="1"/>
  <c r="A85" i="12" l="1"/>
  <c r="A61" i="12"/>
  <c r="A92" i="12"/>
  <c r="A68" i="12"/>
  <c r="A98" i="12"/>
  <c r="A90" i="12"/>
  <c r="A82" i="12"/>
  <c r="A74" i="12"/>
  <c r="A66" i="12"/>
  <c r="A58" i="12"/>
  <c r="A97" i="12"/>
  <c r="A89" i="12"/>
  <c r="A81" i="12"/>
  <c r="A73" i="12"/>
  <c r="A65" i="12"/>
  <c r="A57" i="12"/>
  <c r="A101" i="12"/>
  <c r="A69" i="12"/>
  <c r="A100" i="12"/>
  <c r="A76" i="12"/>
  <c r="A91" i="12"/>
  <c r="A75" i="12"/>
  <c r="A67" i="12"/>
  <c r="A80" i="12"/>
  <c r="A56" i="12"/>
  <c r="A103" i="12"/>
  <c r="A95" i="12"/>
  <c r="A87" i="12"/>
  <c r="A79" i="12"/>
  <c r="A71" i="12"/>
  <c r="A63" i="12"/>
  <c r="A55" i="12"/>
  <c r="B105" i="12" s="1"/>
  <c r="B16" i="11" s="1"/>
  <c r="A93" i="12"/>
  <c r="A77" i="12"/>
  <c r="A84" i="12"/>
  <c r="A60" i="12"/>
  <c r="A99" i="12"/>
  <c r="A83" i="12"/>
  <c r="A59" i="12"/>
  <c r="A96" i="12"/>
  <c r="A88" i="12"/>
  <c r="A72" i="12"/>
  <c r="A64" i="12"/>
  <c r="A102" i="12"/>
  <c r="A94" i="12"/>
  <c r="A86" i="12"/>
  <c r="A78" i="12"/>
  <c r="A70" i="12"/>
  <c r="A62" i="12"/>
  <c r="C9" i="10"/>
  <c r="C16" i="10"/>
  <c r="C8" i="10"/>
  <c r="C15" i="10"/>
  <c r="C7" i="10"/>
  <c r="C14" i="10"/>
  <c r="C6" i="10"/>
  <c r="C13" i="10"/>
  <c r="C5" i="10"/>
  <c r="C11" i="10"/>
  <c r="C3" i="10"/>
  <c r="C10" i="10"/>
  <c r="C12" i="10"/>
  <c r="C4" i="10"/>
  <c r="O51" i="5"/>
  <c r="G51" i="5"/>
  <c r="M50" i="5"/>
  <c r="E50" i="5"/>
  <c r="K49" i="5"/>
  <c r="C49" i="5"/>
  <c r="I48" i="5"/>
  <c r="O47" i="5"/>
  <c r="G47" i="5"/>
  <c r="M46" i="5"/>
  <c r="E46" i="5"/>
  <c r="K45" i="5"/>
  <c r="C45" i="5"/>
  <c r="I44" i="5"/>
  <c r="O43" i="5"/>
  <c r="G43" i="5"/>
  <c r="M42" i="5"/>
  <c r="E42" i="5"/>
  <c r="K41" i="5"/>
  <c r="C41" i="5"/>
  <c r="I40" i="5"/>
  <c r="N51" i="5"/>
  <c r="F51" i="5"/>
  <c r="L50" i="5"/>
  <c r="D50" i="5"/>
  <c r="J49" i="5"/>
  <c r="B49" i="5"/>
  <c r="H48" i="5"/>
  <c r="N47" i="5"/>
  <c r="F47" i="5"/>
  <c r="L46" i="5"/>
  <c r="D46" i="5"/>
  <c r="J45" i="5"/>
  <c r="B45" i="5"/>
  <c r="H44" i="5"/>
  <c r="N43" i="5"/>
  <c r="F43" i="5"/>
  <c r="L42" i="5"/>
  <c r="D42" i="5"/>
  <c r="J41" i="5"/>
  <c r="B41" i="5"/>
  <c r="H40" i="5"/>
  <c r="N39" i="5"/>
  <c r="F39" i="5"/>
  <c r="L38" i="5"/>
  <c r="D38" i="5"/>
  <c r="J37" i="5"/>
  <c r="B37" i="5"/>
  <c r="H36" i="5"/>
  <c r="N35" i="5"/>
  <c r="F35" i="5"/>
  <c r="L34" i="5"/>
  <c r="D34" i="5"/>
  <c r="J33" i="5"/>
  <c r="B33" i="5"/>
  <c r="H32" i="5"/>
  <c r="N31" i="5"/>
  <c r="F31" i="5"/>
  <c r="L30" i="5"/>
  <c r="D30" i="5"/>
  <c r="J29" i="5"/>
  <c r="B29" i="5"/>
  <c r="M51" i="5"/>
  <c r="E51" i="5"/>
  <c r="K50" i="5"/>
  <c r="C50" i="5"/>
  <c r="I49" i="5"/>
  <c r="O48" i="5"/>
  <c r="G48" i="5"/>
  <c r="M47" i="5"/>
  <c r="E47" i="5"/>
  <c r="K46" i="5"/>
  <c r="C46" i="5"/>
  <c r="I45" i="5"/>
  <c r="O44" i="5"/>
  <c r="G44" i="5"/>
  <c r="M43" i="5"/>
  <c r="E43" i="5"/>
  <c r="K42" i="5"/>
  <c r="C42" i="5"/>
  <c r="I41" i="5"/>
  <c r="O40" i="5"/>
  <c r="G40" i="5"/>
  <c r="M39" i="5"/>
  <c r="E39" i="5"/>
  <c r="K38" i="5"/>
  <c r="C38" i="5"/>
  <c r="I37" i="5"/>
  <c r="O36" i="5"/>
  <c r="G36" i="5"/>
  <c r="M35" i="5"/>
  <c r="E35" i="5"/>
  <c r="K34" i="5"/>
  <c r="C34" i="5"/>
  <c r="L51" i="5"/>
  <c r="D51" i="5"/>
  <c r="J50" i="5"/>
  <c r="B50" i="5"/>
  <c r="H49" i="5"/>
  <c r="N48" i="5"/>
  <c r="F48" i="5"/>
  <c r="L47" i="5"/>
  <c r="D47" i="5"/>
  <c r="J46" i="5"/>
  <c r="B46" i="5"/>
  <c r="H45" i="5"/>
  <c r="N44" i="5"/>
  <c r="F44" i="5"/>
  <c r="L43" i="5"/>
  <c r="D43" i="5"/>
  <c r="J42" i="5"/>
  <c r="B42" i="5"/>
  <c r="H41" i="5"/>
  <c r="N40" i="5"/>
  <c r="F40" i="5"/>
  <c r="L39" i="5"/>
  <c r="D39" i="5"/>
  <c r="J38" i="5"/>
  <c r="B38" i="5"/>
  <c r="H37" i="5"/>
  <c r="N36" i="5"/>
  <c r="F36" i="5"/>
  <c r="L35" i="5"/>
  <c r="D35" i="5"/>
  <c r="J34" i="5"/>
  <c r="B34" i="5"/>
  <c r="H33" i="5"/>
  <c r="N32" i="5"/>
  <c r="F32" i="5"/>
  <c r="L31" i="5"/>
  <c r="D31" i="5"/>
  <c r="K51" i="5"/>
  <c r="C51" i="5"/>
  <c r="I50" i="5"/>
  <c r="O49" i="5"/>
  <c r="G49" i="5"/>
  <c r="M48" i="5"/>
  <c r="E48" i="5"/>
  <c r="K47" i="5"/>
  <c r="C47" i="5"/>
  <c r="I46" i="5"/>
  <c r="O45" i="5"/>
  <c r="G45" i="5"/>
  <c r="M44" i="5"/>
  <c r="E44" i="5"/>
  <c r="K43" i="5"/>
  <c r="C43" i="5"/>
  <c r="J51" i="5"/>
  <c r="B51" i="5"/>
  <c r="H50" i="5"/>
  <c r="N49" i="5"/>
  <c r="F49" i="5"/>
  <c r="L48" i="5"/>
  <c r="D48" i="5"/>
  <c r="J47" i="5"/>
  <c r="B47" i="5"/>
  <c r="H46" i="5"/>
  <c r="N45" i="5"/>
  <c r="F45" i="5"/>
  <c r="L44" i="5"/>
  <c r="D44" i="5"/>
  <c r="J43" i="5"/>
  <c r="B43" i="5"/>
  <c r="I51" i="5"/>
  <c r="O50" i="5"/>
  <c r="F50" i="5"/>
  <c r="B48" i="5"/>
  <c r="L45" i="5"/>
  <c r="H43" i="5"/>
  <c r="N41" i="5"/>
  <c r="L40" i="5"/>
  <c r="K39" i="5"/>
  <c r="N38" i="5"/>
  <c r="N37" i="5"/>
  <c r="C37" i="5"/>
  <c r="C36" i="5"/>
  <c r="C35" i="5"/>
  <c r="F34" i="5"/>
  <c r="G33" i="5"/>
  <c r="K32" i="5"/>
  <c r="O31" i="5"/>
  <c r="C31" i="5"/>
  <c r="H30" i="5"/>
  <c r="M29" i="5"/>
  <c r="D29" i="5"/>
  <c r="I28" i="5"/>
  <c r="O27" i="5"/>
  <c r="G27" i="5"/>
  <c r="M26" i="5"/>
  <c r="E26" i="5"/>
  <c r="K25" i="5"/>
  <c r="C25" i="5"/>
  <c r="I24" i="5"/>
  <c r="O23" i="5"/>
  <c r="G23" i="5"/>
  <c r="M22" i="5"/>
  <c r="E22" i="5"/>
  <c r="K21" i="5"/>
  <c r="C21" i="5"/>
  <c r="I20" i="5"/>
  <c r="O19" i="5"/>
  <c r="G19" i="5"/>
  <c r="M18" i="5"/>
  <c r="E18" i="5"/>
  <c r="K17" i="5"/>
  <c r="C17" i="5"/>
  <c r="I16" i="5"/>
  <c r="O15" i="5"/>
  <c r="G15" i="5"/>
  <c r="M14" i="5"/>
  <c r="E14" i="5"/>
  <c r="K13" i="5"/>
  <c r="C13" i="5"/>
  <c r="I12" i="5"/>
  <c r="O11" i="5"/>
  <c r="G11" i="5"/>
  <c r="M10" i="5"/>
  <c r="E10" i="5"/>
  <c r="K9" i="5"/>
  <c r="C9" i="5"/>
  <c r="I8" i="5"/>
  <c r="O7" i="5"/>
  <c r="G7" i="5"/>
  <c r="M6" i="5"/>
  <c r="E6" i="5"/>
  <c r="K5" i="5"/>
  <c r="C5" i="5"/>
  <c r="I4" i="5"/>
  <c r="O3" i="5"/>
  <c r="G3" i="5"/>
  <c r="M2" i="5"/>
  <c r="E2" i="5"/>
  <c r="I30" i="5"/>
  <c r="J24" i="5"/>
  <c r="J20" i="5"/>
  <c r="D17" i="5"/>
  <c r="L13" i="5"/>
  <c r="L9" i="5"/>
  <c r="L5" i="5"/>
  <c r="F2" i="5"/>
  <c r="M49" i="5"/>
  <c r="I47" i="5"/>
  <c r="E45" i="5"/>
  <c r="O42" i="5"/>
  <c r="M41" i="5"/>
  <c r="K40" i="5"/>
  <c r="J39" i="5"/>
  <c r="M38" i="5"/>
  <c r="M37" i="5"/>
  <c r="M36" i="5"/>
  <c r="B36" i="5"/>
  <c r="B35" i="5"/>
  <c r="E34" i="5"/>
  <c r="F33" i="5"/>
  <c r="J32" i="5"/>
  <c r="M31" i="5"/>
  <c r="B31" i="5"/>
  <c r="G30" i="5"/>
  <c r="L29" i="5"/>
  <c r="C29" i="5"/>
  <c r="H28" i="5"/>
  <c r="N27" i="5"/>
  <c r="F27" i="5"/>
  <c r="L26" i="5"/>
  <c r="D26" i="5"/>
  <c r="J25" i="5"/>
  <c r="B25" i="5"/>
  <c r="H24" i="5"/>
  <c r="N23" i="5"/>
  <c r="F23" i="5"/>
  <c r="L22" i="5"/>
  <c r="D22" i="5"/>
  <c r="J21" i="5"/>
  <c r="B21" i="5"/>
  <c r="H20" i="5"/>
  <c r="N19" i="5"/>
  <c r="F19" i="5"/>
  <c r="L18" i="5"/>
  <c r="D18" i="5"/>
  <c r="J17" i="5"/>
  <c r="B17" i="5"/>
  <c r="H16" i="5"/>
  <c r="N15" i="5"/>
  <c r="F15" i="5"/>
  <c r="L14" i="5"/>
  <c r="D14" i="5"/>
  <c r="J13" i="5"/>
  <c r="B13" i="5"/>
  <c r="H12" i="5"/>
  <c r="N11" i="5"/>
  <c r="F11" i="5"/>
  <c r="L10" i="5"/>
  <c r="D10" i="5"/>
  <c r="J9" i="5"/>
  <c r="B9" i="5"/>
  <c r="H8" i="5"/>
  <c r="N7" i="5"/>
  <c r="F7" i="5"/>
  <c r="L6" i="5"/>
  <c r="D6" i="5"/>
  <c r="J5" i="5"/>
  <c r="B5" i="5"/>
  <c r="H4" i="5"/>
  <c r="N3" i="5"/>
  <c r="F3" i="5"/>
  <c r="L2" i="5"/>
  <c r="D2" i="5"/>
  <c r="N29" i="5"/>
  <c r="B24" i="5"/>
  <c r="B20" i="5"/>
  <c r="J16" i="5"/>
  <c r="D13" i="5"/>
  <c r="D9" i="5"/>
  <c r="D5" i="5"/>
  <c r="L49" i="5"/>
  <c r="H47" i="5"/>
  <c r="D45" i="5"/>
  <c r="N42" i="5"/>
  <c r="L41" i="5"/>
  <c r="J40" i="5"/>
  <c r="I39" i="5"/>
  <c r="I38" i="5"/>
  <c r="L37" i="5"/>
  <c r="L36" i="5"/>
  <c r="O35" i="5"/>
  <c r="O34" i="5"/>
  <c r="O33" i="5"/>
  <c r="E33" i="5"/>
  <c r="I32" i="5"/>
  <c r="K31" i="5"/>
  <c r="O30" i="5"/>
  <c r="F30" i="5"/>
  <c r="K29" i="5"/>
  <c r="O28" i="5"/>
  <c r="G28" i="5"/>
  <c r="M27" i="5"/>
  <c r="E27" i="5"/>
  <c r="K26" i="5"/>
  <c r="C26" i="5"/>
  <c r="I25" i="5"/>
  <c r="O24" i="5"/>
  <c r="G24" i="5"/>
  <c r="M23" i="5"/>
  <c r="E23" i="5"/>
  <c r="K22" i="5"/>
  <c r="C22" i="5"/>
  <c r="I21" i="5"/>
  <c r="O20" i="5"/>
  <c r="G20" i="5"/>
  <c r="M19" i="5"/>
  <c r="E19" i="5"/>
  <c r="K18" i="5"/>
  <c r="C18" i="5"/>
  <c r="I17" i="5"/>
  <c r="O16" i="5"/>
  <c r="G16" i="5"/>
  <c r="M15" i="5"/>
  <c r="E15" i="5"/>
  <c r="K14" i="5"/>
  <c r="C14" i="5"/>
  <c r="I13" i="5"/>
  <c r="O12" i="5"/>
  <c r="G12" i="5"/>
  <c r="M11" i="5"/>
  <c r="E11" i="5"/>
  <c r="K10" i="5"/>
  <c r="C10" i="5"/>
  <c r="I9" i="5"/>
  <c r="O8" i="5"/>
  <c r="G8" i="5"/>
  <c r="M7" i="5"/>
  <c r="E7" i="5"/>
  <c r="K6" i="5"/>
  <c r="C6" i="5"/>
  <c r="I5" i="5"/>
  <c r="O4" i="5"/>
  <c r="G4" i="5"/>
  <c r="M3" i="5"/>
  <c r="E3" i="5"/>
  <c r="K2" i="5"/>
  <c r="C2" i="5"/>
  <c r="B32" i="5"/>
  <c r="N26" i="5"/>
  <c r="L21" i="5"/>
  <c r="L17" i="5"/>
  <c r="F14" i="5"/>
  <c r="F10" i="5"/>
  <c r="F6" i="5"/>
  <c r="N2" i="5"/>
  <c r="E49" i="5"/>
  <c r="O46" i="5"/>
  <c r="K44" i="5"/>
  <c r="I42" i="5"/>
  <c r="G41" i="5"/>
  <c r="E40" i="5"/>
  <c r="H39" i="5"/>
  <c r="H38" i="5"/>
  <c r="K37" i="5"/>
  <c r="K36" i="5"/>
  <c r="K35" i="5"/>
  <c r="N34" i="5"/>
  <c r="N33" i="5"/>
  <c r="D33" i="5"/>
  <c r="G32" i="5"/>
  <c r="J31" i="5"/>
  <c r="N30" i="5"/>
  <c r="E30" i="5"/>
  <c r="I29" i="5"/>
  <c r="N28" i="5"/>
  <c r="F28" i="5"/>
  <c r="L27" i="5"/>
  <c r="D27" i="5"/>
  <c r="J26" i="5"/>
  <c r="B26" i="5"/>
  <c r="H25" i="5"/>
  <c r="N24" i="5"/>
  <c r="F24" i="5"/>
  <c r="L23" i="5"/>
  <c r="D23" i="5"/>
  <c r="J22" i="5"/>
  <c r="B22" i="5"/>
  <c r="H21" i="5"/>
  <c r="N20" i="5"/>
  <c r="F20" i="5"/>
  <c r="L19" i="5"/>
  <c r="D19" i="5"/>
  <c r="J18" i="5"/>
  <c r="B18" i="5"/>
  <c r="H17" i="5"/>
  <c r="N16" i="5"/>
  <c r="F16" i="5"/>
  <c r="L15" i="5"/>
  <c r="D15" i="5"/>
  <c r="J14" i="5"/>
  <c r="B14" i="5"/>
  <c r="H13" i="5"/>
  <c r="N12" i="5"/>
  <c r="F12" i="5"/>
  <c r="L11" i="5"/>
  <c r="D11" i="5"/>
  <c r="J10" i="5"/>
  <c r="B10" i="5"/>
  <c r="H9" i="5"/>
  <c r="N8" i="5"/>
  <c r="F8" i="5"/>
  <c r="L7" i="5"/>
  <c r="D7" i="5"/>
  <c r="J6" i="5"/>
  <c r="B6" i="5"/>
  <c r="H5" i="5"/>
  <c r="N4" i="5"/>
  <c r="F4" i="5"/>
  <c r="L3" i="5"/>
  <c r="D3" i="5"/>
  <c r="J2" i="5"/>
  <c r="B2" i="5"/>
  <c r="C48" i="5"/>
  <c r="M45" i="5"/>
  <c r="O41" i="5"/>
  <c r="O39" i="5"/>
  <c r="D37" i="5"/>
  <c r="G35" i="5"/>
  <c r="E31" i="5"/>
  <c r="B28" i="5"/>
  <c r="L25" i="5"/>
  <c r="F22" i="5"/>
  <c r="N18" i="5"/>
  <c r="N14" i="5"/>
  <c r="N10" i="5"/>
  <c r="B8" i="5"/>
  <c r="J4" i="5"/>
  <c r="D49" i="5"/>
  <c r="N46" i="5"/>
  <c r="J44" i="5"/>
  <c r="H42" i="5"/>
  <c r="F41" i="5"/>
  <c r="D40" i="5"/>
  <c r="G39" i="5"/>
  <c r="G38" i="5"/>
  <c r="G37" i="5"/>
  <c r="J36" i="5"/>
  <c r="J35" i="5"/>
  <c r="M34" i="5"/>
  <c r="M33" i="5"/>
  <c r="C33" i="5"/>
  <c r="E32" i="5"/>
  <c r="I31" i="5"/>
  <c r="M30" i="5"/>
  <c r="C30" i="5"/>
  <c r="H29" i="5"/>
  <c r="M28" i="5"/>
  <c r="E28" i="5"/>
  <c r="K27" i="5"/>
  <c r="C27" i="5"/>
  <c r="I26" i="5"/>
  <c r="O25" i="5"/>
  <c r="G25" i="5"/>
  <c r="M24" i="5"/>
  <c r="E24" i="5"/>
  <c r="K23" i="5"/>
  <c r="C23" i="5"/>
  <c r="I22" i="5"/>
  <c r="O21" i="5"/>
  <c r="G21" i="5"/>
  <c r="M20" i="5"/>
  <c r="E20" i="5"/>
  <c r="K19" i="5"/>
  <c r="C19" i="5"/>
  <c r="I18" i="5"/>
  <c r="O17" i="5"/>
  <c r="G17" i="5"/>
  <c r="M16" i="5"/>
  <c r="E16" i="5"/>
  <c r="K15" i="5"/>
  <c r="C15" i="5"/>
  <c r="I14" i="5"/>
  <c r="O13" i="5"/>
  <c r="G13" i="5"/>
  <c r="M12" i="5"/>
  <c r="E12" i="5"/>
  <c r="K11" i="5"/>
  <c r="C11" i="5"/>
  <c r="I10" i="5"/>
  <c r="O9" i="5"/>
  <c r="G9" i="5"/>
  <c r="M8" i="5"/>
  <c r="E8" i="5"/>
  <c r="K7" i="5"/>
  <c r="C7" i="5"/>
  <c r="I6" i="5"/>
  <c r="O5" i="5"/>
  <c r="G5" i="5"/>
  <c r="M4" i="5"/>
  <c r="E4" i="5"/>
  <c r="K3" i="5"/>
  <c r="C3" i="5"/>
  <c r="I2" i="5"/>
  <c r="G50" i="5"/>
  <c r="I43" i="5"/>
  <c r="M40" i="5"/>
  <c r="O37" i="5"/>
  <c r="D36" i="5"/>
  <c r="I33" i="5"/>
  <c r="J28" i="5"/>
  <c r="F26" i="5"/>
  <c r="N22" i="5"/>
  <c r="H19" i="5"/>
  <c r="B16" i="5"/>
  <c r="B12" i="5"/>
  <c r="J8" i="5"/>
  <c r="B4" i="5"/>
  <c r="H51" i="5"/>
  <c r="K48" i="5"/>
  <c r="G46" i="5"/>
  <c r="C44" i="5"/>
  <c r="G42" i="5"/>
  <c r="E41" i="5"/>
  <c r="C40" i="5"/>
  <c r="C39" i="5"/>
  <c r="F38" i="5"/>
  <c r="F37" i="5"/>
  <c r="I36" i="5"/>
  <c r="I35" i="5"/>
  <c r="I34" i="5"/>
  <c r="L33" i="5"/>
  <c r="O32" i="5"/>
  <c r="D32" i="5"/>
  <c r="H31" i="5"/>
  <c r="K30" i="5"/>
  <c r="B30" i="5"/>
  <c r="G29" i="5"/>
  <c r="L28" i="5"/>
  <c r="D28" i="5"/>
  <c r="J27" i="5"/>
  <c r="B27" i="5"/>
  <c r="H26" i="5"/>
  <c r="N25" i="5"/>
  <c r="F25" i="5"/>
  <c r="L24" i="5"/>
  <c r="D24" i="5"/>
  <c r="J23" i="5"/>
  <c r="B23" i="5"/>
  <c r="H22" i="5"/>
  <c r="N21" i="5"/>
  <c r="F21" i="5"/>
  <c r="L20" i="5"/>
  <c r="D20" i="5"/>
  <c r="J19" i="5"/>
  <c r="B19" i="5"/>
  <c r="H18" i="5"/>
  <c r="N17" i="5"/>
  <c r="F17" i="5"/>
  <c r="L16" i="5"/>
  <c r="D16" i="5"/>
  <c r="J15" i="5"/>
  <c r="B15" i="5"/>
  <c r="H14" i="5"/>
  <c r="N13" i="5"/>
  <c r="F13" i="5"/>
  <c r="L12" i="5"/>
  <c r="D12" i="5"/>
  <c r="J11" i="5"/>
  <c r="B11" i="5"/>
  <c r="H10" i="5"/>
  <c r="N9" i="5"/>
  <c r="F9" i="5"/>
  <c r="L8" i="5"/>
  <c r="D8" i="5"/>
  <c r="J7" i="5"/>
  <c r="B7" i="5"/>
  <c r="H6" i="5"/>
  <c r="N5" i="5"/>
  <c r="F5" i="5"/>
  <c r="L4" i="5"/>
  <c r="D4" i="5"/>
  <c r="J3" i="5"/>
  <c r="B3" i="5"/>
  <c r="H2" i="5"/>
  <c r="O38" i="5"/>
  <c r="G34" i="5"/>
  <c r="E29" i="5"/>
  <c r="H27" i="5"/>
  <c r="H23" i="5"/>
  <c r="F18" i="5"/>
  <c r="J12" i="5"/>
  <c r="N6" i="5"/>
  <c r="N50" i="5"/>
  <c r="J48" i="5"/>
  <c r="F46" i="5"/>
  <c r="B44" i="5"/>
  <c r="F42" i="5"/>
  <c r="D41" i="5"/>
  <c r="B40" i="5"/>
  <c r="B39" i="5"/>
  <c r="E38" i="5"/>
  <c r="E37" i="5"/>
  <c r="E36" i="5"/>
  <c r="H35" i="5"/>
  <c r="H34" i="5"/>
  <c r="K33" i="5"/>
  <c r="M32" i="5"/>
  <c r="C32" i="5"/>
  <c r="G31" i="5"/>
  <c r="J30" i="5"/>
  <c r="O29" i="5"/>
  <c r="F29" i="5"/>
  <c r="K28" i="5"/>
  <c r="C28" i="5"/>
  <c r="I27" i="5"/>
  <c r="O26" i="5"/>
  <c r="G26" i="5"/>
  <c r="M25" i="5"/>
  <c r="E25" i="5"/>
  <c r="K24" i="5"/>
  <c r="C24" i="5"/>
  <c r="I23" i="5"/>
  <c r="O22" i="5"/>
  <c r="G22" i="5"/>
  <c r="M21" i="5"/>
  <c r="E21" i="5"/>
  <c r="K20" i="5"/>
  <c r="C20" i="5"/>
  <c r="I19" i="5"/>
  <c r="O18" i="5"/>
  <c r="G18" i="5"/>
  <c r="M17" i="5"/>
  <c r="E17" i="5"/>
  <c r="K16" i="5"/>
  <c r="C16" i="5"/>
  <c r="I15" i="5"/>
  <c r="O14" i="5"/>
  <c r="G14" i="5"/>
  <c r="M13" i="5"/>
  <c r="E13" i="5"/>
  <c r="K12" i="5"/>
  <c r="C12" i="5"/>
  <c r="I11" i="5"/>
  <c r="O10" i="5"/>
  <c r="G10" i="5"/>
  <c r="M9" i="5"/>
  <c r="E9" i="5"/>
  <c r="K8" i="5"/>
  <c r="C8" i="5"/>
  <c r="I7" i="5"/>
  <c r="O6" i="5"/>
  <c r="G6" i="5"/>
  <c r="M5" i="5"/>
  <c r="E5" i="5"/>
  <c r="K4" i="5"/>
  <c r="C4" i="5"/>
  <c r="I3" i="5"/>
  <c r="O2" i="5"/>
  <c r="G2" i="5"/>
  <c r="L32" i="5"/>
  <c r="D25" i="5"/>
  <c r="D21" i="5"/>
  <c r="H15" i="5"/>
  <c r="H11" i="5"/>
  <c r="H7" i="5"/>
  <c r="H3" i="5"/>
  <c r="A2" i="6" l="1" a="1"/>
  <c r="D2" i="6" l="1"/>
  <c r="L2" i="6"/>
  <c r="T2" i="6"/>
  <c r="AB2" i="6"/>
  <c r="AJ2" i="6"/>
  <c r="AR2" i="6"/>
  <c r="B3" i="6"/>
  <c r="J3" i="6"/>
  <c r="R3" i="6"/>
  <c r="Z3" i="6"/>
  <c r="AH3" i="6"/>
  <c r="AP3" i="6"/>
  <c r="AX3" i="6"/>
  <c r="H4" i="6"/>
  <c r="P4" i="6"/>
  <c r="X4" i="6"/>
  <c r="AF4" i="6"/>
  <c r="AN4" i="6"/>
  <c r="AV4" i="6"/>
  <c r="F5" i="6"/>
  <c r="N5" i="6"/>
  <c r="V5" i="6"/>
  <c r="AD5" i="6"/>
  <c r="AL5" i="6"/>
  <c r="AT5" i="6"/>
  <c r="D6" i="6"/>
  <c r="L6" i="6"/>
  <c r="T6" i="6"/>
  <c r="AB6" i="6"/>
  <c r="AJ6" i="6"/>
  <c r="AR6" i="6"/>
  <c r="B7" i="6"/>
  <c r="J7" i="6"/>
  <c r="R7" i="6"/>
  <c r="Z7" i="6"/>
  <c r="AH7" i="6"/>
  <c r="AP7" i="6"/>
  <c r="AX7" i="6"/>
  <c r="H8" i="6"/>
  <c r="P8" i="6"/>
  <c r="X8" i="6"/>
  <c r="AF8" i="6"/>
  <c r="AN8" i="6"/>
  <c r="AV8" i="6"/>
  <c r="F9" i="6"/>
  <c r="N9" i="6"/>
  <c r="V9" i="6"/>
  <c r="AD9" i="6"/>
  <c r="AL9" i="6"/>
  <c r="AT9" i="6"/>
  <c r="D10" i="6"/>
  <c r="L10" i="6"/>
  <c r="T10" i="6"/>
  <c r="AB10" i="6"/>
  <c r="AJ10" i="6"/>
  <c r="AR10" i="6"/>
  <c r="B11" i="6"/>
  <c r="J11" i="6"/>
  <c r="R11" i="6"/>
  <c r="Z11" i="6"/>
  <c r="F2" i="6"/>
  <c r="N2" i="6"/>
  <c r="V2" i="6"/>
  <c r="AD2" i="6"/>
  <c r="AL2" i="6"/>
  <c r="AT2" i="6"/>
  <c r="D3" i="6"/>
  <c r="L3" i="6"/>
  <c r="T3" i="6"/>
  <c r="AB3" i="6"/>
  <c r="AJ3" i="6"/>
  <c r="AR3" i="6"/>
  <c r="B4" i="6"/>
  <c r="J4" i="6"/>
  <c r="R4" i="6"/>
  <c r="Z4" i="6"/>
  <c r="AH4" i="6"/>
  <c r="AP4" i="6"/>
  <c r="AX4" i="6"/>
  <c r="H5" i="6"/>
  <c r="P5" i="6"/>
  <c r="X5" i="6"/>
  <c r="AF5" i="6"/>
  <c r="AN5" i="6"/>
  <c r="AV5" i="6"/>
  <c r="F6" i="6"/>
  <c r="N6" i="6"/>
  <c r="V6" i="6"/>
  <c r="AD6" i="6"/>
  <c r="AL6" i="6"/>
  <c r="AT6" i="6"/>
  <c r="D7" i="6"/>
  <c r="L7" i="6"/>
  <c r="T7" i="6"/>
  <c r="AB7" i="6"/>
  <c r="AJ7" i="6"/>
  <c r="AR7" i="6"/>
  <c r="B8" i="6"/>
  <c r="J8" i="6"/>
  <c r="R8" i="6"/>
  <c r="Z8" i="6"/>
  <c r="AH8" i="6"/>
  <c r="AP8" i="6"/>
  <c r="AX8" i="6"/>
  <c r="H9" i="6"/>
  <c r="P9" i="6"/>
  <c r="X9" i="6"/>
  <c r="AF9" i="6"/>
  <c r="AN9" i="6"/>
  <c r="AV9" i="6"/>
  <c r="F10" i="6"/>
  <c r="N10" i="6"/>
  <c r="V10" i="6"/>
  <c r="AD10" i="6"/>
  <c r="AL10" i="6"/>
  <c r="AT10" i="6"/>
  <c r="D11" i="6"/>
  <c r="G2" i="6"/>
  <c r="O2" i="6"/>
  <c r="W2" i="6"/>
  <c r="AE2" i="6"/>
  <c r="AM2" i="6"/>
  <c r="AU2" i="6"/>
  <c r="E3" i="6"/>
  <c r="M3" i="6"/>
  <c r="U3" i="6"/>
  <c r="AC3" i="6"/>
  <c r="AK3" i="6"/>
  <c r="AS3" i="6"/>
  <c r="C4" i="6"/>
  <c r="K4" i="6"/>
  <c r="S4" i="6"/>
  <c r="AA4" i="6"/>
  <c r="AI4" i="6"/>
  <c r="AQ4" i="6"/>
  <c r="A5" i="6"/>
  <c r="I5" i="6"/>
  <c r="Q5" i="6"/>
  <c r="Y5" i="6"/>
  <c r="AG5" i="6"/>
  <c r="AO5" i="6"/>
  <c r="AW5" i="6"/>
  <c r="G6" i="6"/>
  <c r="O6" i="6"/>
  <c r="W6" i="6"/>
  <c r="AE6" i="6"/>
  <c r="AM6" i="6"/>
  <c r="AU6" i="6"/>
  <c r="E7" i="6"/>
  <c r="M7" i="6"/>
  <c r="U7" i="6"/>
  <c r="AC7" i="6"/>
  <c r="AK7" i="6"/>
  <c r="AS7" i="6"/>
  <c r="C8" i="6"/>
  <c r="K8" i="6"/>
  <c r="S8" i="6"/>
  <c r="AA8" i="6"/>
  <c r="AI8" i="6"/>
  <c r="AQ8" i="6"/>
  <c r="A9" i="6"/>
  <c r="I9" i="6"/>
  <c r="Q9" i="6"/>
  <c r="Y9" i="6"/>
  <c r="AG9" i="6"/>
  <c r="AO9" i="6"/>
  <c r="AW9" i="6"/>
  <c r="G10" i="6"/>
  <c r="O10" i="6"/>
  <c r="W10" i="6"/>
  <c r="AE10" i="6"/>
  <c r="AM10" i="6"/>
  <c r="AU10" i="6"/>
  <c r="E11" i="6"/>
  <c r="A2" i="6"/>
  <c r="I2" i="6"/>
  <c r="Q2" i="6"/>
  <c r="Y2" i="6"/>
  <c r="AG2" i="6"/>
  <c r="AO2" i="6"/>
  <c r="AW2" i="6"/>
  <c r="G3" i="6"/>
  <c r="O3" i="6"/>
  <c r="W3" i="6"/>
  <c r="AE3" i="6"/>
  <c r="AM3" i="6"/>
  <c r="AU3" i="6"/>
  <c r="E4" i="6"/>
  <c r="M4" i="6"/>
  <c r="U4" i="6"/>
  <c r="AC4" i="6"/>
  <c r="AK4" i="6"/>
  <c r="AS4" i="6"/>
  <c r="C5" i="6"/>
  <c r="K5" i="6"/>
  <c r="S5" i="6"/>
  <c r="AA5" i="6"/>
  <c r="AI5" i="6"/>
  <c r="AQ5" i="6"/>
  <c r="A6" i="6"/>
  <c r="I6" i="6"/>
  <c r="Q6" i="6"/>
  <c r="Y6" i="6"/>
  <c r="AG6" i="6"/>
  <c r="AO6" i="6"/>
  <c r="AW6" i="6"/>
  <c r="G7" i="6"/>
  <c r="O7" i="6"/>
  <c r="W7" i="6"/>
  <c r="AE7" i="6"/>
  <c r="AM7" i="6"/>
  <c r="AU7" i="6"/>
  <c r="E8" i="6"/>
  <c r="M8" i="6"/>
  <c r="U8" i="6"/>
  <c r="AC8" i="6"/>
  <c r="AK8" i="6"/>
  <c r="AS8" i="6"/>
  <c r="C9" i="6"/>
  <c r="K9" i="6"/>
  <c r="S9" i="6"/>
  <c r="AA9" i="6"/>
  <c r="AI9" i="6"/>
  <c r="AQ9" i="6"/>
  <c r="B2" i="6"/>
  <c r="J2" i="6"/>
  <c r="R2" i="6"/>
  <c r="Z2" i="6"/>
  <c r="AH2" i="6"/>
  <c r="AP2" i="6"/>
  <c r="AX2" i="6"/>
  <c r="H3" i="6"/>
  <c r="P3" i="6"/>
  <c r="X3" i="6"/>
  <c r="AF3" i="6"/>
  <c r="AN3" i="6"/>
  <c r="AV3" i="6"/>
  <c r="F4" i="6"/>
  <c r="N4" i="6"/>
  <c r="V4" i="6"/>
  <c r="AD4" i="6"/>
  <c r="AL4" i="6"/>
  <c r="AT4" i="6"/>
  <c r="D5" i="6"/>
  <c r="L5" i="6"/>
  <c r="T5" i="6"/>
  <c r="AB5" i="6"/>
  <c r="AJ5" i="6"/>
  <c r="AR5" i="6"/>
  <c r="B6" i="6"/>
  <c r="J6" i="6"/>
  <c r="R6" i="6"/>
  <c r="Z6" i="6"/>
  <c r="AH6" i="6"/>
  <c r="AP6" i="6"/>
  <c r="AX6" i="6"/>
  <c r="H7" i="6"/>
  <c r="P7" i="6"/>
  <c r="X7" i="6"/>
  <c r="AF7" i="6"/>
  <c r="AN7" i="6"/>
  <c r="AV7" i="6"/>
  <c r="F8" i="6"/>
  <c r="U2" i="6"/>
  <c r="AQ2" i="6"/>
  <c r="N3" i="6"/>
  <c r="AI3" i="6"/>
  <c r="G4" i="6"/>
  <c r="AB4" i="6"/>
  <c r="AW4" i="6"/>
  <c r="U5" i="6"/>
  <c r="AP5" i="6"/>
  <c r="M6" i="6"/>
  <c r="AI6" i="6"/>
  <c r="F7" i="6"/>
  <c r="AA7" i="6"/>
  <c r="AW7" i="6"/>
  <c r="Q8" i="6"/>
  <c r="AG8" i="6"/>
  <c r="AW8" i="6"/>
  <c r="O9" i="6"/>
  <c r="AE9" i="6"/>
  <c r="AU9" i="6"/>
  <c r="J10" i="6"/>
  <c r="X10" i="6"/>
  <c r="AI10" i="6"/>
  <c r="AW10" i="6"/>
  <c r="K11" i="6"/>
  <c r="T11" i="6"/>
  <c r="AC11" i="6"/>
  <c r="AK11" i="6"/>
  <c r="AS11" i="6"/>
  <c r="C12" i="6"/>
  <c r="K12" i="6"/>
  <c r="S12" i="6"/>
  <c r="AA12" i="6"/>
  <c r="AI12" i="6"/>
  <c r="AQ12" i="6"/>
  <c r="A13" i="6"/>
  <c r="I13" i="6"/>
  <c r="Q13" i="6"/>
  <c r="Y13" i="6"/>
  <c r="AG13" i="6"/>
  <c r="AO13" i="6"/>
  <c r="AW13" i="6"/>
  <c r="G14" i="6"/>
  <c r="O14" i="6"/>
  <c r="W14" i="6"/>
  <c r="AE14" i="6"/>
  <c r="AM14" i="6"/>
  <c r="AU14" i="6"/>
  <c r="E15" i="6"/>
  <c r="M15" i="6"/>
  <c r="U15" i="6"/>
  <c r="AC15" i="6"/>
  <c r="AK15" i="6"/>
  <c r="AS15" i="6"/>
  <c r="C16" i="6"/>
  <c r="K16" i="6"/>
  <c r="S16" i="6"/>
  <c r="AA16" i="6"/>
  <c r="AI16" i="6"/>
  <c r="AQ16" i="6"/>
  <c r="C2" i="6"/>
  <c r="X2" i="6"/>
  <c r="AS2" i="6"/>
  <c r="Q3" i="6"/>
  <c r="AL3" i="6"/>
  <c r="I4" i="6"/>
  <c r="AE4" i="6"/>
  <c r="B5" i="6"/>
  <c r="W5" i="6"/>
  <c r="AS5" i="6"/>
  <c r="P6" i="6"/>
  <c r="AK6" i="6"/>
  <c r="I7" i="6"/>
  <c r="AD7" i="6"/>
  <c r="A8" i="6"/>
  <c r="T8" i="6"/>
  <c r="AJ8" i="6"/>
  <c r="B9" i="6"/>
  <c r="R9" i="6"/>
  <c r="AH9" i="6"/>
  <c r="AX9" i="6"/>
  <c r="K10" i="6"/>
  <c r="Y10" i="6"/>
  <c r="AK10" i="6"/>
  <c r="AX10" i="6"/>
  <c r="L11" i="6"/>
  <c r="U11" i="6"/>
  <c r="AD11" i="6"/>
  <c r="AL11" i="6"/>
  <c r="AT11" i="6"/>
  <c r="D12" i="6"/>
  <c r="L12" i="6"/>
  <c r="T12" i="6"/>
  <c r="AB12" i="6"/>
  <c r="AJ12" i="6"/>
  <c r="AR12" i="6"/>
  <c r="B13" i="6"/>
  <c r="J13" i="6"/>
  <c r="R13" i="6"/>
  <c r="Z13" i="6"/>
  <c r="AH13" i="6"/>
  <c r="AP13" i="6"/>
  <c r="AX13" i="6"/>
  <c r="H14" i="6"/>
  <c r="P14" i="6"/>
  <c r="X14" i="6"/>
  <c r="AF14" i="6"/>
  <c r="AN14" i="6"/>
  <c r="AV14" i="6"/>
  <c r="F15" i="6"/>
  <c r="N15" i="6"/>
  <c r="V15" i="6"/>
  <c r="AD15" i="6"/>
  <c r="AL15" i="6"/>
  <c r="AT15" i="6"/>
  <c r="D16" i="6"/>
  <c r="L16" i="6"/>
  <c r="T16" i="6"/>
  <c r="AB16" i="6"/>
  <c r="AJ16" i="6"/>
  <c r="AR16" i="6"/>
  <c r="E2" i="6"/>
  <c r="AA2" i="6"/>
  <c r="AV2" i="6"/>
  <c r="S3" i="6"/>
  <c r="AO3" i="6"/>
  <c r="L4" i="6"/>
  <c r="AG4" i="6"/>
  <c r="E5" i="6"/>
  <c r="Z5" i="6"/>
  <c r="AU5" i="6"/>
  <c r="S6" i="6"/>
  <c r="AN6" i="6"/>
  <c r="K7" i="6"/>
  <c r="AG7" i="6"/>
  <c r="D8" i="6"/>
  <c r="V8" i="6"/>
  <c r="AL8" i="6"/>
  <c r="D9" i="6"/>
  <c r="T9" i="6"/>
  <c r="AJ9" i="6"/>
  <c r="A10" i="6"/>
  <c r="M10" i="6"/>
  <c r="Z10" i="6"/>
  <c r="AN10" i="6"/>
  <c r="A11" i="6"/>
  <c r="M11" i="6"/>
  <c r="V11" i="6"/>
  <c r="AE11" i="6"/>
  <c r="AM11" i="6"/>
  <c r="AU11" i="6"/>
  <c r="E12" i="6"/>
  <c r="M12" i="6"/>
  <c r="U12" i="6"/>
  <c r="AC12" i="6"/>
  <c r="AK12" i="6"/>
  <c r="AS12" i="6"/>
  <c r="C13" i="6"/>
  <c r="K13" i="6"/>
  <c r="S13" i="6"/>
  <c r="AA13" i="6"/>
  <c r="AI13" i="6"/>
  <c r="AQ13" i="6"/>
  <c r="A14" i="6"/>
  <c r="I14" i="6"/>
  <c r="Q14" i="6"/>
  <c r="Y14" i="6"/>
  <c r="AG14" i="6"/>
  <c r="AO14" i="6"/>
  <c r="AW14" i="6"/>
  <c r="G15" i="6"/>
  <c r="O15" i="6"/>
  <c r="W15" i="6"/>
  <c r="AE15" i="6"/>
  <c r="AM15" i="6"/>
  <c r="AU15" i="6"/>
  <c r="E16" i="6"/>
  <c r="M16" i="6"/>
  <c r="U16" i="6"/>
  <c r="AC16" i="6"/>
  <c r="AK16" i="6"/>
  <c r="AS16" i="6"/>
  <c r="H2" i="6"/>
  <c r="AC2" i="6"/>
  <c r="A3" i="6"/>
  <c r="V3" i="6"/>
  <c r="AQ3" i="6"/>
  <c r="O4" i="6"/>
  <c r="AJ4" i="6"/>
  <c r="G5" i="6"/>
  <c r="AC5" i="6"/>
  <c r="AX5" i="6"/>
  <c r="U6" i="6"/>
  <c r="AQ6" i="6"/>
  <c r="N7" i="6"/>
  <c r="AI7" i="6"/>
  <c r="G8" i="6"/>
  <c r="W8" i="6"/>
  <c r="AM8" i="6"/>
  <c r="E9" i="6"/>
  <c r="U9" i="6"/>
  <c r="AK9" i="6"/>
  <c r="B10" i="6"/>
  <c r="P10" i="6"/>
  <c r="AA10" i="6"/>
  <c r="AO10" i="6"/>
  <c r="C11" i="6"/>
  <c r="N11" i="6"/>
  <c r="W11" i="6"/>
  <c r="AF11" i="6"/>
  <c r="AN11" i="6"/>
  <c r="AV11" i="6"/>
  <c r="F12" i="6"/>
  <c r="N12" i="6"/>
  <c r="V12" i="6"/>
  <c r="AD12" i="6"/>
  <c r="AL12" i="6"/>
  <c r="AT12" i="6"/>
  <c r="D13" i="6"/>
  <c r="L13" i="6"/>
  <c r="T13" i="6"/>
  <c r="AB13" i="6"/>
  <c r="AJ13" i="6"/>
  <c r="AR13" i="6"/>
  <c r="B14" i="6"/>
  <c r="J14" i="6"/>
  <c r="R14" i="6"/>
  <c r="Z14" i="6"/>
  <c r="AH14" i="6"/>
  <c r="AP14" i="6"/>
  <c r="AX14" i="6"/>
  <c r="H15" i="6"/>
  <c r="P15" i="6"/>
  <c r="X15" i="6"/>
  <c r="AF15" i="6"/>
  <c r="AN15" i="6"/>
  <c r="AV15" i="6"/>
  <c r="F16" i="6"/>
  <c r="N16" i="6"/>
  <c r="V16" i="6"/>
  <c r="AD16" i="6"/>
  <c r="AL16" i="6"/>
  <c r="AT16" i="6"/>
  <c r="K2" i="6"/>
  <c r="AF2" i="6"/>
  <c r="C3" i="6"/>
  <c r="Y3" i="6"/>
  <c r="AT3" i="6"/>
  <c r="Q4" i="6"/>
  <c r="AM4" i="6"/>
  <c r="J5" i="6"/>
  <c r="AE5" i="6"/>
  <c r="C6" i="6"/>
  <c r="X6" i="6"/>
  <c r="AS6" i="6"/>
  <c r="Q7" i="6"/>
  <c r="AL7" i="6"/>
  <c r="I8" i="6"/>
  <c r="Y8" i="6"/>
  <c r="AO8" i="6"/>
  <c r="G9" i="6"/>
  <c r="W9" i="6"/>
  <c r="AM9" i="6"/>
  <c r="C10" i="6"/>
  <c r="Q10" i="6"/>
  <c r="AC10" i="6"/>
  <c r="AP10" i="6"/>
  <c r="F11" i="6"/>
  <c r="O11" i="6"/>
  <c r="X11" i="6"/>
  <c r="AG11" i="6"/>
  <c r="AO11" i="6"/>
  <c r="AW11" i="6"/>
  <c r="G12" i="6"/>
  <c r="O12" i="6"/>
  <c r="W12" i="6"/>
  <c r="AE12" i="6"/>
  <c r="AM12" i="6"/>
  <c r="AU12" i="6"/>
  <c r="E13" i="6"/>
  <c r="M13" i="6"/>
  <c r="U13" i="6"/>
  <c r="AC13" i="6"/>
  <c r="AK13" i="6"/>
  <c r="AS13" i="6"/>
  <c r="C14" i="6"/>
  <c r="K14" i="6"/>
  <c r="S14" i="6"/>
  <c r="AA14" i="6"/>
  <c r="AI14" i="6"/>
  <c r="AQ14" i="6"/>
  <c r="A15" i="6"/>
  <c r="I15" i="6"/>
  <c r="Q15" i="6"/>
  <c r="Y15" i="6"/>
  <c r="AG15" i="6"/>
  <c r="AO15" i="6"/>
  <c r="AW15" i="6"/>
  <c r="G16" i="6"/>
  <c r="O16" i="6"/>
  <c r="W16" i="6"/>
  <c r="AE16" i="6"/>
  <c r="AM16" i="6"/>
  <c r="AU16" i="6"/>
  <c r="M2" i="6"/>
  <c r="AI2" i="6"/>
  <c r="F3" i="6"/>
  <c r="AA3" i="6"/>
  <c r="AW3" i="6"/>
  <c r="T4" i="6"/>
  <c r="AO4" i="6"/>
  <c r="M5" i="6"/>
  <c r="AH5" i="6"/>
  <c r="E6" i="6"/>
  <c r="AA6" i="6"/>
  <c r="AV6" i="6"/>
  <c r="S7" i="6"/>
  <c r="AO7" i="6"/>
  <c r="L8" i="6"/>
  <c r="AB8" i="6"/>
  <c r="AR8" i="6"/>
  <c r="J9" i="6"/>
  <c r="Z9" i="6"/>
  <c r="AP9" i="6"/>
  <c r="E10" i="6"/>
  <c r="R10" i="6"/>
  <c r="AF10" i="6"/>
  <c r="AQ10" i="6"/>
  <c r="G11" i="6"/>
  <c r="P11" i="6"/>
  <c r="Y11" i="6"/>
  <c r="AH11" i="6"/>
  <c r="AP11" i="6"/>
  <c r="AX11" i="6"/>
  <c r="H12" i="6"/>
  <c r="P12" i="6"/>
  <c r="X12" i="6"/>
  <c r="AF12" i="6"/>
  <c r="AN12" i="6"/>
  <c r="AV12" i="6"/>
  <c r="F13" i="6"/>
  <c r="N13" i="6"/>
  <c r="V13" i="6"/>
  <c r="AD13" i="6"/>
  <c r="AL13" i="6"/>
  <c r="AT13" i="6"/>
  <c r="D14" i="6"/>
  <c r="L14" i="6"/>
  <c r="T14" i="6"/>
  <c r="AB14" i="6"/>
  <c r="AJ14" i="6"/>
  <c r="AR14" i="6"/>
  <c r="B15" i="6"/>
  <c r="J15" i="6"/>
  <c r="R15" i="6"/>
  <c r="Z15" i="6"/>
  <c r="AH15" i="6"/>
  <c r="AP15" i="6"/>
  <c r="AX15" i="6"/>
  <c r="H16" i="6"/>
  <c r="P16" i="6"/>
  <c r="X16" i="6"/>
  <c r="AF16" i="6"/>
  <c r="AN16" i="6"/>
  <c r="AV16" i="6"/>
  <c r="P2" i="6"/>
  <c r="AK2" i="6"/>
  <c r="I3" i="6"/>
  <c r="AD3" i="6"/>
  <c r="A4" i="6"/>
  <c r="W4" i="6"/>
  <c r="AR4" i="6"/>
  <c r="O5" i="6"/>
  <c r="AK5" i="6"/>
  <c r="H6" i="6"/>
  <c r="AC6" i="6"/>
  <c r="A7" i="6"/>
  <c r="V7" i="6"/>
  <c r="AQ7" i="6"/>
  <c r="N8" i="6"/>
  <c r="AD8" i="6"/>
  <c r="AT8" i="6"/>
  <c r="L9" i="6"/>
  <c r="AB9" i="6"/>
  <c r="AR9" i="6"/>
  <c r="H10" i="6"/>
  <c r="S10" i="6"/>
  <c r="AG10" i="6"/>
  <c r="AS10" i="6"/>
  <c r="H11" i="6"/>
  <c r="Q11" i="6"/>
  <c r="AA11" i="6"/>
  <c r="AI11" i="6"/>
  <c r="AQ11" i="6"/>
  <c r="A12" i="6"/>
  <c r="I12" i="6"/>
  <c r="Q12" i="6"/>
  <c r="Y12" i="6"/>
  <c r="AG12" i="6"/>
  <c r="AO12" i="6"/>
  <c r="AW12" i="6"/>
  <c r="G13" i="6"/>
  <c r="O13" i="6"/>
  <c r="W13" i="6"/>
  <c r="AE13" i="6"/>
  <c r="AM13" i="6"/>
  <c r="AU13" i="6"/>
  <c r="E14" i="6"/>
  <c r="M14" i="6"/>
  <c r="U14" i="6"/>
  <c r="AC14" i="6"/>
  <c r="AK14" i="6"/>
  <c r="AS14" i="6"/>
  <c r="C15" i="6"/>
  <c r="K15" i="6"/>
  <c r="S15" i="6"/>
  <c r="AA15" i="6"/>
  <c r="AI15" i="6"/>
  <c r="AQ15" i="6"/>
  <c r="A16" i="6"/>
  <c r="I16" i="6"/>
  <c r="Q16" i="6"/>
  <c r="Y16" i="6"/>
  <c r="AG16" i="6"/>
  <c r="AO16" i="6"/>
  <c r="AW16" i="6"/>
  <c r="S2" i="6"/>
  <c r="AM5" i="6"/>
  <c r="AU8" i="6"/>
  <c r="I11" i="6"/>
  <c r="Z12" i="6"/>
  <c r="AN13" i="6"/>
  <c r="D15" i="6"/>
  <c r="R16" i="6"/>
  <c r="AF13" i="6"/>
  <c r="AN2" i="6"/>
  <c r="K6" i="6"/>
  <c r="M9" i="6"/>
  <c r="S11" i="6"/>
  <c r="AH12" i="6"/>
  <c r="AV13" i="6"/>
  <c r="L15" i="6"/>
  <c r="Z16" i="6"/>
  <c r="AT14" i="6"/>
  <c r="K3" i="6"/>
  <c r="AF6" i="6"/>
  <c r="AC9" i="6"/>
  <c r="AB11" i="6"/>
  <c r="AP12" i="6"/>
  <c r="F14" i="6"/>
  <c r="T15" i="6"/>
  <c r="AH16" i="6"/>
  <c r="R12" i="6"/>
  <c r="AG3" i="6"/>
  <c r="C7" i="6"/>
  <c r="AS9" i="6"/>
  <c r="AJ11" i="6"/>
  <c r="AX12" i="6"/>
  <c r="N14" i="6"/>
  <c r="AB15" i="6"/>
  <c r="AP16" i="6"/>
  <c r="R5" i="6"/>
  <c r="J16" i="6"/>
  <c r="D4" i="6"/>
  <c r="Y7" i="6"/>
  <c r="I10" i="6"/>
  <c r="AR11" i="6"/>
  <c r="H13" i="6"/>
  <c r="V14" i="6"/>
  <c r="AJ15" i="6"/>
  <c r="AX16" i="6"/>
  <c r="Y4" i="6"/>
  <c r="AT7" i="6"/>
  <c r="U10" i="6"/>
  <c r="B12" i="6"/>
  <c r="P13" i="6"/>
  <c r="AD14" i="6"/>
  <c r="AR15" i="6"/>
  <c r="AE8" i="6"/>
  <c r="AU4" i="6"/>
  <c r="O8" i="6"/>
  <c r="AH10" i="6"/>
  <c r="J12" i="6"/>
  <c r="X13" i="6"/>
  <c r="AL14" i="6"/>
  <c r="B16" i="6"/>
  <c r="AV10" i="6"/>
  <c r="A2" i="7" l="1" a="1"/>
  <c r="A2" i="7" l="1"/>
  <c r="I2" i="7"/>
  <c r="B3" i="7"/>
  <c r="J3" i="7"/>
  <c r="C4" i="7"/>
  <c r="K4" i="7"/>
  <c r="D5" i="7"/>
  <c r="L5" i="7"/>
  <c r="E6" i="7"/>
  <c r="M6" i="7"/>
  <c r="F7" i="7"/>
  <c r="N7" i="7"/>
  <c r="G8" i="7"/>
  <c r="O8" i="7"/>
  <c r="H9" i="7"/>
  <c r="A10" i="7"/>
  <c r="I10" i="7"/>
  <c r="B11" i="7"/>
  <c r="J11" i="7"/>
  <c r="C12" i="7"/>
  <c r="K12" i="7"/>
  <c r="D13" i="7"/>
  <c r="L13" i="7"/>
  <c r="B2" i="7"/>
  <c r="J2" i="7"/>
  <c r="C3" i="7"/>
  <c r="K3" i="7"/>
  <c r="D4" i="7"/>
  <c r="L4" i="7"/>
  <c r="E5" i="7"/>
  <c r="M5" i="7"/>
  <c r="F6" i="7"/>
  <c r="N6" i="7"/>
  <c r="G7" i="7"/>
  <c r="O7" i="7"/>
  <c r="H8" i="7"/>
  <c r="A9" i="7"/>
  <c r="I9" i="7"/>
  <c r="B10" i="7"/>
  <c r="J10" i="7"/>
  <c r="C11" i="7"/>
  <c r="K11" i="7"/>
  <c r="D12" i="7"/>
  <c r="L12" i="7"/>
  <c r="E13" i="7"/>
  <c r="M13" i="7"/>
  <c r="C2" i="7"/>
  <c r="K2" i="7"/>
  <c r="D3" i="7"/>
  <c r="L3" i="7"/>
  <c r="E4" i="7"/>
  <c r="M4" i="7"/>
  <c r="F5" i="7"/>
  <c r="N5" i="7"/>
  <c r="G6" i="7"/>
  <c r="O6" i="7"/>
  <c r="H7" i="7"/>
  <c r="A8" i="7"/>
  <c r="I8" i="7"/>
  <c r="B9" i="7"/>
  <c r="J9" i="7"/>
  <c r="C10" i="7"/>
  <c r="K10" i="7"/>
  <c r="D11" i="7"/>
  <c r="L11" i="7"/>
  <c r="E12" i="7"/>
  <c r="M12" i="7"/>
  <c r="F13" i="7"/>
  <c r="N13" i="7"/>
  <c r="D2" i="7"/>
  <c r="L2" i="7"/>
  <c r="E3" i="7"/>
  <c r="M3" i="7"/>
  <c r="F4" i="7"/>
  <c r="N4" i="7"/>
  <c r="G5" i="7"/>
  <c r="O5" i="7"/>
  <c r="H6" i="7"/>
  <c r="A7" i="7"/>
  <c r="I7" i="7"/>
  <c r="B8" i="7"/>
  <c r="J8" i="7"/>
  <c r="C9" i="7"/>
  <c r="K9" i="7"/>
  <c r="D10" i="7"/>
  <c r="L10" i="7"/>
  <c r="E11" i="7"/>
  <c r="M11" i="7"/>
  <c r="F12" i="7"/>
  <c r="N12" i="7"/>
  <c r="G13" i="7"/>
  <c r="O13" i="7"/>
  <c r="F2" i="7"/>
  <c r="G3" i="7"/>
  <c r="H4" i="7"/>
  <c r="I5" i="7"/>
  <c r="J6" i="7"/>
  <c r="K7" i="7"/>
  <c r="L8" i="7"/>
  <c r="M9" i="7"/>
  <c r="N10" i="7"/>
  <c r="O11" i="7"/>
  <c r="A13" i="7"/>
  <c r="B14" i="7"/>
  <c r="J14" i="7"/>
  <c r="C15" i="7"/>
  <c r="K15" i="7"/>
  <c r="D16" i="7"/>
  <c r="L16" i="7"/>
  <c r="H2" i="7"/>
  <c r="I3" i="7"/>
  <c r="J4" i="7"/>
  <c r="K5" i="7"/>
  <c r="L6" i="7"/>
  <c r="M7" i="7"/>
  <c r="N8" i="7"/>
  <c r="O9" i="7"/>
  <c r="A11" i="7"/>
  <c r="B12" i="7"/>
  <c r="C13" i="7"/>
  <c r="D14" i="7"/>
  <c r="L14" i="7"/>
  <c r="E15" i="7"/>
  <c r="M15" i="7"/>
  <c r="F16" i="7"/>
  <c r="N16" i="7"/>
  <c r="M2" i="7"/>
  <c r="N3" i="7"/>
  <c r="O4" i="7"/>
  <c r="A6" i="7"/>
  <c r="B7" i="7"/>
  <c r="C8" i="7"/>
  <c r="D9" i="7"/>
  <c r="E10" i="7"/>
  <c r="F11" i="7"/>
  <c r="G12" i="7"/>
  <c r="H13" i="7"/>
  <c r="E14" i="7"/>
  <c r="M14" i="7"/>
  <c r="F15" i="7"/>
  <c r="N15" i="7"/>
  <c r="G16" i="7"/>
  <c r="O16" i="7"/>
  <c r="N2" i="7"/>
  <c r="O3" i="7"/>
  <c r="A5" i="7"/>
  <c r="B6" i="7"/>
  <c r="C7" i="7"/>
  <c r="D8" i="7"/>
  <c r="E9" i="7"/>
  <c r="F10" i="7"/>
  <c r="G11" i="7"/>
  <c r="H12" i="7"/>
  <c r="I13" i="7"/>
  <c r="F14" i="7"/>
  <c r="N14" i="7"/>
  <c r="G15" i="7"/>
  <c r="O15" i="7"/>
  <c r="H16" i="7"/>
  <c r="O2" i="7"/>
  <c r="A4" i="7"/>
  <c r="B5" i="7"/>
  <c r="C6" i="7"/>
  <c r="D7" i="7"/>
  <c r="E8" i="7"/>
  <c r="F9" i="7"/>
  <c r="G10" i="7"/>
  <c r="H11" i="7"/>
  <c r="I12" i="7"/>
  <c r="J13" i="7"/>
  <c r="G14" i="7"/>
  <c r="O14" i="7"/>
  <c r="H15" i="7"/>
  <c r="A16" i="7"/>
  <c r="I16" i="7"/>
  <c r="A3" i="7"/>
  <c r="B4" i="7"/>
  <c r="C5" i="7"/>
  <c r="D6" i="7"/>
  <c r="E7" i="7"/>
  <c r="F8" i="7"/>
  <c r="G9" i="7"/>
  <c r="H10" i="7"/>
  <c r="I11" i="7"/>
  <c r="J12" i="7"/>
  <c r="K13" i="7"/>
  <c r="H14" i="7"/>
  <c r="A15" i="7"/>
  <c r="I15" i="7"/>
  <c r="B16" i="7"/>
  <c r="J16" i="7"/>
  <c r="G2" i="7"/>
  <c r="K6" i="7"/>
  <c r="O10" i="7"/>
  <c r="K14" i="7"/>
  <c r="M16" i="7"/>
  <c r="F3" i="7"/>
  <c r="J7" i="7"/>
  <c r="N11" i="7"/>
  <c r="B15" i="7"/>
  <c r="H3" i="7"/>
  <c r="L7" i="7"/>
  <c r="A12" i="7"/>
  <c r="D15" i="7"/>
  <c r="G4" i="7"/>
  <c r="K8" i="7"/>
  <c r="O12" i="7"/>
  <c r="J15" i="7"/>
  <c r="I4" i="7"/>
  <c r="M8" i="7"/>
  <c r="B13" i="7"/>
  <c r="L15" i="7"/>
  <c r="H5" i="7"/>
  <c r="L9" i="7"/>
  <c r="A14" i="7"/>
  <c r="C16" i="7"/>
  <c r="J5" i="7"/>
  <c r="N9" i="7"/>
  <c r="C14" i="7"/>
  <c r="E16" i="7"/>
  <c r="E2" i="7"/>
  <c r="I6" i="7"/>
  <c r="K16" i="7"/>
  <c r="M10" i="7"/>
  <c r="I14" i="7"/>
  <c r="A2" i="8" l="1" a="1"/>
  <c r="B2" i="8" l="1"/>
  <c r="J2" i="8"/>
  <c r="C3" i="8"/>
  <c r="K3" i="8"/>
  <c r="D4" i="8"/>
  <c r="L4" i="8"/>
  <c r="E5" i="8"/>
  <c r="M5" i="8"/>
  <c r="F6" i="8"/>
  <c r="N6" i="8"/>
  <c r="G7" i="8"/>
  <c r="O7" i="8"/>
  <c r="H8" i="8"/>
  <c r="A9" i="8"/>
  <c r="I9" i="8"/>
  <c r="B10" i="8"/>
  <c r="J10" i="8"/>
  <c r="C11" i="8"/>
  <c r="K11" i="8"/>
  <c r="D12" i="8"/>
  <c r="L12" i="8"/>
  <c r="E13" i="8"/>
  <c r="M13" i="8"/>
  <c r="F14" i="8"/>
  <c r="N14" i="8"/>
  <c r="G15" i="8"/>
  <c r="O15" i="8"/>
  <c r="H16" i="8"/>
  <c r="C2" i="8"/>
  <c r="K2" i="8"/>
  <c r="D3" i="8"/>
  <c r="L3" i="8"/>
  <c r="E4" i="8"/>
  <c r="M4" i="8"/>
  <c r="F5" i="8"/>
  <c r="N5" i="8"/>
  <c r="G6" i="8"/>
  <c r="O6" i="8"/>
  <c r="H7" i="8"/>
  <c r="A8" i="8"/>
  <c r="I8" i="8"/>
  <c r="B9" i="8"/>
  <c r="J9" i="8"/>
  <c r="C10" i="8"/>
  <c r="K10" i="8"/>
  <c r="D11" i="8"/>
  <c r="L11" i="8"/>
  <c r="E12" i="8"/>
  <c r="M12" i="8"/>
  <c r="F13" i="8"/>
  <c r="N13" i="8"/>
  <c r="G14" i="8"/>
  <c r="O14" i="8"/>
  <c r="H15" i="8"/>
  <c r="A16" i="8"/>
  <c r="I16" i="8"/>
  <c r="D2" i="8"/>
  <c r="L2" i="8"/>
  <c r="E3" i="8"/>
  <c r="M3" i="8"/>
  <c r="F4" i="8"/>
  <c r="N4" i="8"/>
  <c r="G5" i="8"/>
  <c r="O5" i="8"/>
  <c r="H6" i="8"/>
  <c r="A7" i="8"/>
  <c r="I7" i="8"/>
  <c r="B8" i="8"/>
  <c r="J8" i="8"/>
  <c r="C9" i="8"/>
  <c r="K9" i="8"/>
  <c r="D10" i="8"/>
  <c r="L10" i="8"/>
  <c r="E11" i="8"/>
  <c r="M11" i="8"/>
  <c r="F12" i="8"/>
  <c r="N12" i="8"/>
  <c r="G13" i="8"/>
  <c r="O13" i="8"/>
  <c r="H14" i="8"/>
  <c r="A15" i="8"/>
  <c r="I15" i="8"/>
  <c r="B16" i="8"/>
  <c r="J16" i="8"/>
  <c r="E2" i="8"/>
  <c r="M2" i="8"/>
  <c r="F3" i="8"/>
  <c r="N3" i="8"/>
  <c r="G4" i="8"/>
  <c r="O4" i="8"/>
  <c r="H5" i="8"/>
  <c r="A6" i="8"/>
  <c r="I6" i="8"/>
  <c r="B7" i="8"/>
  <c r="J7" i="8"/>
  <c r="C8" i="8"/>
  <c r="K8" i="8"/>
  <c r="D9" i="8"/>
  <c r="L9" i="8"/>
  <c r="E10" i="8"/>
  <c r="M10" i="8"/>
  <c r="F11" i="8"/>
  <c r="N11" i="8"/>
  <c r="G12" i="8"/>
  <c r="O12" i="8"/>
  <c r="H13" i="8"/>
  <c r="A14" i="8"/>
  <c r="I14" i="8"/>
  <c r="B15" i="8"/>
  <c r="J15" i="8"/>
  <c r="C16" i="8"/>
  <c r="K16" i="8"/>
  <c r="F2" i="8"/>
  <c r="N2" i="8"/>
  <c r="G3" i="8"/>
  <c r="O3" i="8"/>
  <c r="H4" i="8"/>
  <c r="A5" i="8"/>
  <c r="I5" i="8"/>
  <c r="B6" i="8"/>
  <c r="J6" i="8"/>
  <c r="C7" i="8"/>
  <c r="K7" i="8"/>
  <c r="D8" i="8"/>
  <c r="L8" i="8"/>
  <c r="E9" i="8"/>
  <c r="M9" i="8"/>
  <c r="F10" i="8"/>
  <c r="N10" i="8"/>
  <c r="G11" i="8"/>
  <c r="O11" i="8"/>
  <c r="H12" i="8"/>
  <c r="A13" i="8"/>
  <c r="I13" i="8"/>
  <c r="B14" i="8"/>
  <c r="J14" i="8"/>
  <c r="C15" i="8"/>
  <c r="K15" i="8"/>
  <c r="D16" i="8"/>
  <c r="L16" i="8"/>
  <c r="B3" i="8"/>
  <c r="J4" i="8"/>
  <c r="C6" i="8"/>
  <c r="F7" i="8"/>
  <c r="N8" i="8"/>
  <c r="G10" i="8"/>
  <c r="J11" i="8"/>
  <c r="C13" i="8"/>
  <c r="K14" i="8"/>
  <c r="N15" i="8"/>
  <c r="A2" i="8"/>
  <c r="I3" i="8"/>
  <c r="B5" i="8"/>
  <c r="E6" i="8"/>
  <c r="M7" i="8"/>
  <c r="F9" i="8"/>
  <c r="I10" i="8"/>
  <c r="B12" i="8"/>
  <c r="J13" i="8"/>
  <c r="M14" i="8"/>
  <c r="F16" i="8"/>
  <c r="G2" i="8"/>
  <c r="J3" i="8"/>
  <c r="C5" i="8"/>
  <c r="K6" i="8"/>
  <c r="N7" i="8"/>
  <c r="G9" i="8"/>
  <c r="O10" i="8"/>
  <c r="C12" i="8"/>
  <c r="K13" i="8"/>
  <c r="D15" i="8"/>
  <c r="G16" i="8"/>
  <c r="H2" i="8"/>
  <c r="A4" i="8"/>
  <c r="D5" i="8"/>
  <c r="L6" i="8"/>
  <c r="E8" i="8"/>
  <c r="H9" i="8"/>
  <c r="A11" i="8"/>
  <c r="I12" i="8"/>
  <c r="L13" i="8"/>
  <c r="E15" i="8"/>
  <c r="M16" i="8"/>
  <c r="I2" i="8"/>
  <c r="B4" i="8"/>
  <c r="J5" i="8"/>
  <c r="M6" i="8"/>
  <c r="F8" i="8"/>
  <c r="N9" i="8"/>
  <c r="B11" i="8"/>
  <c r="J12" i="8"/>
  <c r="C14" i="8"/>
  <c r="F15" i="8"/>
  <c r="N16" i="8"/>
  <c r="O2" i="8"/>
  <c r="C4" i="8"/>
  <c r="K5" i="8"/>
  <c r="D7" i="8"/>
  <c r="G8" i="8"/>
  <c r="O9" i="8"/>
  <c r="H11" i="8"/>
  <c r="K12" i="8"/>
  <c r="D14" i="8"/>
  <c r="L15" i="8"/>
  <c r="O16" i="8"/>
  <c r="D6" i="8"/>
  <c r="A12" i="8"/>
  <c r="E7" i="8"/>
  <c r="B13" i="8"/>
  <c r="L7" i="8"/>
  <c r="D13" i="8"/>
  <c r="A3" i="8"/>
  <c r="M8" i="8"/>
  <c r="E14" i="8"/>
  <c r="H3" i="8"/>
  <c r="O8" i="8"/>
  <c r="L14" i="8"/>
  <c r="I4" i="8"/>
  <c r="A10" i="8"/>
  <c r="M15" i="8"/>
  <c r="K4" i="8"/>
  <c r="H10" i="8"/>
  <c r="E16" i="8"/>
  <c r="L5" i="8"/>
  <c r="I11" i="8"/>
  <c r="A2" i="9" l="1" a="1"/>
  <c r="A2" i="9" l="1"/>
  <c r="I2" i="9"/>
  <c r="Q2" i="9"/>
  <c r="Y2" i="9"/>
  <c r="AG2" i="9"/>
  <c r="AO2" i="9"/>
  <c r="AW2" i="9"/>
  <c r="G3" i="9"/>
  <c r="O3" i="9"/>
  <c r="W3" i="9"/>
  <c r="AE3" i="9"/>
  <c r="AM3" i="9"/>
  <c r="AU3" i="9"/>
  <c r="E4" i="9"/>
  <c r="M4" i="9"/>
  <c r="U4" i="9"/>
  <c r="AC4" i="9"/>
  <c r="AK4" i="9"/>
  <c r="AS4" i="9"/>
  <c r="C5" i="9"/>
  <c r="K5" i="9"/>
  <c r="S5" i="9"/>
  <c r="AA5" i="9"/>
  <c r="AI5" i="9"/>
  <c r="AQ5" i="9"/>
  <c r="A6" i="9"/>
  <c r="I6" i="9"/>
  <c r="Q6" i="9"/>
  <c r="Y6" i="9"/>
  <c r="AG6" i="9"/>
  <c r="AO6" i="9"/>
  <c r="AW6" i="9"/>
  <c r="G7" i="9"/>
  <c r="O7" i="9"/>
  <c r="W7" i="9"/>
  <c r="AE7" i="9"/>
  <c r="AM7" i="9"/>
  <c r="AU7" i="9"/>
  <c r="E8" i="9"/>
  <c r="M8" i="9"/>
  <c r="U8" i="9"/>
  <c r="AC8" i="9"/>
  <c r="AK8" i="9"/>
  <c r="AS8" i="9"/>
  <c r="C9" i="9"/>
  <c r="K9" i="9"/>
  <c r="S9" i="9"/>
  <c r="AA9" i="9"/>
  <c r="AI9" i="9"/>
  <c r="AQ9" i="9"/>
  <c r="A10" i="9"/>
  <c r="I10" i="9"/>
  <c r="Q10" i="9"/>
  <c r="Y10" i="9"/>
  <c r="AG10" i="9"/>
  <c r="AO10" i="9"/>
  <c r="AW10" i="9"/>
  <c r="G11" i="9"/>
  <c r="O11" i="9"/>
  <c r="W11" i="9"/>
  <c r="AE11" i="9"/>
  <c r="AM11" i="9"/>
  <c r="AU11" i="9"/>
  <c r="E12" i="9"/>
  <c r="M12" i="9"/>
  <c r="U12" i="9"/>
  <c r="AC12" i="9"/>
  <c r="AK12" i="9"/>
  <c r="AS12" i="9"/>
  <c r="C13" i="9"/>
  <c r="K13" i="9"/>
  <c r="S13" i="9"/>
  <c r="AA13" i="9"/>
  <c r="AI13" i="9"/>
  <c r="AQ13" i="9"/>
  <c r="A14" i="9"/>
  <c r="I14" i="9"/>
  <c r="Q14" i="9"/>
  <c r="Y14" i="9"/>
  <c r="AG14" i="9"/>
  <c r="AO14" i="9"/>
  <c r="B2" i="9"/>
  <c r="J2" i="9"/>
  <c r="R2" i="9"/>
  <c r="Z2" i="9"/>
  <c r="AH2" i="9"/>
  <c r="AP2" i="9"/>
  <c r="AX2" i="9"/>
  <c r="H3" i="9"/>
  <c r="P3" i="9"/>
  <c r="X3" i="9"/>
  <c r="AF3" i="9"/>
  <c r="AN3" i="9"/>
  <c r="AV3" i="9"/>
  <c r="F4" i="9"/>
  <c r="N4" i="9"/>
  <c r="V4" i="9"/>
  <c r="AD4" i="9"/>
  <c r="AL4" i="9"/>
  <c r="AT4" i="9"/>
  <c r="D5" i="9"/>
  <c r="L5" i="9"/>
  <c r="T5" i="9"/>
  <c r="AB5" i="9"/>
  <c r="AJ5" i="9"/>
  <c r="AR5" i="9"/>
  <c r="B6" i="9"/>
  <c r="J6" i="9"/>
  <c r="R6" i="9"/>
  <c r="Z6" i="9"/>
  <c r="AH6" i="9"/>
  <c r="AP6" i="9"/>
  <c r="AX6" i="9"/>
  <c r="H7" i="9"/>
  <c r="P7" i="9"/>
  <c r="X7" i="9"/>
  <c r="AF7" i="9"/>
  <c r="AN7" i="9"/>
  <c r="AV7" i="9"/>
  <c r="F8" i="9"/>
  <c r="N8" i="9"/>
  <c r="V8" i="9"/>
  <c r="AD8" i="9"/>
  <c r="AL8" i="9"/>
  <c r="AT8" i="9"/>
  <c r="D9" i="9"/>
  <c r="L9" i="9"/>
  <c r="T9" i="9"/>
  <c r="AB9" i="9"/>
  <c r="AJ9" i="9"/>
  <c r="AR9" i="9"/>
  <c r="B10" i="9"/>
  <c r="J10" i="9"/>
  <c r="R10" i="9"/>
  <c r="Z10" i="9"/>
  <c r="AH10" i="9"/>
  <c r="AP10" i="9"/>
  <c r="AX10" i="9"/>
  <c r="H11" i="9"/>
  <c r="P11" i="9"/>
  <c r="X11" i="9"/>
  <c r="AF11" i="9"/>
  <c r="AN11" i="9"/>
  <c r="AV11" i="9"/>
  <c r="F12" i="9"/>
  <c r="N12" i="9"/>
  <c r="V12" i="9"/>
  <c r="AD12" i="9"/>
  <c r="AL12" i="9"/>
  <c r="AT12" i="9"/>
  <c r="D13" i="9"/>
  <c r="L13" i="9"/>
  <c r="T13" i="9"/>
  <c r="AB13" i="9"/>
  <c r="AJ13" i="9"/>
  <c r="AR13" i="9"/>
  <c r="B14" i="9"/>
  <c r="J14" i="9"/>
  <c r="R14" i="9"/>
  <c r="Z14" i="9"/>
  <c r="AH14" i="9"/>
  <c r="AP14" i="9"/>
  <c r="C2" i="9"/>
  <c r="K2" i="9"/>
  <c r="S2" i="9"/>
  <c r="AA2" i="9"/>
  <c r="AI2" i="9"/>
  <c r="AQ2" i="9"/>
  <c r="A3" i="9"/>
  <c r="I3" i="9"/>
  <c r="Q3" i="9"/>
  <c r="Y3" i="9"/>
  <c r="AG3" i="9"/>
  <c r="AO3" i="9"/>
  <c r="AW3" i="9"/>
  <c r="G4" i="9"/>
  <c r="O4" i="9"/>
  <c r="W4" i="9"/>
  <c r="AE4" i="9"/>
  <c r="AM4" i="9"/>
  <c r="AU4" i="9"/>
  <c r="E5" i="9"/>
  <c r="M5" i="9"/>
  <c r="U5" i="9"/>
  <c r="AC5" i="9"/>
  <c r="AK5" i="9"/>
  <c r="AS5" i="9"/>
  <c r="C6" i="9"/>
  <c r="K6" i="9"/>
  <c r="S6" i="9"/>
  <c r="AA6" i="9"/>
  <c r="AI6" i="9"/>
  <c r="AQ6" i="9"/>
  <c r="A7" i="9"/>
  <c r="I7" i="9"/>
  <c r="Q7" i="9"/>
  <c r="Y7" i="9"/>
  <c r="AG7" i="9"/>
  <c r="AO7" i="9"/>
  <c r="AW7" i="9"/>
  <c r="G8" i="9"/>
  <c r="O8" i="9"/>
  <c r="W8" i="9"/>
  <c r="AE8" i="9"/>
  <c r="AM8" i="9"/>
  <c r="AU8" i="9"/>
  <c r="E9" i="9"/>
  <c r="M9" i="9"/>
  <c r="U9" i="9"/>
  <c r="AC9" i="9"/>
  <c r="AK9" i="9"/>
  <c r="AS9" i="9"/>
  <c r="C10" i="9"/>
  <c r="K10" i="9"/>
  <c r="S10" i="9"/>
  <c r="AA10" i="9"/>
  <c r="AI10" i="9"/>
  <c r="AQ10" i="9"/>
  <c r="A11" i="9"/>
  <c r="I11" i="9"/>
  <c r="Q11" i="9"/>
  <c r="Y11" i="9"/>
  <c r="AG11" i="9"/>
  <c r="AO11" i="9"/>
  <c r="AW11" i="9"/>
  <c r="G12" i="9"/>
  <c r="O12" i="9"/>
  <c r="W12" i="9"/>
  <c r="AE12" i="9"/>
  <c r="AM12" i="9"/>
  <c r="AU12" i="9"/>
  <c r="E13" i="9"/>
  <c r="M13" i="9"/>
  <c r="U13" i="9"/>
  <c r="AC13" i="9"/>
  <c r="AK13" i="9"/>
  <c r="AS13" i="9"/>
  <c r="C14" i="9"/>
  <c r="K14" i="9"/>
  <c r="S14" i="9"/>
  <c r="AA14" i="9"/>
  <c r="AI14" i="9"/>
  <c r="AQ14" i="9"/>
  <c r="D2" i="9"/>
  <c r="L2" i="9"/>
  <c r="T2" i="9"/>
  <c r="AB2" i="9"/>
  <c r="AJ2" i="9"/>
  <c r="AR2" i="9"/>
  <c r="B3" i="9"/>
  <c r="J3" i="9"/>
  <c r="R3" i="9"/>
  <c r="Z3" i="9"/>
  <c r="AH3" i="9"/>
  <c r="AP3" i="9"/>
  <c r="AX3" i="9"/>
  <c r="H4" i="9"/>
  <c r="P4" i="9"/>
  <c r="X4" i="9"/>
  <c r="AF4" i="9"/>
  <c r="AN4" i="9"/>
  <c r="AV4" i="9"/>
  <c r="F5" i="9"/>
  <c r="N5" i="9"/>
  <c r="V5" i="9"/>
  <c r="AD5" i="9"/>
  <c r="AL5" i="9"/>
  <c r="AT5" i="9"/>
  <c r="D6" i="9"/>
  <c r="L6" i="9"/>
  <c r="T6" i="9"/>
  <c r="AB6" i="9"/>
  <c r="AJ6" i="9"/>
  <c r="AR6" i="9"/>
  <c r="B7" i="9"/>
  <c r="J7" i="9"/>
  <c r="R7" i="9"/>
  <c r="Z7" i="9"/>
  <c r="AH7" i="9"/>
  <c r="AP7" i="9"/>
  <c r="AX7" i="9"/>
  <c r="H8" i="9"/>
  <c r="P8" i="9"/>
  <c r="X8" i="9"/>
  <c r="AF8" i="9"/>
  <c r="AN8" i="9"/>
  <c r="AV8" i="9"/>
  <c r="F9" i="9"/>
  <c r="N9" i="9"/>
  <c r="V9" i="9"/>
  <c r="AD9" i="9"/>
  <c r="AL9" i="9"/>
  <c r="AT9" i="9"/>
  <c r="D10" i="9"/>
  <c r="L10" i="9"/>
  <c r="T10" i="9"/>
  <c r="AB10" i="9"/>
  <c r="AJ10" i="9"/>
  <c r="AR10" i="9"/>
  <c r="B11" i="9"/>
  <c r="J11" i="9"/>
  <c r="R11" i="9"/>
  <c r="Z11" i="9"/>
  <c r="AH11" i="9"/>
  <c r="AP11" i="9"/>
  <c r="AX11" i="9"/>
  <c r="H12" i="9"/>
  <c r="P12" i="9"/>
  <c r="X12" i="9"/>
  <c r="AF12" i="9"/>
  <c r="AN12" i="9"/>
  <c r="AV12" i="9"/>
  <c r="F13" i="9"/>
  <c r="N13" i="9"/>
  <c r="V13" i="9"/>
  <c r="AD13" i="9"/>
  <c r="AL13" i="9"/>
  <c r="AT13" i="9"/>
  <c r="D14" i="9"/>
  <c r="L14" i="9"/>
  <c r="T14" i="9"/>
  <c r="AB14" i="9"/>
  <c r="AJ14" i="9"/>
  <c r="AR14" i="9"/>
  <c r="E2" i="9"/>
  <c r="M2" i="9"/>
  <c r="U2" i="9"/>
  <c r="AC2" i="9"/>
  <c r="AK2" i="9"/>
  <c r="AS2" i="9"/>
  <c r="C3" i="9"/>
  <c r="K3" i="9"/>
  <c r="S3" i="9"/>
  <c r="AA3" i="9"/>
  <c r="AI3" i="9"/>
  <c r="AQ3" i="9"/>
  <c r="A4" i="9"/>
  <c r="I4" i="9"/>
  <c r="Q4" i="9"/>
  <c r="Y4" i="9"/>
  <c r="AG4" i="9"/>
  <c r="AO4" i="9"/>
  <c r="AW4" i="9"/>
  <c r="G5" i="9"/>
  <c r="O5" i="9"/>
  <c r="W5" i="9"/>
  <c r="AE5" i="9"/>
  <c r="AM5" i="9"/>
  <c r="AU5" i="9"/>
  <c r="E6" i="9"/>
  <c r="M6" i="9"/>
  <c r="U6" i="9"/>
  <c r="AC6" i="9"/>
  <c r="AK6" i="9"/>
  <c r="AS6" i="9"/>
  <c r="C7" i="9"/>
  <c r="K7" i="9"/>
  <c r="S7" i="9"/>
  <c r="AA7" i="9"/>
  <c r="AI7" i="9"/>
  <c r="AQ7" i="9"/>
  <c r="A8" i="9"/>
  <c r="I8" i="9"/>
  <c r="Q8" i="9"/>
  <c r="Y8" i="9"/>
  <c r="AG8" i="9"/>
  <c r="AO8" i="9"/>
  <c r="AW8" i="9"/>
  <c r="G9" i="9"/>
  <c r="O9" i="9"/>
  <c r="W9" i="9"/>
  <c r="AE9" i="9"/>
  <c r="AM9" i="9"/>
  <c r="AU9" i="9"/>
  <c r="E10" i="9"/>
  <c r="M10" i="9"/>
  <c r="U10" i="9"/>
  <c r="AC10" i="9"/>
  <c r="AK10" i="9"/>
  <c r="AS10" i="9"/>
  <c r="C11" i="9"/>
  <c r="K11" i="9"/>
  <c r="S11" i="9"/>
  <c r="AA11" i="9"/>
  <c r="AI11" i="9"/>
  <c r="AQ11" i="9"/>
  <c r="A12" i="9"/>
  <c r="I12" i="9"/>
  <c r="Q12" i="9"/>
  <c r="Y12" i="9"/>
  <c r="AG12" i="9"/>
  <c r="AO12" i="9"/>
  <c r="AW12" i="9"/>
  <c r="G13" i="9"/>
  <c r="O13" i="9"/>
  <c r="W13" i="9"/>
  <c r="AE13" i="9"/>
  <c r="AM13" i="9"/>
  <c r="AU13" i="9"/>
  <c r="E14" i="9"/>
  <c r="M14" i="9"/>
  <c r="U14" i="9"/>
  <c r="AC14" i="9"/>
  <c r="AK14" i="9"/>
  <c r="AS14" i="9"/>
  <c r="G2" i="9"/>
  <c r="O2" i="9"/>
  <c r="W2" i="9"/>
  <c r="AE2" i="9"/>
  <c r="AM2" i="9"/>
  <c r="AU2" i="9"/>
  <c r="E3" i="9"/>
  <c r="M3" i="9"/>
  <c r="U3" i="9"/>
  <c r="AC3" i="9"/>
  <c r="AK3" i="9"/>
  <c r="AS3" i="9"/>
  <c r="C4" i="9"/>
  <c r="K4" i="9"/>
  <c r="S4" i="9"/>
  <c r="AA4" i="9"/>
  <c r="AI4" i="9"/>
  <c r="AQ4" i="9"/>
  <c r="A5" i="9"/>
  <c r="I5" i="9"/>
  <c r="Q5" i="9"/>
  <c r="Y5" i="9"/>
  <c r="AG5" i="9"/>
  <c r="AO5" i="9"/>
  <c r="AW5" i="9"/>
  <c r="G6" i="9"/>
  <c r="O6" i="9"/>
  <c r="W6" i="9"/>
  <c r="AE6" i="9"/>
  <c r="AM6" i="9"/>
  <c r="AU6" i="9"/>
  <c r="E7" i="9"/>
  <c r="M7" i="9"/>
  <c r="U7" i="9"/>
  <c r="AC7" i="9"/>
  <c r="AK7" i="9"/>
  <c r="AS7" i="9"/>
  <c r="C8" i="9"/>
  <c r="K8" i="9"/>
  <c r="S8" i="9"/>
  <c r="AA8" i="9"/>
  <c r="AI8" i="9"/>
  <c r="AQ8" i="9"/>
  <c r="A9" i="9"/>
  <c r="I9" i="9"/>
  <c r="Q9" i="9"/>
  <c r="Y9" i="9"/>
  <c r="AG9" i="9"/>
  <c r="AO9" i="9"/>
  <c r="AW9" i="9"/>
  <c r="G10" i="9"/>
  <c r="O10" i="9"/>
  <c r="W10" i="9"/>
  <c r="AE10" i="9"/>
  <c r="AM10" i="9"/>
  <c r="AU10" i="9"/>
  <c r="E11" i="9"/>
  <c r="M11" i="9"/>
  <c r="U11" i="9"/>
  <c r="AC11" i="9"/>
  <c r="AK11" i="9"/>
  <c r="AS11" i="9"/>
  <c r="C12" i="9"/>
  <c r="K12" i="9"/>
  <c r="S12" i="9"/>
  <c r="AA12" i="9"/>
  <c r="AI12" i="9"/>
  <c r="AQ12" i="9"/>
  <c r="A13" i="9"/>
  <c r="I13" i="9"/>
  <c r="Q13" i="9"/>
  <c r="Y13" i="9"/>
  <c r="AG13" i="9"/>
  <c r="AO13" i="9"/>
  <c r="AW13" i="9"/>
  <c r="G14" i="9"/>
  <c r="O14" i="9"/>
  <c r="W14" i="9"/>
  <c r="AE14" i="9"/>
  <c r="AM14" i="9"/>
  <c r="AU14" i="9"/>
  <c r="N2" i="9"/>
  <c r="AT2" i="9"/>
  <c r="AB3" i="9"/>
  <c r="J4" i="9"/>
  <c r="AP4" i="9"/>
  <c r="X5" i="9"/>
  <c r="F6" i="9"/>
  <c r="AL6" i="9"/>
  <c r="T7" i="9"/>
  <c r="B8" i="9"/>
  <c r="AH8" i="9"/>
  <c r="P9" i="9"/>
  <c r="AV9" i="9"/>
  <c r="AD10" i="9"/>
  <c r="L11" i="9"/>
  <c r="AR11" i="9"/>
  <c r="Z12" i="9"/>
  <c r="H13" i="9"/>
  <c r="AN13" i="9"/>
  <c r="V14" i="9"/>
  <c r="AW14" i="9"/>
  <c r="G15" i="9"/>
  <c r="O15" i="9"/>
  <c r="W15" i="9"/>
  <c r="AE15" i="9"/>
  <c r="AM15" i="9"/>
  <c r="AU15" i="9"/>
  <c r="E16" i="9"/>
  <c r="M16" i="9"/>
  <c r="U16" i="9"/>
  <c r="AC16" i="9"/>
  <c r="AK16" i="9"/>
  <c r="AS16" i="9"/>
  <c r="P2" i="9"/>
  <c r="AV2" i="9"/>
  <c r="AD3" i="9"/>
  <c r="L4" i="9"/>
  <c r="AR4" i="9"/>
  <c r="Z5" i="9"/>
  <c r="H6" i="9"/>
  <c r="AN6" i="9"/>
  <c r="V7" i="9"/>
  <c r="D8" i="9"/>
  <c r="AJ8" i="9"/>
  <c r="R9" i="9"/>
  <c r="AX9" i="9"/>
  <c r="AF10" i="9"/>
  <c r="N11" i="9"/>
  <c r="AT11" i="9"/>
  <c r="AB12" i="9"/>
  <c r="J13" i="9"/>
  <c r="AP13" i="9"/>
  <c r="X14" i="9"/>
  <c r="AX14" i="9"/>
  <c r="H15" i="9"/>
  <c r="P15" i="9"/>
  <c r="X15" i="9"/>
  <c r="AF15" i="9"/>
  <c r="AN15" i="9"/>
  <c r="AV15" i="9"/>
  <c r="F16" i="9"/>
  <c r="N16" i="9"/>
  <c r="V16" i="9"/>
  <c r="AD16" i="9"/>
  <c r="AL16" i="9"/>
  <c r="AT16" i="9"/>
  <c r="V2" i="9"/>
  <c r="D3" i="9"/>
  <c r="AJ3" i="9"/>
  <c r="R4" i="9"/>
  <c r="AX4" i="9"/>
  <c r="AF5" i="9"/>
  <c r="N6" i="9"/>
  <c r="AT6" i="9"/>
  <c r="AB7" i="9"/>
  <c r="J8" i="9"/>
  <c r="AP8" i="9"/>
  <c r="X9" i="9"/>
  <c r="F10" i="9"/>
  <c r="AL10" i="9"/>
  <c r="T11" i="9"/>
  <c r="B12" i="9"/>
  <c r="AH12" i="9"/>
  <c r="P13" i="9"/>
  <c r="AV13" i="9"/>
  <c r="AD14" i="9"/>
  <c r="A15" i="9"/>
  <c r="I15" i="9"/>
  <c r="Q15" i="9"/>
  <c r="Y15" i="9"/>
  <c r="AG15" i="9"/>
  <c r="AO15" i="9"/>
  <c r="AW15" i="9"/>
  <c r="G16" i="9"/>
  <c r="O16" i="9"/>
  <c r="W16" i="9"/>
  <c r="AE16" i="9"/>
  <c r="AM16" i="9"/>
  <c r="AU16" i="9"/>
  <c r="X2" i="9"/>
  <c r="F3" i="9"/>
  <c r="AL3" i="9"/>
  <c r="T4" i="9"/>
  <c r="B5" i="9"/>
  <c r="AH5" i="9"/>
  <c r="P6" i="9"/>
  <c r="AV6" i="9"/>
  <c r="AD7" i="9"/>
  <c r="L8" i="9"/>
  <c r="AR8" i="9"/>
  <c r="Z9" i="9"/>
  <c r="H10" i="9"/>
  <c r="AN10" i="9"/>
  <c r="V11" i="9"/>
  <c r="D12" i="9"/>
  <c r="AJ12" i="9"/>
  <c r="R13" i="9"/>
  <c r="AX13" i="9"/>
  <c r="AF14" i="9"/>
  <c r="B15" i="9"/>
  <c r="J15" i="9"/>
  <c r="R15" i="9"/>
  <c r="Z15" i="9"/>
  <c r="AH15" i="9"/>
  <c r="AP15" i="9"/>
  <c r="AX15" i="9"/>
  <c r="H16" i="9"/>
  <c r="P16" i="9"/>
  <c r="X16" i="9"/>
  <c r="AF16" i="9"/>
  <c r="AN16" i="9"/>
  <c r="AV16" i="9"/>
  <c r="AD2" i="9"/>
  <c r="L3" i="9"/>
  <c r="AR3" i="9"/>
  <c r="Z4" i="9"/>
  <c r="H5" i="9"/>
  <c r="AN5" i="9"/>
  <c r="V6" i="9"/>
  <c r="D7" i="9"/>
  <c r="AJ7" i="9"/>
  <c r="R8" i="9"/>
  <c r="AX8" i="9"/>
  <c r="AF9" i="9"/>
  <c r="N10" i="9"/>
  <c r="AT10" i="9"/>
  <c r="AB11" i="9"/>
  <c r="J12" i="9"/>
  <c r="AP12" i="9"/>
  <c r="X13" i="9"/>
  <c r="F14" i="9"/>
  <c r="AL14" i="9"/>
  <c r="C15" i="9"/>
  <c r="K15" i="9"/>
  <c r="S15" i="9"/>
  <c r="AA15" i="9"/>
  <c r="AI15" i="9"/>
  <c r="AQ15" i="9"/>
  <c r="A16" i="9"/>
  <c r="I16" i="9"/>
  <c r="Q16" i="9"/>
  <c r="Y16" i="9"/>
  <c r="AG16" i="9"/>
  <c r="AO16" i="9"/>
  <c r="AW16" i="9"/>
  <c r="F2" i="9"/>
  <c r="AL2" i="9"/>
  <c r="T3" i="9"/>
  <c r="B4" i="9"/>
  <c r="AH4" i="9"/>
  <c r="P5" i="9"/>
  <c r="AV5" i="9"/>
  <c r="AD6" i="9"/>
  <c r="L7" i="9"/>
  <c r="AR7" i="9"/>
  <c r="Z8" i="9"/>
  <c r="H9" i="9"/>
  <c r="AN9" i="9"/>
  <c r="V10" i="9"/>
  <c r="D11" i="9"/>
  <c r="AJ11" i="9"/>
  <c r="R12" i="9"/>
  <c r="AX12" i="9"/>
  <c r="AF13" i="9"/>
  <c r="N14" i="9"/>
  <c r="AT14" i="9"/>
  <c r="E15" i="9"/>
  <c r="M15" i="9"/>
  <c r="U15" i="9"/>
  <c r="AC15" i="9"/>
  <c r="AK15" i="9"/>
  <c r="AS15" i="9"/>
  <c r="C16" i="9"/>
  <c r="K16" i="9"/>
  <c r="S16" i="9"/>
  <c r="AA16" i="9"/>
  <c r="AI16" i="9"/>
  <c r="AQ16" i="9"/>
  <c r="H2" i="9"/>
  <c r="AJ4" i="9"/>
  <c r="N7" i="9"/>
  <c r="AP9" i="9"/>
  <c r="T12" i="9"/>
  <c r="AV14" i="9"/>
  <c r="AD15" i="9"/>
  <c r="L16" i="9"/>
  <c r="AR16" i="9"/>
  <c r="AF2" i="9"/>
  <c r="J5" i="9"/>
  <c r="AL7" i="9"/>
  <c r="P10" i="9"/>
  <c r="AR12" i="9"/>
  <c r="D15" i="9"/>
  <c r="AN2" i="9"/>
  <c r="R5" i="9"/>
  <c r="AT7" i="9"/>
  <c r="X10" i="9"/>
  <c r="B13" i="9"/>
  <c r="F15" i="9"/>
  <c r="AL15" i="9"/>
  <c r="T16" i="9"/>
  <c r="N3" i="9"/>
  <c r="AP5" i="9"/>
  <c r="T8" i="9"/>
  <c r="AV10" i="9"/>
  <c r="Z13" i="9"/>
  <c r="L15" i="9"/>
  <c r="AR15" i="9"/>
  <c r="Z16" i="9"/>
  <c r="V3" i="9"/>
  <c r="AX5" i="9"/>
  <c r="AB8" i="9"/>
  <c r="F11" i="9"/>
  <c r="AH13" i="9"/>
  <c r="N15" i="9"/>
  <c r="AT15" i="9"/>
  <c r="AB16" i="9"/>
  <c r="AT3" i="9"/>
  <c r="X6" i="9"/>
  <c r="B9" i="9"/>
  <c r="AD11" i="9"/>
  <c r="H14" i="9"/>
  <c r="T15" i="9"/>
  <c r="B16" i="9"/>
  <c r="AH16" i="9"/>
  <c r="D4" i="9"/>
  <c r="AF6" i="9"/>
  <c r="J9" i="9"/>
  <c r="AL11" i="9"/>
  <c r="P14" i="9"/>
  <c r="V15" i="9"/>
  <c r="D16" i="9"/>
  <c r="AJ16" i="9"/>
  <c r="AB4" i="9"/>
  <c r="R16" i="9"/>
  <c r="F7" i="9"/>
  <c r="AP16" i="9"/>
  <c r="AH9" i="9"/>
  <c r="AX16" i="9"/>
  <c r="L12" i="9"/>
  <c r="AN14" i="9"/>
  <c r="AB15" i="9"/>
  <c r="AJ15" i="9"/>
  <c r="J16" i="9"/>
  <c r="B3" i="10" l="1" a="1"/>
  <c r="B3" i="10" l="1"/>
  <c r="B15" i="11" s="1"/>
  <c r="B11" i="10"/>
  <c r="B4" i="10"/>
  <c r="B12" i="10"/>
  <c r="B5" i="10"/>
  <c r="B13" i="10"/>
  <c r="B6" i="10"/>
  <c r="B14" i="10"/>
  <c r="B7" i="10"/>
  <c r="B15" i="10"/>
  <c r="B9" i="10"/>
  <c r="B17" i="10"/>
  <c r="B8" i="10"/>
  <c r="B10" i="10"/>
  <c r="B16" i="10"/>
</calcChain>
</file>

<file path=xl/sharedStrings.xml><?xml version="1.0" encoding="utf-8"?>
<sst xmlns="http://schemas.openxmlformats.org/spreadsheetml/2006/main" count="198" uniqueCount="71">
  <si>
    <t>C(1)</t>
  </si>
  <si>
    <t>C(2)</t>
  </si>
  <si>
    <t>Número de Polos (P)</t>
  </si>
  <si>
    <t>Distância Máxima Entre os Polos</t>
  </si>
  <si>
    <t>Sigma ao 2</t>
  </si>
  <si>
    <t>Licões (l)</t>
  </si>
  <si>
    <t>Matrix de Base Radial [R]</t>
  </si>
  <si>
    <t>Matrix [R]^t</t>
  </si>
  <si>
    <t>Matrix [R]^t.[R]</t>
  </si>
  <si>
    <t>Matrix ([R]^t.[R])^(-1)</t>
  </si>
  <si>
    <t>Matrix (((R)^t.(R))^(-1)).(R)^t</t>
  </si>
  <si>
    <t>Solução</t>
  </si>
  <si>
    <t>Descrição</t>
  </si>
  <si>
    <t>([VS]=(1/[R]).[a]</t>
  </si>
  <si>
    <t>Função de Base Radial</t>
  </si>
  <si>
    <t>VS(1)</t>
  </si>
  <si>
    <t>VS(2)</t>
  </si>
  <si>
    <t>b</t>
  </si>
  <si>
    <t>Coeficiente de Acerto (R^2)</t>
  </si>
  <si>
    <t>Função Teórica</t>
  </si>
  <si>
    <t>Função Selecionada</t>
  </si>
  <si>
    <t>C(3)</t>
  </si>
  <si>
    <t>C(4)</t>
  </si>
  <si>
    <t>VS(3)</t>
  </si>
  <si>
    <t>VS(4)</t>
  </si>
  <si>
    <t>C(5)</t>
  </si>
  <si>
    <t>C(6)</t>
  </si>
  <si>
    <t>C(7)</t>
  </si>
  <si>
    <t>C(8)</t>
  </si>
  <si>
    <t>C(9)</t>
  </si>
  <si>
    <t>C(10)</t>
  </si>
  <si>
    <t>C(11)</t>
  </si>
  <si>
    <t>C(12)</t>
  </si>
  <si>
    <t>C(13)</t>
  </si>
  <si>
    <t>C(14)</t>
  </si>
  <si>
    <t>VS(5)</t>
  </si>
  <si>
    <t>VS(6)</t>
  </si>
  <si>
    <t>VS(7)</t>
  </si>
  <si>
    <t>VS(8)</t>
  </si>
  <si>
    <t>VS(9)</t>
  </si>
  <si>
    <t>VS(10)</t>
  </si>
  <si>
    <t>VS(11)</t>
  </si>
  <si>
    <t>VS(12)</t>
  </si>
  <si>
    <t>VS(13)</t>
  </si>
  <si>
    <t>VS(14)</t>
  </si>
  <si>
    <t>Média</t>
  </si>
  <si>
    <t>R^2</t>
  </si>
  <si>
    <t>Outlayer</t>
  </si>
  <si>
    <t>Outlayers</t>
  </si>
  <si>
    <t>Turbina (Lições)</t>
  </si>
  <si>
    <t>Rho_e (kg/(m^3))</t>
  </si>
  <si>
    <t>T_s (K)</t>
  </si>
  <si>
    <t>V_s (m/s)</t>
  </si>
  <si>
    <t>A_e (m^2)</t>
  </si>
  <si>
    <t>P_e (N/(m^2))</t>
  </si>
  <si>
    <t>mPonto (kg/s)</t>
  </si>
  <si>
    <t>Rho_s (kg/(m^3))</t>
  </si>
  <si>
    <t>A_s (m^2)</t>
  </si>
  <si>
    <t>P_s (N/(m^2))</t>
  </si>
  <si>
    <t>L (m)</t>
  </si>
  <si>
    <t>t (s)</t>
  </si>
  <si>
    <t>F (N) Teórica</t>
  </si>
  <si>
    <t>Gaussiana (G)</t>
  </si>
  <si>
    <t>Números decimais</t>
  </si>
  <si>
    <t>-</t>
  </si>
  <si>
    <t>F (N) Teórica Experimental</t>
  </si>
  <si>
    <t>F (N) Teórica Teórica</t>
  </si>
  <si>
    <t>T_e (K)</t>
  </si>
  <si>
    <t>V_e (m/s)</t>
  </si>
  <si>
    <t>R_Médio (m)</t>
  </si>
  <si>
    <t>f(X) = -325805,67108 * EXP(-5,38972E-11 * ||X - (0,00000;0,00000;0,00000;0,00000;0,00000;0,00000;0,00000;0,00000;0,00000;0,00000;0,00000;0,00000;0,00000;0,00000)|| ^ 2)
-58423516416,34530 * EXP(-5,38972E-11 * ||X - (140877,69666;106509,55095;115713,32546;57817,36254;60290,40259;154693,48051;2798,93069;151894,78395;162630,40441;141574,62755;9055,65836;82670,51356;172240,45514;157836,29258)|| ^ 2)
-20498575756,92460 * EXP(-5,38972E-11 * ||X - (74584,51341;192074,58271;174002,85397;11228,90353;189599,35281;72684,14229;104801,24374;153170,29873;10683,33395;118297,00042;93586,03476;59535,13131;124334,75523;129351,39842)|| ^ 2)
-2951912737369,39000 * EXP(-5,38972E-11 * ||X - (52671,92299;55776,63885;165687,69341;164649,50335;117639,03454;196894,65138;181893,56494;45298,67061;138794,72320;195678,66712;48706,13289;106599,21569;21238,99418;199554,55446)|| ^ 2)
-3985050591,72861 * EXP(-5,38972E-11 * ||X - (135013,02311;3135,63165;114847,78821;19977,58249;20570,68603;159514,40608;56802,59432;9114,84375;59057,39941;76276,63479;60095,22053;189402,56407;195643,95090;80143,00105)|| ^ 2)
+1811663978,92226 * EXP(-5,38972E-11 * ||X - (55564,56878;32035,59714;32510,82976;129104,99296;81879,91909;82417,75279;142311,92779;65134,07162;126427,74963;41444,03908;37141,59562;116480,14104;16116,41712;91443,82831)|| ^ 2)
+144802431776,14900 * EXP(-5,38972E-11 * ||X - (180848,38879;52187,78816;156784,46358;75656,02724;57837,84475;183573,35653;126140,92720;125322,19795;85550,50822;19562,58257;112023,69418;138668,89028;182443,31188;166689,15592)|| ^ 2)
+8749816780,55583 * EXP(-5,38972E-11 * ||X - (4518,41327;108493,60043;182931,79070;85910,86905;135366,80251;100325,70712;102578,71511;92443,89836;70578,40156;80833,82654;53857,70163;11100,44040;48688,92355;195493,91064)|| ^ 2)
+65165253,25477 * EXP(-5,38972E-11 * ||X - (12163,24244;77930,06490;72879,16964;97817,99845;31081,47818;94735,95465;51369,01131;125543,80100;108235,94821;31209,09631;187400,67447;130684,84895;101051,20123;77966,00696)|| ^ 2)
+2118460816,62375 * EXP(-5,38972E-11 * ||X - (21439,79368;156541,47381;91777,14929;150489,99675;119023,06579;166272,44221;3745,51610;42004,61625;14766,37611;21055,89198;66229,91180;25607,84714;48,17274;107182,45302)|| ^ 2)
-1570370403,48612 * EXP(-5,38972E-11 * ||X - (131195,11913;108624,06298;165210,52087;16351,81383;38321,44740;135559,61620;90692,34166;71287,32899;29946,94673;140647,72697;185452,04339;105868,30646;17898,83400;151296,90796)|| ^ 2)
-1011082559,33055 * EXP(-5,38972E-11 * ||X - (80236,39091;92223,12840;98271,42781;41457,24957;65838,85739;19054,46654;117764,73655;33918,88983;185218,53900;19553,79938;88626,67275;54499,69590;174222,69562;149890,90683)|| ^ 2)
-2460538344,45944 * EXP(-5,38972E-11 * ||X - (54498,80330;134508,01333;51241,47649;17949,78366;6179,96009;64437,50968;157766,18176;59353,94523;46979,15247;95937,08603;50836,73554;68009,41286;8972,01571;96327,11692)|| ^ 2)
+615024811,87920 * EXP(-5,38972E-11 * ||X - (41135,75853;172622,85727;117532,32708;150733,64109;185271,76182;66094,62921;108409,85066;16111,76369;126665,96695;81872,62357;191769,01567;22887,00917;184385,63525;123838,14779)|| ^ 2)
+69577,79829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</si>
</sst>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4" fillId="2" borderId="3" applyNumberFormat="0" applyAlignment="0" applyProtection="0"/>
  </cellStyleXfs>
  <cellXfs count="14">
    <xf numFmtId="0" fontId="0" fillId="0" borderId="0" xfId="0"/>
    <xf numFmtId="0" fontId="0" fillId="0" borderId="0" xfId="0"/>
    <xf numFmtId="0" fontId="5" fillId="3" borderId="2" xfId="2" applyFont="1" applyProtection="1">
      <protection hidden="1"/>
    </xf>
    <xf numFmtId="2" fontId="0" fillId="0" borderId="0" xfId="0" applyNumberFormat="1"/>
    <xf numFmtId="0" fontId="7" fillId="0" borderId="0" xfId="0" applyFont="1"/>
    <xf numFmtId="0" fontId="4" fillId="2" borderId="3" xfId="3" applyProtection="1">
      <protection locked="0" hidden="1"/>
    </xf>
    <xf numFmtId="165" fontId="1" fillId="2" borderId="1" xfId="1" applyNumberFormat="1" applyProtection="1">
      <protection hidden="1"/>
    </xf>
    <xf numFmtId="164" fontId="1" fillId="2" borderId="1" xfId="1" applyNumberFormat="1" applyProtection="1">
      <protection hidden="1"/>
    </xf>
    <xf numFmtId="0" fontId="1" fillId="2" borderId="1" xfId="1" applyAlignment="1" applyProtection="1">
      <alignment wrapText="1"/>
      <protection hidden="1"/>
    </xf>
    <xf numFmtId="0" fontId="1" fillId="2" borderId="1" xfId="1" applyProtection="1">
      <protection hidden="1"/>
    </xf>
    <xf numFmtId="0" fontId="6" fillId="0" borderId="0" xfId="0" applyFont="1"/>
    <xf numFmtId="2" fontId="6" fillId="0" borderId="0" xfId="0" applyNumberFormat="1" applyFont="1"/>
    <xf numFmtId="11" fontId="4" fillId="2" borderId="3" xfId="3" applyNumberFormat="1" applyProtection="1">
      <protection locked="0" hidden="1"/>
    </xf>
    <xf numFmtId="0" fontId="0" fillId="0" borderId="0" xfId="0"/>
  </cellXfs>
  <cellStyles count="4">
    <cellStyle name="Cálculo" xfId="1" builtinId="22"/>
    <cellStyle name="Célula de Verificação" xfId="2" builtinId="23"/>
    <cellStyle name="Normal" xfId="0" builtinId="0"/>
    <cellStyle name="Saída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95250</xdr:rowOff>
        </xdr:from>
        <xdr:to>
          <xdr:col>4</xdr:col>
          <xdr:colOff>228600</xdr:colOff>
          <xdr:row>8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formulário de configuração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"/>
  <sheetViews>
    <sheetView zoomScale="130" zoomScaleNormal="130" workbookViewId="0">
      <selection activeCell="H6" sqref="H6"/>
    </sheetView>
  </sheetViews>
  <sheetFormatPr defaultRowHeight="15" x14ac:dyDescent="0.25"/>
  <cols>
    <col min="1" max="16384" width="9.140625" style="4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ecutar">
                <anchor moveWithCells="1" sizeWithCells="1">
                  <from>
                    <xdr:col>1</xdr:col>
                    <xdr:colOff>0</xdr:colOff>
                    <xdr:row>2</xdr:row>
                    <xdr:rowOff>95250</xdr:rowOff>
                  </from>
                  <to>
                    <xdr:col>4</xdr:col>
                    <xdr:colOff>228600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P51"/>
  <sheetViews>
    <sheetView topLeftCell="I21" zoomScale="130" zoomScaleNormal="130" workbookViewId="0">
      <selection activeCell="P35" sqref="P35"/>
    </sheetView>
  </sheetViews>
  <sheetFormatPr defaultRowHeight="15" x14ac:dyDescent="0.25"/>
  <cols>
    <col min="1" max="1" width="16.7109375" bestFit="1" customWidth="1"/>
    <col min="2" max="2" width="17.140625" style="3" bestFit="1" customWidth="1"/>
    <col min="3" max="3" width="8.140625" style="3" bestFit="1" customWidth="1"/>
    <col min="4" max="4" width="10.140625" style="3" bestFit="1" customWidth="1"/>
    <col min="5" max="5" width="10.28515625" style="3" bestFit="1" customWidth="1"/>
    <col min="6" max="6" width="13.7109375" style="3" bestFit="1" customWidth="1"/>
    <col min="7" max="7" width="14.28515625" style="3" bestFit="1" customWidth="1"/>
    <col min="8" max="8" width="16.85546875" style="3" bestFit="1" customWidth="1"/>
    <col min="9" max="9" width="8.140625" style="3" bestFit="1" customWidth="1"/>
    <col min="10" max="10" width="10" style="3" bestFit="1" customWidth="1"/>
    <col min="11" max="11" width="10.140625" style="3" bestFit="1" customWidth="1"/>
    <col min="12" max="12" width="13.42578125" style="3" bestFit="1" customWidth="1"/>
    <col min="13" max="13" width="13" style="3" bestFit="1" customWidth="1"/>
    <col min="14" max="14" width="5.85546875" style="3" bestFit="1" customWidth="1"/>
    <col min="15" max="15" width="8.140625" style="3" bestFit="1" customWidth="1"/>
    <col min="16" max="16" width="13.140625" style="3" bestFit="1" customWidth="1"/>
  </cols>
  <sheetData>
    <row r="1" spans="1:16" x14ac:dyDescent="0.25">
      <c r="A1" t="s">
        <v>49</v>
      </c>
      <c r="B1" s="3" t="s">
        <v>50</v>
      </c>
      <c r="C1" s="3" t="s">
        <v>67</v>
      </c>
      <c r="D1" s="3" t="s">
        <v>68</v>
      </c>
      <c r="E1" s="3" t="s">
        <v>53</v>
      </c>
      <c r="F1" s="3" t="s">
        <v>54</v>
      </c>
      <c r="G1" s="3" t="s">
        <v>55</v>
      </c>
      <c r="H1" s="3" t="s">
        <v>56</v>
      </c>
      <c r="I1" s="3" t="s">
        <v>51</v>
      </c>
      <c r="J1" s="3" t="s">
        <v>52</v>
      </c>
      <c r="K1" s="3" t="s">
        <v>57</v>
      </c>
      <c r="L1" s="3" t="s">
        <v>58</v>
      </c>
      <c r="M1" s="3" t="s">
        <v>69</v>
      </c>
      <c r="N1" s="3" t="s">
        <v>59</v>
      </c>
      <c r="O1" s="3" t="s">
        <v>60</v>
      </c>
      <c r="P1" s="3" t="s">
        <v>61</v>
      </c>
    </row>
    <row r="2" spans="1:16" x14ac:dyDescent="0.25">
      <c r="A2">
        <v>1</v>
      </c>
      <c r="B2" s="3">
        <v>1.1667530292701285</v>
      </c>
      <c r="C2" s="3">
        <v>286.667814853697</v>
      </c>
      <c r="D2" s="3">
        <v>49.320530346724809</v>
      </c>
      <c r="E2" s="3">
        <v>0.16965971584048542</v>
      </c>
      <c r="F2" s="3">
        <v>100000</v>
      </c>
      <c r="G2" s="3">
        <v>2.295154926737681</v>
      </c>
      <c r="H2" s="3">
        <v>0.4126623629590726</v>
      </c>
      <c r="I2" s="3">
        <v>763.12336098254946</v>
      </c>
      <c r="J2" s="3">
        <v>658.63039850330097</v>
      </c>
      <c r="K2" s="3">
        <v>4.6033458396396595E-2</v>
      </c>
      <c r="L2" s="3">
        <v>192584.85386646137</v>
      </c>
      <c r="M2" s="3">
        <v>0.14992799634844137</v>
      </c>
      <c r="N2" s="3">
        <v>0.78927563588214744</v>
      </c>
      <c r="O2" s="3">
        <v>240.59562282956699</v>
      </c>
      <c r="P2" s="3">
        <v>2540.1111195078629</v>
      </c>
    </row>
    <row r="3" spans="1:16" x14ac:dyDescent="0.25">
      <c r="A3">
        <v>2</v>
      </c>
      <c r="B3" s="3">
        <v>1.1637387993215749</v>
      </c>
      <c r="C3" s="3">
        <v>290.32608405394734</v>
      </c>
      <c r="D3" s="3">
        <v>76.356998217360712</v>
      </c>
      <c r="E3" s="3">
        <v>0.15408288442378273</v>
      </c>
      <c r="F3" s="3">
        <v>100000</v>
      </c>
      <c r="G3" s="3">
        <v>9.8468249107742398</v>
      </c>
      <c r="H3" s="3">
        <v>0.4045255822862811</v>
      </c>
      <c r="I3" s="3">
        <v>757.44703132454254</v>
      </c>
      <c r="J3" s="3">
        <v>557.67749827552518</v>
      </c>
      <c r="K3" s="3">
        <v>3.6015896098957501E-2</v>
      </c>
      <c r="L3" s="3">
        <v>137362.82880296651</v>
      </c>
      <c r="M3" s="3">
        <v>8.9715847756492551E-2</v>
      </c>
      <c r="N3" s="3">
        <v>0.6519625179348818</v>
      </c>
      <c r="O3" s="3">
        <v>186.19577049529653</v>
      </c>
      <c r="P3" s="3">
        <v>2772.9128895238318</v>
      </c>
    </row>
    <row r="4" spans="1:16" x14ac:dyDescent="0.25">
      <c r="A4">
        <v>3</v>
      </c>
      <c r="B4" s="3">
        <v>1.2044158756957899</v>
      </c>
      <c r="C4" s="3">
        <v>292.14325950932323</v>
      </c>
      <c r="D4" s="3">
        <v>13.784159862966366</v>
      </c>
      <c r="E4" s="3">
        <v>0.13519853459984163</v>
      </c>
      <c r="F4" s="3">
        <v>100000</v>
      </c>
      <c r="G4" s="3">
        <v>6.4358138575449297</v>
      </c>
      <c r="H4" s="3">
        <v>0.47521773855147065</v>
      </c>
      <c r="I4" s="3">
        <v>859.52565190576479</v>
      </c>
      <c r="J4" s="3">
        <v>517.43981495248045</v>
      </c>
      <c r="K4" s="3">
        <v>1.7006569355698664E-2</v>
      </c>
      <c r="L4" s="3">
        <v>185485.27945778327</v>
      </c>
      <c r="M4" s="3">
        <v>0.16777236757156772</v>
      </c>
      <c r="N4" s="3">
        <v>0.43828899956512724</v>
      </c>
      <c r="O4" s="3">
        <v>239.06278275957965</v>
      </c>
      <c r="P4" s="3">
        <v>1994.1680413612557</v>
      </c>
    </row>
    <row r="5" spans="1:16" x14ac:dyDescent="0.25">
      <c r="A5">
        <v>4</v>
      </c>
      <c r="B5" s="3">
        <v>1.2018688128286317</v>
      </c>
      <c r="C5" s="3">
        <v>287.61774275795892</v>
      </c>
      <c r="D5" s="3">
        <v>8.6713341362277312</v>
      </c>
      <c r="E5" s="3">
        <v>0.14513980393738357</v>
      </c>
      <c r="F5" s="3">
        <v>100000</v>
      </c>
      <c r="G5" s="3">
        <v>3.9557365545934529</v>
      </c>
      <c r="H5" s="3">
        <v>0.40536326269660922</v>
      </c>
      <c r="I5" s="3">
        <v>746.3217180846417</v>
      </c>
      <c r="J5" s="3">
        <v>210.30805809632758</v>
      </c>
      <c r="K5" s="3">
        <v>7.3861776337964147E-2</v>
      </c>
      <c r="L5" s="3">
        <v>134020.17059652868</v>
      </c>
      <c r="M5" s="3">
        <v>9.2737693283689776E-2</v>
      </c>
      <c r="N5" s="3">
        <v>0.35417266633745054</v>
      </c>
      <c r="O5" s="3">
        <v>224.56427150900089</v>
      </c>
      <c r="P5" s="3">
        <v>941.24542910436139</v>
      </c>
    </row>
    <row r="6" spans="1:16" x14ac:dyDescent="0.25">
      <c r="A6">
        <v>5</v>
      </c>
      <c r="B6" s="3">
        <v>1.1624211650174012</v>
      </c>
      <c r="C6" s="3">
        <v>295.2257330474572</v>
      </c>
      <c r="D6" s="3">
        <v>48.629963933721875</v>
      </c>
      <c r="E6" s="3">
        <v>0.14641587052709071</v>
      </c>
      <c r="F6" s="3">
        <v>100000</v>
      </c>
      <c r="G6" s="3">
        <v>4.458847216472912</v>
      </c>
      <c r="H6" s="3">
        <v>0.5195577076855552</v>
      </c>
      <c r="I6" s="3">
        <v>804.08653698499779</v>
      </c>
      <c r="J6" s="3">
        <v>101.83915416795141</v>
      </c>
      <c r="K6" s="3">
        <v>5.9270832515313294E-2</v>
      </c>
      <c r="L6" s="3">
        <v>166657.7923230585</v>
      </c>
      <c r="M6" s="3">
        <v>0.16382232942267907</v>
      </c>
      <c r="N6" s="3">
        <v>0.75663519499451459</v>
      </c>
      <c r="O6" s="3">
        <v>180.88562253366283</v>
      </c>
      <c r="P6" s="3">
        <v>924.96078076649428</v>
      </c>
    </row>
    <row r="7" spans="1:16" x14ac:dyDescent="0.25">
      <c r="A7">
        <v>6</v>
      </c>
      <c r="B7" s="3">
        <v>1.1705519537285254</v>
      </c>
      <c r="C7" s="3">
        <v>296.41512812195037</v>
      </c>
      <c r="D7" s="3">
        <v>17.09713766634048</v>
      </c>
      <c r="E7" s="3">
        <v>1.1297325946142467E-2</v>
      </c>
      <c r="F7" s="3">
        <v>100000</v>
      </c>
      <c r="G7" s="3">
        <v>7.797394521943243</v>
      </c>
      <c r="H7" s="3">
        <v>0.42511131650732253</v>
      </c>
      <c r="I7" s="3">
        <v>837.90801417929572</v>
      </c>
      <c r="J7" s="3">
        <v>302.03935286183753</v>
      </c>
      <c r="K7" s="3">
        <v>4.7695453847198456E-2</v>
      </c>
      <c r="L7" s="3">
        <v>153967.22939929293</v>
      </c>
      <c r="M7" s="3">
        <v>9.8065370514674718E-2</v>
      </c>
      <c r="N7" s="3">
        <v>0.38261673701297944</v>
      </c>
      <c r="O7" s="3">
        <v>253.5264895781134</v>
      </c>
      <c r="P7" s="3">
        <v>1149.0235776170666</v>
      </c>
    </row>
    <row r="8" spans="1:16" x14ac:dyDescent="0.25">
      <c r="A8">
        <v>7</v>
      </c>
      <c r="B8" s="3">
        <v>1.1844912972126356</v>
      </c>
      <c r="C8" s="3">
        <v>292.49460715577453</v>
      </c>
      <c r="D8" s="3">
        <v>33.127492000668468</v>
      </c>
      <c r="E8" s="3">
        <v>7.9639208012270035E-2</v>
      </c>
      <c r="F8" s="3">
        <v>100000</v>
      </c>
      <c r="G8" s="3">
        <v>5.6658027027726323</v>
      </c>
      <c r="H8" s="3">
        <v>0.4371472740198078</v>
      </c>
      <c r="I8" s="3">
        <v>754.66903685224577</v>
      </c>
      <c r="J8" s="3">
        <v>349.83626512934336</v>
      </c>
      <c r="K8" s="3">
        <v>9.6412103175524226E-3</v>
      </c>
      <c r="L8" s="3">
        <v>119811.62098438881</v>
      </c>
      <c r="M8" s="3">
        <v>0.13250757810119448</v>
      </c>
      <c r="N8" s="3">
        <v>0.57735705772685963</v>
      </c>
      <c r="O8" s="3">
        <v>183.64603438472477</v>
      </c>
      <c r="P8" s="3">
        <v>1387.1107206908564</v>
      </c>
    </row>
    <row r="9" spans="1:16" x14ac:dyDescent="0.25">
      <c r="A9">
        <v>8</v>
      </c>
      <c r="B9" s="3">
        <v>1.1752045171504428</v>
      </c>
      <c r="C9" s="3">
        <v>297.74115631905158</v>
      </c>
      <c r="D9" s="3">
        <v>8.6568593347077503</v>
      </c>
      <c r="E9" s="3">
        <v>3.3736437305737742E-2</v>
      </c>
      <c r="F9" s="3">
        <v>100000</v>
      </c>
      <c r="G9" s="3">
        <v>9.388218612579923</v>
      </c>
      <c r="H9" s="3">
        <v>0.50262940547937096</v>
      </c>
      <c r="I9" s="3">
        <v>878.12281029710459</v>
      </c>
      <c r="J9" s="3">
        <v>67.154104815149424</v>
      </c>
      <c r="K9" s="3">
        <v>3.4689302241255798E-2</v>
      </c>
      <c r="L9" s="3">
        <v>199671.44947157963</v>
      </c>
      <c r="M9" s="3">
        <v>0.10720512038672406</v>
      </c>
      <c r="N9" s="3">
        <v>0.46647876339672478</v>
      </c>
      <c r="O9" s="3">
        <v>186.42886849743837</v>
      </c>
      <c r="P9" s="3">
        <v>1923.1835614032389</v>
      </c>
    </row>
    <row r="10" spans="1:16" x14ac:dyDescent="0.25">
      <c r="A10">
        <v>9</v>
      </c>
      <c r="B10" s="3">
        <v>1.1673522130512617</v>
      </c>
      <c r="C10" s="3">
        <v>288.01301652492492</v>
      </c>
      <c r="D10" s="3">
        <v>51.456322528257381</v>
      </c>
      <c r="E10" s="3">
        <v>8.8357454783872136E-2</v>
      </c>
      <c r="F10" s="3">
        <v>100000</v>
      </c>
      <c r="G10" s="3">
        <v>0.48784627155270305</v>
      </c>
      <c r="H10" s="3">
        <v>0.43366599179372411</v>
      </c>
      <c r="I10" s="3">
        <v>872.55918071164012</v>
      </c>
      <c r="J10" s="3">
        <v>161.87108595576785</v>
      </c>
      <c r="K10" s="3">
        <v>6.7894040642083459E-2</v>
      </c>
      <c r="L10" s="3">
        <v>156204.81820432932</v>
      </c>
      <c r="M10" s="3">
        <v>5.0835808904804887E-2</v>
      </c>
      <c r="N10" s="3">
        <v>0.51876130569857337</v>
      </c>
      <c r="O10" s="3">
        <v>242.27817879563568</v>
      </c>
      <c r="P10" s="3">
        <v>913.3044898399894</v>
      </c>
    </row>
    <row r="11" spans="1:16" x14ac:dyDescent="0.25">
      <c r="A11">
        <v>10</v>
      </c>
      <c r="B11" s="3">
        <v>1.1599999999999999</v>
      </c>
      <c r="C11" s="3">
        <v>300</v>
      </c>
      <c r="D11" s="3">
        <v>2</v>
      </c>
      <c r="E11" s="3">
        <v>8.0000000000000002E-3</v>
      </c>
      <c r="F11" s="3">
        <v>100000</v>
      </c>
      <c r="G11" s="3">
        <v>1.7999999999999999E-2</v>
      </c>
      <c r="H11" s="3">
        <v>0.43</v>
      </c>
      <c r="I11" s="3">
        <v>800</v>
      </c>
      <c r="J11" s="3">
        <v>5</v>
      </c>
      <c r="K11" s="3">
        <v>8.0000000000000002E-3</v>
      </c>
      <c r="L11" s="3">
        <v>145666.65321070363</v>
      </c>
      <c r="M11" s="3">
        <v>0.05</v>
      </c>
      <c r="N11" s="3">
        <v>0.33</v>
      </c>
      <c r="O11" s="3">
        <v>260</v>
      </c>
      <c r="P11" s="3">
        <v>0.06</v>
      </c>
    </row>
    <row r="12" spans="1:16" x14ac:dyDescent="0.25">
      <c r="A12">
        <v>11</v>
      </c>
      <c r="B12" s="3">
        <v>1.1863645271249033</v>
      </c>
      <c r="C12" s="3">
        <v>294.02941129868037</v>
      </c>
      <c r="D12" s="3">
        <v>13.037246120227197</v>
      </c>
      <c r="E12" s="3">
        <v>9.8599031473302109E-2</v>
      </c>
      <c r="F12" s="3">
        <v>100000</v>
      </c>
      <c r="G12" s="3">
        <v>2.8359104940982225</v>
      </c>
      <c r="H12" s="3">
        <v>0.4006640491038907</v>
      </c>
      <c r="I12" s="3">
        <v>875.80464183734</v>
      </c>
      <c r="J12" s="3">
        <v>524.92679152448727</v>
      </c>
      <c r="K12" s="3">
        <v>5.0520113780222795E-2</v>
      </c>
      <c r="L12" s="3">
        <v>118231.58451703473</v>
      </c>
      <c r="M12" s="3">
        <v>0.14535954538161339</v>
      </c>
      <c r="N12" s="3">
        <v>0.61141248666221903</v>
      </c>
      <c r="O12" s="3">
        <v>198.02834093429564</v>
      </c>
      <c r="P12" s="3">
        <v>1973.9178719820266</v>
      </c>
    </row>
    <row r="13" spans="1:16" x14ac:dyDescent="0.25">
      <c r="A13">
        <v>12</v>
      </c>
      <c r="B13" s="3">
        <v>1.1729645406537783</v>
      </c>
      <c r="C13" s="3">
        <v>293.39660969092347</v>
      </c>
      <c r="D13" s="3">
        <v>66.486766660015746</v>
      </c>
      <c r="E13" s="3">
        <v>0.13917979513766859</v>
      </c>
      <c r="F13" s="3">
        <v>100000</v>
      </c>
      <c r="G13" s="3">
        <v>0.54758259115975338</v>
      </c>
      <c r="H13" s="3">
        <v>0.50760459962582272</v>
      </c>
      <c r="I13" s="3">
        <v>757.77837271387534</v>
      </c>
      <c r="J13" s="3">
        <v>252.82665385718241</v>
      </c>
      <c r="K13" s="3">
        <v>4.9254877084440554E-2</v>
      </c>
      <c r="L13" s="3">
        <v>161577.46491429102</v>
      </c>
      <c r="M13" s="3">
        <v>9.3950193646043512E-2</v>
      </c>
      <c r="N13" s="3">
        <v>0.65428073687006583</v>
      </c>
      <c r="O13" s="3">
        <v>242.55474133985615</v>
      </c>
      <c r="P13" s="3">
        <v>990.02375374285475</v>
      </c>
    </row>
    <row r="14" spans="1:16" x14ac:dyDescent="0.25">
      <c r="A14">
        <v>13</v>
      </c>
      <c r="B14" s="3">
        <v>1.1715399378752125</v>
      </c>
      <c r="C14" s="3">
        <v>293.9186882234294</v>
      </c>
      <c r="D14" s="3">
        <v>10.639739294747354</v>
      </c>
      <c r="E14" s="3">
        <v>0.14589480298499208</v>
      </c>
      <c r="F14" s="3">
        <v>100000</v>
      </c>
      <c r="G14" s="3">
        <v>6.2802530069970279</v>
      </c>
      <c r="H14" s="3">
        <v>0.48129577225547154</v>
      </c>
      <c r="I14" s="3">
        <v>796.1142927222711</v>
      </c>
      <c r="J14" s="3">
        <v>485.07747877766099</v>
      </c>
      <c r="K14" s="3">
        <v>2.3442500483973602E-2</v>
      </c>
      <c r="L14" s="3">
        <v>126852.1169651916</v>
      </c>
      <c r="M14" s="3">
        <v>5.5247567391543219E-2</v>
      </c>
      <c r="N14" s="3">
        <v>0.405983829114971</v>
      </c>
      <c r="O14" s="3">
        <v>202.86834376671251</v>
      </c>
      <c r="P14" s="3">
        <v>1876.833326313812</v>
      </c>
    </row>
    <row r="15" spans="1:16" x14ac:dyDescent="0.25">
      <c r="A15">
        <v>14</v>
      </c>
      <c r="B15" s="3">
        <v>1.1834600513440603</v>
      </c>
      <c r="C15" s="3">
        <v>296.79928024976806</v>
      </c>
      <c r="D15" s="3">
        <v>51.944594682467695</v>
      </c>
      <c r="E15" s="3">
        <v>9.4607762713498134E-2</v>
      </c>
      <c r="F15" s="3">
        <v>100000</v>
      </c>
      <c r="G15" s="3">
        <v>2.728392895448442</v>
      </c>
      <c r="H15" s="3">
        <v>0.49397624430053633</v>
      </c>
      <c r="I15" s="3">
        <v>764.25953532885876</v>
      </c>
      <c r="J15" s="3">
        <v>198.45624273815665</v>
      </c>
      <c r="K15" s="3">
        <v>1.0515926035967847E-2</v>
      </c>
      <c r="L15" s="3">
        <v>162181.73402825234</v>
      </c>
      <c r="M15" s="3">
        <v>0.1011693044377161</v>
      </c>
      <c r="N15" s="3">
        <v>0.41676968418847427</v>
      </c>
      <c r="O15" s="3">
        <v>205.09057136416428</v>
      </c>
      <c r="P15" s="3">
        <v>855.70743371725985</v>
      </c>
    </row>
    <row r="16" spans="1:16" x14ac:dyDescent="0.25">
      <c r="A16">
        <v>15</v>
      </c>
      <c r="B16" s="3">
        <v>1.1788818218014081</v>
      </c>
      <c r="C16" s="3">
        <v>291.40269925733168</v>
      </c>
      <c r="D16" s="3">
        <v>17.155108207148217</v>
      </c>
      <c r="E16" s="3">
        <v>0.12416363904584618</v>
      </c>
      <c r="F16" s="3">
        <v>100000</v>
      </c>
      <c r="G16" s="3">
        <v>8.6604743009740854</v>
      </c>
      <c r="H16" s="3">
        <v>0.50364466674952724</v>
      </c>
      <c r="I16" s="3">
        <v>856.32376372973397</v>
      </c>
      <c r="J16" s="3">
        <v>128.82182759155734</v>
      </c>
      <c r="K16" s="3">
        <v>1.911811758958129E-2</v>
      </c>
      <c r="L16" s="3">
        <v>174918.71712178297</v>
      </c>
      <c r="M16" s="3">
        <v>0.12237837266074655</v>
      </c>
      <c r="N16" s="3">
        <v>0.60926705612178278</v>
      </c>
      <c r="O16" s="3">
        <v>214.09505846836413</v>
      </c>
      <c r="P16" s="3">
        <v>1335.7393316167218</v>
      </c>
    </row>
    <row r="17" spans="1:16" x14ac:dyDescent="0.25">
      <c r="A17">
        <v>16</v>
      </c>
      <c r="B17" s="3">
        <v>1.189828922648337</v>
      </c>
      <c r="C17" s="3">
        <v>289.45455163709482</v>
      </c>
      <c r="D17" s="3">
        <v>34.419859616428127</v>
      </c>
      <c r="E17" s="3">
        <v>0.1361962383603624</v>
      </c>
      <c r="F17" s="3">
        <v>100000</v>
      </c>
      <c r="G17" s="3">
        <v>3.2453864996373891</v>
      </c>
      <c r="H17" s="3">
        <v>0.50301948429145638</v>
      </c>
      <c r="I17" s="3">
        <v>772.61660641449919</v>
      </c>
      <c r="J17" s="3">
        <v>411.56178074535433</v>
      </c>
      <c r="K17" s="3">
        <v>3.4990681829183398E-2</v>
      </c>
      <c r="L17" s="3">
        <v>172788.33553333563</v>
      </c>
      <c r="M17" s="3">
        <v>0.13800175778086837</v>
      </c>
      <c r="N17" s="3">
        <v>0.65536084157339003</v>
      </c>
      <c r="O17" s="3">
        <v>214.73922983279206</v>
      </c>
      <c r="P17" s="3">
        <v>1794.3802535401119</v>
      </c>
    </row>
    <row r="18" spans="1:16" x14ac:dyDescent="0.25">
      <c r="A18">
        <v>17</v>
      </c>
      <c r="B18" s="3">
        <v>1.1797900198056976</v>
      </c>
      <c r="C18" s="3">
        <v>290.67264167452203</v>
      </c>
      <c r="D18" s="3">
        <v>66.026138134958799</v>
      </c>
      <c r="E18" s="3">
        <v>0.1180464638117775</v>
      </c>
      <c r="F18" s="3">
        <v>100000</v>
      </c>
      <c r="G18" s="3">
        <v>1.2418117434650759</v>
      </c>
      <c r="H18" s="3">
        <v>0.47787253304630201</v>
      </c>
      <c r="I18" s="3">
        <v>796.06474478961582</v>
      </c>
      <c r="J18" s="3">
        <v>467.94523334836521</v>
      </c>
      <c r="K18" s="3">
        <v>1.6199251332970285E-2</v>
      </c>
      <c r="L18" s="3">
        <v>144799.10797847839</v>
      </c>
      <c r="M18" s="3">
        <v>0.12937872250377058</v>
      </c>
      <c r="N18" s="3">
        <v>0.52336254094954071</v>
      </c>
      <c r="O18" s="3">
        <v>226.32793943076197</v>
      </c>
      <c r="P18" s="3">
        <v>1702.9714892952979</v>
      </c>
    </row>
    <row r="19" spans="1:16" x14ac:dyDescent="0.25">
      <c r="A19">
        <v>18</v>
      </c>
      <c r="B19" s="3">
        <v>1.1844814367889824</v>
      </c>
      <c r="C19" s="3">
        <v>289.99342718337044</v>
      </c>
      <c r="D19" s="3">
        <v>57.144293069411361</v>
      </c>
      <c r="E19" s="3">
        <v>8.6295563133106309E-2</v>
      </c>
      <c r="F19" s="3">
        <v>100000</v>
      </c>
      <c r="G19" s="3">
        <v>4.2378197818462562</v>
      </c>
      <c r="H19" s="3">
        <v>0.47315260998239073</v>
      </c>
      <c r="I19" s="3">
        <v>766.46691433177523</v>
      </c>
      <c r="J19" s="3">
        <v>227.60699852590272</v>
      </c>
      <c r="K19" s="3">
        <v>2.1337609191090363E-2</v>
      </c>
      <c r="L19" s="3">
        <v>177474.71199794975</v>
      </c>
      <c r="M19" s="3">
        <v>0.1267271730044888</v>
      </c>
      <c r="N19" s="3">
        <v>0.58285015363379078</v>
      </c>
      <c r="O19" s="3">
        <v>222.55480535772159</v>
      </c>
      <c r="P19" s="3">
        <v>1610.1124068199933</v>
      </c>
    </row>
    <row r="20" spans="1:16" x14ac:dyDescent="0.25">
      <c r="A20">
        <v>19</v>
      </c>
      <c r="B20" s="3">
        <v>1.1740108036653045</v>
      </c>
      <c r="C20" s="3">
        <v>294.18421439601582</v>
      </c>
      <c r="D20" s="3">
        <v>12.472413966080417</v>
      </c>
      <c r="E20" s="3">
        <v>7.3532746256728482E-2</v>
      </c>
      <c r="F20" s="3">
        <v>100000</v>
      </c>
      <c r="G20" s="3">
        <v>4.3413156370180292</v>
      </c>
      <c r="H20" s="3">
        <v>0.47937211126068502</v>
      </c>
      <c r="I20" s="3">
        <v>856.89120321277517</v>
      </c>
      <c r="J20" s="3">
        <v>204.55512875290879</v>
      </c>
      <c r="K20" s="3">
        <v>3.9142450608180529E-2</v>
      </c>
      <c r="L20" s="3">
        <v>153067.13892342028</v>
      </c>
      <c r="M20" s="3">
        <v>8.6462074165304187E-2</v>
      </c>
      <c r="N20" s="3">
        <v>0.51732571224818946</v>
      </c>
      <c r="O20" s="3">
        <v>222.68074341819968</v>
      </c>
      <c r="P20" s="3">
        <v>840.43014171258983</v>
      </c>
    </row>
    <row r="21" spans="1:16" x14ac:dyDescent="0.25">
      <c r="A21">
        <v>20</v>
      </c>
      <c r="B21" s="3">
        <v>1.1774975665717502</v>
      </c>
      <c r="C21" s="3">
        <v>289.77045828002298</v>
      </c>
      <c r="D21" s="3">
        <v>54.995103183103538</v>
      </c>
      <c r="E21" s="3">
        <v>0.13275361359695659</v>
      </c>
      <c r="F21" s="3">
        <v>100000</v>
      </c>
      <c r="G21" s="3">
        <v>5.9604136976445146</v>
      </c>
      <c r="H21" s="3">
        <v>0.49048233117694279</v>
      </c>
      <c r="I21" s="3">
        <v>792.9980383952992</v>
      </c>
      <c r="J21" s="3">
        <v>221.92959695996637</v>
      </c>
      <c r="K21" s="3">
        <v>5.7019462483625022E-2</v>
      </c>
      <c r="L21" s="3">
        <v>150467.79922292745</v>
      </c>
      <c r="M21" s="3">
        <v>9.6555226567152264E-2</v>
      </c>
      <c r="N21" s="3">
        <v>0.42798539765641624</v>
      </c>
      <c r="O21" s="3">
        <v>204.19581862323108</v>
      </c>
      <c r="P21" s="3">
        <v>1412.2933062316661</v>
      </c>
    </row>
    <row r="22" spans="1:16" x14ac:dyDescent="0.25">
      <c r="A22">
        <v>21</v>
      </c>
      <c r="B22" s="3">
        <v>1.1880193984562519</v>
      </c>
      <c r="C22" s="3">
        <v>290.34443836343758</v>
      </c>
      <c r="D22" s="3">
        <v>20.79046632431924</v>
      </c>
      <c r="E22" s="3">
        <v>0.12050327512497727</v>
      </c>
      <c r="F22" s="3">
        <v>100000</v>
      </c>
      <c r="G22" s="3">
        <v>7.208984026833253</v>
      </c>
      <c r="H22" s="3">
        <v>0.49800045285576833</v>
      </c>
      <c r="I22" s="3">
        <v>774.14785444496806</v>
      </c>
      <c r="J22" s="3">
        <v>413.10382944474213</v>
      </c>
      <c r="K22" s="3">
        <v>6.6402143536600414E-2</v>
      </c>
      <c r="L22" s="3">
        <v>153176.60417975322</v>
      </c>
      <c r="M22" s="3">
        <v>0.13488863416600988</v>
      </c>
      <c r="N22" s="3">
        <v>0.51960387305215694</v>
      </c>
      <c r="O22" s="3">
        <v>233.21321473397438</v>
      </c>
      <c r="P22" s="3">
        <v>1862.3601495018738</v>
      </c>
    </row>
    <row r="23" spans="1:16" x14ac:dyDescent="0.25">
      <c r="A23">
        <v>22</v>
      </c>
      <c r="B23" s="3">
        <v>1.188208708218486</v>
      </c>
      <c r="C23" s="3">
        <v>291.78138601097066</v>
      </c>
      <c r="D23" s="3">
        <v>54.417062328338005</v>
      </c>
      <c r="E23" s="3">
        <v>0.11984691524485561</v>
      </c>
      <c r="F23" s="3">
        <v>100000</v>
      </c>
      <c r="G23" s="3">
        <v>4.5946741819401611</v>
      </c>
      <c r="H23" s="3">
        <v>0.49554605436762339</v>
      </c>
      <c r="I23" s="3">
        <v>808.0530573980119</v>
      </c>
      <c r="J23" s="3">
        <v>441.557111085016</v>
      </c>
      <c r="K23" s="3">
        <v>3.468970930591566E-2</v>
      </c>
      <c r="L23" s="3">
        <v>142985.29682538088</v>
      </c>
      <c r="M23" s="3">
        <v>0.13392630559334717</v>
      </c>
      <c r="N23" s="3">
        <v>0.58751493399264021</v>
      </c>
      <c r="O23" s="3">
        <v>237.16846774225661</v>
      </c>
      <c r="P23" s="3">
        <v>1695.9753761401444</v>
      </c>
    </row>
    <row r="24" spans="1:16" x14ac:dyDescent="0.25">
      <c r="A24">
        <v>23</v>
      </c>
      <c r="B24" s="3">
        <v>1.1823323324246318</v>
      </c>
      <c r="C24" s="3">
        <v>291.40003325127111</v>
      </c>
      <c r="D24" s="3">
        <v>28.174629100653142</v>
      </c>
      <c r="E24" s="3">
        <v>0.10756887787380046</v>
      </c>
      <c r="F24" s="3">
        <v>100000</v>
      </c>
      <c r="G24" s="3">
        <v>3.9469385163900896</v>
      </c>
      <c r="H24" s="3">
        <v>0.49099757408999006</v>
      </c>
      <c r="I24" s="3">
        <v>795.84163470431122</v>
      </c>
      <c r="J24" s="3">
        <v>297.6066609435901</v>
      </c>
      <c r="K24" s="3">
        <v>1.7798500623277026E-2</v>
      </c>
      <c r="L24" s="3">
        <v>175531.81586677657</v>
      </c>
      <c r="M24" s="3">
        <v>0.11772047107791392</v>
      </c>
      <c r="N24" s="3">
        <v>0.60724462791988643</v>
      </c>
      <c r="O24" s="3">
        <v>224.69077563153093</v>
      </c>
      <c r="P24" s="3">
        <v>1440.3615554309727</v>
      </c>
    </row>
    <row r="25" spans="1:16" x14ac:dyDescent="0.25">
      <c r="A25">
        <v>24</v>
      </c>
      <c r="B25" s="3">
        <v>1.1822897611420855</v>
      </c>
      <c r="C25" s="3">
        <v>289.83249163179261</v>
      </c>
      <c r="D25" s="3">
        <v>28.679571949615877</v>
      </c>
      <c r="E25" s="3">
        <v>0.10685932407846019</v>
      </c>
      <c r="F25" s="3">
        <v>100000</v>
      </c>
      <c r="G25" s="3">
        <v>2.5631325641126015</v>
      </c>
      <c r="H25" s="3">
        <v>0.49331338115661905</v>
      </c>
      <c r="I25" s="3">
        <v>786.57985918939323</v>
      </c>
      <c r="J25" s="3">
        <v>305.30341576824759</v>
      </c>
      <c r="K25" s="3">
        <v>4.5603446123309785E-2</v>
      </c>
      <c r="L25" s="3">
        <v>139161.97551716151</v>
      </c>
      <c r="M25" s="3">
        <v>8.7929690327198939E-2</v>
      </c>
      <c r="N25" s="3">
        <v>0.4292270426768568</v>
      </c>
      <c r="O25" s="3">
        <v>231.12381699613732</v>
      </c>
      <c r="P25" s="3">
        <v>1108.9441611295842</v>
      </c>
    </row>
    <row r="26" spans="1:16" x14ac:dyDescent="0.25">
      <c r="A26">
        <v>25</v>
      </c>
      <c r="B26" s="3">
        <v>1.1830835351799578</v>
      </c>
      <c r="C26" s="3">
        <v>291.56821234520027</v>
      </c>
      <c r="D26" s="3">
        <v>56.313637528584515</v>
      </c>
      <c r="E26" s="3">
        <v>0.11321065610777964</v>
      </c>
      <c r="F26" s="3">
        <v>100000</v>
      </c>
      <c r="G26" s="3">
        <v>1.7411734925087776</v>
      </c>
      <c r="H26" s="3">
        <v>0.4937142555490317</v>
      </c>
      <c r="I26" s="3">
        <v>834.61214311974391</v>
      </c>
      <c r="J26" s="3">
        <v>288.66739393297166</v>
      </c>
      <c r="K26" s="3">
        <v>3.9175692470987164E-2</v>
      </c>
      <c r="L26" s="3">
        <v>142346.05244436173</v>
      </c>
      <c r="M26" s="3">
        <v>9.6635551260441058E-2</v>
      </c>
      <c r="N26" s="3">
        <v>0.55216372928291801</v>
      </c>
      <c r="O26" s="3">
        <v>224.34619611979994</v>
      </c>
      <c r="P26" s="3">
        <v>1046.7616909229473</v>
      </c>
    </row>
    <row r="27" spans="1:16" x14ac:dyDescent="0.25">
      <c r="A27">
        <v>26</v>
      </c>
      <c r="B27" s="3">
        <v>1.1813187708777266</v>
      </c>
      <c r="C27" s="3">
        <v>290.3935977128769</v>
      </c>
      <c r="D27" s="3">
        <v>48.787629366078725</v>
      </c>
      <c r="E27" s="3">
        <v>0.12211406897130427</v>
      </c>
      <c r="F27" s="3">
        <v>100000</v>
      </c>
      <c r="G27" s="3">
        <v>3.2276929297856127</v>
      </c>
      <c r="H27" s="3">
        <v>0.48281453398100338</v>
      </c>
      <c r="I27" s="3">
        <v>795.63794702617076</v>
      </c>
      <c r="J27" s="3">
        <v>242.68109127698108</v>
      </c>
      <c r="K27" s="3">
        <v>6.4121776946413869E-2</v>
      </c>
      <c r="L27" s="3">
        <v>170727.21806787123</v>
      </c>
      <c r="M27" s="3">
        <v>8.7755100078030751E-2</v>
      </c>
      <c r="N27" s="3">
        <v>0.53496237359398913</v>
      </c>
      <c r="O27" s="3">
        <v>209.06600274927786</v>
      </c>
      <c r="P27" s="3">
        <v>1448.2778799246225</v>
      </c>
    </row>
    <row r="28" spans="1:16" x14ac:dyDescent="0.25">
      <c r="A28">
        <v>27</v>
      </c>
      <c r="B28" s="3">
        <v>1.1888806009168553</v>
      </c>
      <c r="C28" s="3">
        <v>292.65799515287966</v>
      </c>
      <c r="D28" s="3">
        <v>51.015765991956052</v>
      </c>
      <c r="E28" s="3">
        <v>9.0365935289773769E-2</v>
      </c>
      <c r="F28" s="3">
        <v>100000</v>
      </c>
      <c r="G28" s="3">
        <v>1.8542115022305889</v>
      </c>
      <c r="H28" s="3">
        <v>0.47872190432876027</v>
      </c>
      <c r="I28" s="3">
        <v>839.7660913450145</v>
      </c>
      <c r="J28" s="3">
        <v>392.05269684475559</v>
      </c>
      <c r="K28" s="3">
        <v>4.5864130174332017E-2</v>
      </c>
      <c r="L28" s="3">
        <v>142327.89682806074</v>
      </c>
      <c r="M28" s="3">
        <v>9.6646945300689804E-2</v>
      </c>
      <c r="N28" s="3">
        <v>0.513152884657472</v>
      </c>
      <c r="O28" s="3">
        <v>219.0269157357497</v>
      </c>
      <c r="P28" s="3">
        <v>1372.9792951396012</v>
      </c>
    </row>
    <row r="29" spans="1:16" x14ac:dyDescent="0.25">
      <c r="A29">
        <v>28</v>
      </c>
      <c r="B29" s="3">
        <v>1.1803743605463171</v>
      </c>
      <c r="C29" s="3">
        <v>292.50042783777911</v>
      </c>
      <c r="D29" s="3">
        <v>55.162399608891704</v>
      </c>
      <c r="E29" s="3">
        <v>0.12023453325991318</v>
      </c>
      <c r="F29" s="3">
        <v>100000</v>
      </c>
      <c r="G29" s="3">
        <v>6.9449023258555291</v>
      </c>
      <c r="H29" s="3">
        <v>0.4821484433640687</v>
      </c>
      <c r="I29" s="3">
        <v>834.22272064007916</v>
      </c>
      <c r="J29" s="3">
        <v>333.40811577693387</v>
      </c>
      <c r="K29" s="3">
        <v>3.2185383185525336E-2</v>
      </c>
      <c r="L29" s="3">
        <v>159645.23697853609</v>
      </c>
      <c r="M29" s="3">
        <v>0.1173736119540586</v>
      </c>
      <c r="N29" s="3">
        <v>0.46403063156334212</v>
      </c>
      <c r="O29" s="3">
        <v>225.42995189540224</v>
      </c>
      <c r="P29" s="3">
        <v>1693.325836016149</v>
      </c>
    </row>
    <row r="30" spans="1:16" x14ac:dyDescent="0.25">
      <c r="A30">
        <v>29</v>
      </c>
      <c r="B30" s="3">
        <v>1.1874248217972829</v>
      </c>
      <c r="C30" s="3">
        <v>292.3153354787367</v>
      </c>
      <c r="D30" s="3">
        <v>39.127939244574542</v>
      </c>
      <c r="E30" s="3">
        <v>9.9379025457694489E-2</v>
      </c>
      <c r="F30" s="3">
        <v>100000</v>
      </c>
      <c r="G30" s="3">
        <v>5.1355995610793821</v>
      </c>
      <c r="H30" s="3">
        <v>0.48768300505385026</v>
      </c>
      <c r="I30" s="3">
        <v>780.15998387298544</v>
      </c>
      <c r="J30" s="3">
        <v>312.83128628366512</v>
      </c>
      <c r="K30" s="3">
        <v>1.8054631499051246E-2</v>
      </c>
      <c r="L30" s="3">
        <v>155399.11255698398</v>
      </c>
      <c r="M30" s="3">
        <v>0.12174575194575145</v>
      </c>
      <c r="N30" s="3">
        <v>0.59021670383432701</v>
      </c>
      <c r="O30" s="3">
        <v>229.93075483204041</v>
      </c>
      <c r="P30" s="3">
        <v>1387.5620612159182</v>
      </c>
    </row>
    <row r="31" spans="1:16" x14ac:dyDescent="0.25">
      <c r="A31">
        <v>30</v>
      </c>
      <c r="B31" s="3">
        <v>1.1822596563843559</v>
      </c>
      <c r="C31" s="3">
        <v>290.52976855858702</v>
      </c>
      <c r="D31" s="3">
        <v>50.901984208771253</v>
      </c>
      <c r="E31" s="3">
        <v>8.2247720754658818E-2</v>
      </c>
      <c r="F31" s="3">
        <v>100000</v>
      </c>
      <c r="G31" s="3">
        <v>3.4894544781100754</v>
      </c>
      <c r="H31" s="3">
        <v>0.48220518849797239</v>
      </c>
      <c r="I31" s="3">
        <v>796.27126818892498</v>
      </c>
      <c r="J31" s="3">
        <v>289.88215537812476</v>
      </c>
      <c r="K31" s="3">
        <v>5.4393787298488552E-2</v>
      </c>
      <c r="L31" s="3">
        <v>144739.52261839234</v>
      </c>
      <c r="M31" s="3">
        <v>0.10046345821613198</v>
      </c>
      <c r="N31" s="3">
        <v>0.57012080017709965</v>
      </c>
      <c r="O31" s="3">
        <v>236.06702878149272</v>
      </c>
      <c r="P31" s="3">
        <v>1183.7820914878321</v>
      </c>
    </row>
    <row r="32" spans="1:16" x14ac:dyDescent="0.25">
      <c r="A32">
        <v>31</v>
      </c>
      <c r="B32" s="3">
        <v>1.1816712139682854</v>
      </c>
      <c r="C32" s="3">
        <v>291.20596849980427</v>
      </c>
      <c r="D32" s="3">
        <v>39.824842562255391</v>
      </c>
      <c r="E32" s="3">
        <v>0.11493359087726635</v>
      </c>
      <c r="F32" s="3">
        <v>100000</v>
      </c>
      <c r="G32" s="3">
        <v>4.5690088892961001</v>
      </c>
      <c r="H32" s="3">
        <v>0.48896651923643142</v>
      </c>
      <c r="I32" s="3">
        <v>805.33089656869765</v>
      </c>
      <c r="J32" s="3">
        <v>387.51678630079618</v>
      </c>
      <c r="K32" s="3">
        <v>3.1812024219931706E-2</v>
      </c>
      <c r="L32" s="3">
        <v>165791.71682959312</v>
      </c>
      <c r="M32" s="3">
        <v>0.11859838249777759</v>
      </c>
      <c r="N32" s="3">
        <v>0.55609199480772942</v>
      </c>
      <c r="O32" s="3">
        <v>215.25731955449476</v>
      </c>
      <c r="P32" s="3">
        <v>1746.2302158651219</v>
      </c>
    </row>
    <row r="33" spans="1:16" x14ac:dyDescent="0.25">
      <c r="A33">
        <v>32</v>
      </c>
      <c r="B33" s="3">
        <v>1.1837039216684568</v>
      </c>
      <c r="C33" s="3">
        <v>291.69998509905719</v>
      </c>
      <c r="D33" s="3">
        <v>53.273929829312962</v>
      </c>
      <c r="E33" s="3">
        <v>0.10302386411025102</v>
      </c>
      <c r="F33" s="3">
        <v>100000</v>
      </c>
      <c r="G33" s="3">
        <v>3.4340819164508769</v>
      </c>
      <c r="H33" s="3">
        <v>0.48444634860704505</v>
      </c>
      <c r="I33" s="3">
        <v>809.03865469197819</v>
      </c>
      <c r="J33" s="3">
        <v>345.1192939569591</v>
      </c>
      <c r="K33" s="3">
        <v>5.6396984582219103E-2</v>
      </c>
      <c r="L33" s="3">
        <v>161047.33416335963</v>
      </c>
      <c r="M33" s="3">
        <v>8.8712430225637628E-2</v>
      </c>
      <c r="N33" s="3">
        <v>0.5489035613038018</v>
      </c>
      <c r="O33" s="3">
        <v>215.61975848473568</v>
      </c>
      <c r="P33" s="3">
        <v>1572.7842803352323</v>
      </c>
    </row>
    <row r="34" spans="1:16" x14ac:dyDescent="0.25">
      <c r="A34">
        <v>33</v>
      </c>
      <c r="B34" s="3">
        <v>1.1853315150934594</v>
      </c>
      <c r="C34" s="3">
        <v>289.99502985822949</v>
      </c>
      <c r="D34" s="3">
        <v>44.465727527888681</v>
      </c>
      <c r="E34" s="3">
        <v>9.9622962051842207E-2</v>
      </c>
      <c r="F34" s="3">
        <v>100000</v>
      </c>
      <c r="G34" s="3">
        <v>1.7799607829595907</v>
      </c>
      <c r="H34" s="3">
        <v>0.49160732001541896</v>
      </c>
      <c r="I34" s="3">
        <v>798.58424618542153</v>
      </c>
      <c r="J34" s="3">
        <v>242.82809815595334</v>
      </c>
      <c r="K34" s="3">
        <v>6.3456481022113986E-2</v>
      </c>
      <c r="L34" s="3">
        <v>148206.98810488076</v>
      </c>
      <c r="M34" s="3">
        <v>9.7332170647366031E-2</v>
      </c>
      <c r="N34" s="3">
        <v>0.55237192162139881</v>
      </c>
      <c r="O34" s="3">
        <v>216.90821388502732</v>
      </c>
      <c r="P34" s="3">
        <v>1063.1665795085064</v>
      </c>
    </row>
    <row r="35" spans="1:16" s="10" customFormat="1" x14ac:dyDescent="0.25">
      <c r="A35" s="10">
        <v>34</v>
      </c>
      <c r="B35" s="11">
        <v>1.1887983043743142</v>
      </c>
      <c r="C35" s="11">
        <v>290.12955374757934</v>
      </c>
      <c r="D35" s="11">
        <v>25.649635396762296</v>
      </c>
      <c r="E35" s="11">
        <v>0.1016281684802893</v>
      </c>
      <c r="F35" s="11">
        <v>100000</v>
      </c>
      <c r="G35" s="11">
        <v>1.7891079473984557</v>
      </c>
      <c r="H35" s="11">
        <v>0.49081209082990179</v>
      </c>
      <c r="I35" s="11">
        <v>797.77529671226398</v>
      </c>
      <c r="J35" s="11">
        <v>390.1339377257483</v>
      </c>
      <c r="K35" s="11">
        <v>3.3892030790395766E-2</v>
      </c>
      <c r="L35" s="11">
        <v>159224.16454496089</v>
      </c>
      <c r="M35" s="11">
        <v>9.2618886853517338E-2</v>
      </c>
      <c r="N35" s="11">
        <v>0.55633593962389183</v>
      </c>
      <c r="O35" s="11">
        <v>229.51410393958662</v>
      </c>
      <c r="P35" s="11">
        <v>1498.4706974974179</v>
      </c>
    </row>
    <row r="36" spans="1:16" x14ac:dyDescent="0.25">
      <c r="A36">
        <v>35</v>
      </c>
      <c r="B36" s="3">
        <v>1.1825137553524987</v>
      </c>
      <c r="C36" s="3">
        <v>292.21826781003557</v>
      </c>
      <c r="D36" s="3">
        <v>50.025210569530529</v>
      </c>
      <c r="E36" s="3">
        <v>9.4952608714876499E-2</v>
      </c>
      <c r="F36" s="3">
        <v>100000</v>
      </c>
      <c r="G36" s="3">
        <v>2.6286645166677052</v>
      </c>
      <c r="H36" s="3">
        <v>0.48339653645444342</v>
      </c>
      <c r="I36" s="3">
        <v>797.02640395711626</v>
      </c>
      <c r="J36" s="3">
        <v>368.518546764532</v>
      </c>
      <c r="K36" s="3">
        <v>5.7215031318635604E-2</v>
      </c>
      <c r="L36" s="3">
        <v>169963.81155743758</v>
      </c>
      <c r="M36" s="3">
        <v>9.9261158314756792E-2</v>
      </c>
      <c r="N36" s="3">
        <v>0.50131274744453003</v>
      </c>
      <c r="O36" s="3">
        <v>233.09271268824932</v>
      </c>
      <c r="P36" s="3">
        <v>1553.9610215500506</v>
      </c>
    </row>
    <row r="37" spans="1:16" x14ac:dyDescent="0.25">
      <c r="A37">
        <v>36</v>
      </c>
      <c r="B37" s="3">
        <v>1.1826837629542521</v>
      </c>
      <c r="C37" s="3">
        <v>291.78942040019996</v>
      </c>
      <c r="D37" s="3">
        <v>47.567088503219267</v>
      </c>
      <c r="E37" s="3">
        <v>9.0769074331067914E-2</v>
      </c>
      <c r="F37" s="3">
        <v>100000</v>
      </c>
      <c r="G37" s="3">
        <v>5.5760891482125086</v>
      </c>
      <c r="H37" s="3">
        <v>0.49129626298532675</v>
      </c>
      <c r="I37" s="3">
        <v>786.96717642514761</v>
      </c>
      <c r="J37" s="3">
        <v>248.01638633029575</v>
      </c>
      <c r="K37" s="3">
        <v>4.2739846348682602E-2</v>
      </c>
      <c r="L37" s="3">
        <v>150800.56657912294</v>
      </c>
      <c r="M37" s="3">
        <v>0.11543141489675825</v>
      </c>
      <c r="N37" s="3">
        <v>0.55589906377864096</v>
      </c>
      <c r="O37" s="3">
        <v>235.93033024104633</v>
      </c>
      <c r="P37" s="3">
        <v>1201.5651261323874</v>
      </c>
    </row>
    <row r="38" spans="1:16" x14ac:dyDescent="0.25">
      <c r="A38">
        <v>37</v>
      </c>
      <c r="B38" s="3">
        <v>1.1827818601618114</v>
      </c>
      <c r="C38" s="3">
        <v>291.96167966268757</v>
      </c>
      <c r="D38" s="3">
        <v>29.120998034668499</v>
      </c>
      <c r="E38" s="3">
        <v>0.10645428566384479</v>
      </c>
      <c r="F38" s="3">
        <v>100000</v>
      </c>
      <c r="G38" s="3">
        <v>5.6993814236317304</v>
      </c>
      <c r="H38" s="3">
        <v>0.48810121806552476</v>
      </c>
      <c r="I38" s="3">
        <v>796.22323955268109</v>
      </c>
      <c r="J38" s="3">
        <v>363.91367550387372</v>
      </c>
      <c r="K38" s="3">
        <v>5.1512350678393097E-2</v>
      </c>
      <c r="L38" s="3">
        <v>170617.57658095221</v>
      </c>
      <c r="M38" s="3">
        <v>0.11205970607638573</v>
      </c>
      <c r="N38" s="3">
        <v>0.52990502593819744</v>
      </c>
      <c r="O38" s="3">
        <v>222.30840142336879</v>
      </c>
      <c r="P38" s="3">
        <v>1636.6928523033785</v>
      </c>
    </row>
    <row r="39" spans="1:16" x14ac:dyDescent="0.25">
      <c r="A39">
        <v>38</v>
      </c>
      <c r="B39" s="3">
        <v>1.1829230642964457</v>
      </c>
      <c r="C39" s="3">
        <v>290.67690898495812</v>
      </c>
      <c r="D39" s="3">
        <v>47.300643165102272</v>
      </c>
      <c r="E39" s="3">
        <v>0.1022549605344994</v>
      </c>
      <c r="F39" s="3">
        <v>100000</v>
      </c>
      <c r="G39" s="3">
        <v>4.7280701981334019</v>
      </c>
      <c r="H39" s="3">
        <v>0.47968033793476728</v>
      </c>
      <c r="I39" s="3">
        <v>793.09901016327331</v>
      </c>
      <c r="J39" s="3">
        <v>340.61153615474478</v>
      </c>
      <c r="K39" s="3">
        <v>3.9058325867399539E-2</v>
      </c>
      <c r="L39" s="3">
        <v>164696.46918308284</v>
      </c>
      <c r="M39" s="3">
        <v>0.1067269447963356</v>
      </c>
      <c r="N39" s="3">
        <v>0.512419089634786</v>
      </c>
      <c r="O39" s="3">
        <v>226.45528055756748</v>
      </c>
      <c r="P39" s="3">
        <v>1654.4016894780143</v>
      </c>
    </row>
    <row r="40" spans="1:16" x14ac:dyDescent="0.25">
      <c r="A40">
        <v>39</v>
      </c>
      <c r="B40" s="3">
        <v>1.1872927311071801</v>
      </c>
      <c r="C40" s="3">
        <v>290.84719285901906</v>
      </c>
      <c r="D40" s="3">
        <v>42.935003297203664</v>
      </c>
      <c r="E40" s="3">
        <v>9.4241178971364567E-2</v>
      </c>
      <c r="F40" s="3">
        <v>100000</v>
      </c>
      <c r="G40" s="3">
        <v>5.4436735700576486</v>
      </c>
      <c r="H40" s="3">
        <v>0.48674696353323677</v>
      </c>
      <c r="I40" s="3">
        <v>806.2707214966116</v>
      </c>
      <c r="J40" s="3">
        <v>385.97221270388957</v>
      </c>
      <c r="K40" s="3">
        <v>4.9608329594061605E-2</v>
      </c>
      <c r="L40" s="3">
        <v>154545.5120654646</v>
      </c>
      <c r="M40" s="3">
        <v>9.7580004574298246E-2</v>
      </c>
      <c r="N40" s="3">
        <v>0.53677039714905472</v>
      </c>
      <c r="O40" s="3">
        <v>231.20428264317587</v>
      </c>
      <c r="P40" s="3">
        <v>1729.9907068291723</v>
      </c>
    </row>
    <row r="41" spans="1:16" x14ac:dyDescent="0.25">
      <c r="A41">
        <v>40</v>
      </c>
      <c r="B41" s="3">
        <v>1.185111782490432</v>
      </c>
      <c r="C41" s="3">
        <v>291.82701522341154</v>
      </c>
      <c r="D41" s="3">
        <v>31.623066738730586</v>
      </c>
      <c r="E41" s="3">
        <v>9.5847172887876822E-2</v>
      </c>
      <c r="F41" s="3">
        <v>100000</v>
      </c>
      <c r="G41" s="3">
        <v>2.6375471810802842</v>
      </c>
      <c r="H41" s="3">
        <v>0.47960261039357049</v>
      </c>
      <c r="I41" s="3">
        <v>802.7191915937351</v>
      </c>
      <c r="J41" s="3">
        <v>300.99876491682954</v>
      </c>
      <c r="K41" s="3">
        <v>4.1586963608203555E-2</v>
      </c>
      <c r="L41" s="3">
        <v>158648.17618875444</v>
      </c>
      <c r="M41" s="3">
        <v>0.10941923984294738</v>
      </c>
      <c r="N41" s="3">
        <v>0.53351175656686378</v>
      </c>
      <c r="O41" s="3">
        <v>225.83714162877354</v>
      </c>
      <c r="P41" s="3">
        <v>1232.5516146122754</v>
      </c>
    </row>
    <row r="42" spans="1:16" x14ac:dyDescent="0.25">
      <c r="A42">
        <v>41</v>
      </c>
      <c r="B42" s="3">
        <v>1.1830353128235591</v>
      </c>
      <c r="C42" s="3">
        <v>290.59067002198708</v>
      </c>
      <c r="D42" s="3">
        <v>37.902030309110586</v>
      </c>
      <c r="E42" s="3">
        <v>9.9477505209657646E-2</v>
      </c>
      <c r="F42" s="3">
        <v>100000</v>
      </c>
      <c r="G42" s="3">
        <v>2.9933045781587033</v>
      </c>
      <c r="H42" s="3">
        <v>0.484165682867785</v>
      </c>
      <c r="I42" s="3">
        <v>808.86121297364832</v>
      </c>
      <c r="J42" s="3">
        <v>248.39505898059159</v>
      </c>
      <c r="K42" s="3">
        <v>4.7748547687613489E-2</v>
      </c>
      <c r="L42" s="3">
        <v>154870.84920712697</v>
      </c>
      <c r="M42" s="3">
        <v>0.11340736758429143</v>
      </c>
      <c r="N42" s="3">
        <v>0.51855574788572611</v>
      </c>
      <c r="O42" s="3">
        <v>228.06926272819462</v>
      </c>
      <c r="P42" s="3">
        <v>1151.4305541862777</v>
      </c>
    </row>
    <row r="43" spans="1:16" x14ac:dyDescent="0.25">
      <c r="A43">
        <v>42</v>
      </c>
      <c r="B43" s="3">
        <v>1.1869766889967901</v>
      </c>
      <c r="C43" s="3">
        <v>290.0235473706191</v>
      </c>
      <c r="D43" s="3">
        <v>29.417434009077549</v>
      </c>
      <c r="E43" s="3">
        <v>0.10158789381132523</v>
      </c>
      <c r="F43" s="3">
        <v>100000</v>
      </c>
      <c r="G43" s="3">
        <v>5.5806560039015238</v>
      </c>
      <c r="H43" s="3">
        <v>0.48985361599906913</v>
      </c>
      <c r="I43" s="3">
        <v>788.70948875204601</v>
      </c>
      <c r="J43" s="3">
        <v>292.91826988348481</v>
      </c>
      <c r="K43" s="3">
        <v>6.1265248387094809E-2</v>
      </c>
      <c r="L43" s="3">
        <v>149034.77522756814</v>
      </c>
      <c r="M43" s="3">
        <v>0.10539737366312664</v>
      </c>
      <c r="N43" s="3">
        <v>0.52710752612830247</v>
      </c>
      <c r="O43" s="3">
        <v>226.46841226066672</v>
      </c>
      <c r="P43" s="3">
        <v>1414.8742327828004</v>
      </c>
    </row>
    <row r="44" spans="1:16" x14ac:dyDescent="0.25">
      <c r="A44">
        <v>43</v>
      </c>
      <c r="B44" s="3">
        <v>1.1830898236718601</v>
      </c>
      <c r="C44" s="3">
        <v>291.78690733155673</v>
      </c>
      <c r="D44" s="3">
        <v>35.177283754190171</v>
      </c>
      <c r="E44" s="3">
        <v>0.10185471843018126</v>
      </c>
      <c r="F44" s="3">
        <v>100000</v>
      </c>
      <c r="G44" s="3">
        <v>5.4397081032452261</v>
      </c>
      <c r="H44" s="3">
        <v>0.48205674462971831</v>
      </c>
      <c r="I44" s="3">
        <v>798.01577811377695</v>
      </c>
      <c r="J44" s="3">
        <v>310.73886445858875</v>
      </c>
      <c r="K44" s="3">
        <v>4.6692273858176009E-2</v>
      </c>
      <c r="L44" s="3">
        <v>157269.67646735269</v>
      </c>
      <c r="M44" s="3">
        <v>9.9240177794513995E-2</v>
      </c>
      <c r="N44" s="3">
        <v>0.52454075850800741</v>
      </c>
      <c r="O44" s="3">
        <v>230.82939628775731</v>
      </c>
      <c r="P44" s="3">
        <v>1431.0796292925297</v>
      </c>
    </row>
    <row r="45" spans="1:16" x14ac:dyDescent="0.25">
      <c r="A45">
        <v>44</v>
      </c>
      <c r="B45" s="3">
        <v>1.1841388125730323</v>
      </c>
      <c r="C45" s="3">
        <v>290.50070897780597</v>
      </c>
      <c r="D45" s="3">
        <v>45.83272025435501</v>
      </c>
      <c r="E45" s="3">
        <v>0.10000582576110047</v>
      </c>
      <c r="F45" s="3">
        <v>100000</v>
      </c>
      <c r="G45" s="3">
        <v>5.3077791277816821</v>
      </c>
      <c r="H45" s="3">
        <v>0.4854435073470203</v>
      </c>
      <c r="I45" s="3">
        <v>800.54172870123955</v>
      </c>
      <c r="J45" s="3">
        <v>343.18694026096568</v>
      </c>
      <c r="K45" s="3">
        <v>4.3486920636574708E-2</v>
      </c>
      <c r="L45" s="3">
        <v>154732.35242059655</v>
      </c>
      <c r="M45" s="3">
        <v>9.8181893369608503E-2</v>
      </c>
      <c r="N45" s="3">
        <v>0.50538960846967229</v>
      </c>
      <c r="O45" s="3">
        <v>233.9462871688394</v>
      </c>
      <c r="P45" s="3">
        <v>1605.269539738707</v>
      </c>
    </row>
    <row r="46" spans="1:16" x14ac:dyDescent="0.25">
      <c r="A46">
        <v>45</v>
      </c>
      <c r="B46" s="3">
        <v>1.1826803690941177</v>
      </c>
      <c r="C46" s="3">
        <v>291.91720223137287</v>
      </c>
      <c r="D46" s="3">
        <v>31.246225583163749</v>
      </c>
      <c r="E46" s="3">
        <v>9.4007363637526292E-2</v>
      </c>
      <c r="F46" s="3">
        <v>100000</v>
      </c>
      <c r="G46" s="3">
        <v>2.8785597318165737</v>
      </c>
      <c r="H46" s="3">
        <v>0.47999661784055148</v>
      </c>
      <c r="I46" s="3">
        <v>793.10011292898935</v>
      </c>
      <c r="J46" s="3">
        <v>358.44529659058776</v>
      </c>
      <c r="K46" s="3">
        <v>3.9031360535332217E-2</v>
      </c>
      <c r="L46" s="3">
        <v>167966.18928001463</v>
      </c>
      <c r="M46" s="3">
        <v>0.10425924328557352</v>
      </c>
      <c r="N46" s="3">
        <v>0.53180790695988112</v>
      </c>
      <c r="O46" s="3">
        <v>225.87612576418184</v>
      </c>
      <c r="P46" s="3">
        <v>1450.1793578652942</v>
      </c>
    </row>
    <row r="47" spans="1:16" x14ac:dyDescent="0.25">
      <c r="A47">
        <v>46</v>
      </c>
      <c r="B47" s="3">
        <v>1.1857534489337771</v>
      </c>
      <c r="C47" s="3">
        <v>290.0841635523131</v>
      </c>
      <c r="D47" s="3">
        <v>32.088283011919749</v>
      </c>
      <c r="E47" s="3">
        <v>9.9028248046046652E-2</v>
      </c>
      <c r="F47" s="3">
        <v>100000</v>
      </c>
      <c r="G47" s="3">
        <v>3.5476475060874328</v>
      </c>
      <c r="H47" s="3">
        <v>0.48725903838281992</v>
      </c>
      <c r="I47" s="3">
        <v>788.8163854808937</v>
      </c>
      <c r="J47" s="3">
        <v>372.91590789227405</v>
      </c>
      <c r="K47" s="3">
        <v>4.3668050256914559E-2</v>
      </c>
      <c r="L47" s="3">
        <v>164921.1089575915</v>
      </c>
      <c r="M47" s="3">
        <v>0.10925503144567542</v>
      </c>
      <c r="N47" s="3">
        <v>0.51282510120447389</v>
      </c>
      <c r="O47" s="3">
        <v>225.9178491556728</v>
      </c>
      <c r="P47" s="3">
        <v>1621.6673645483606</v>
      </c>
    </row>
    <row r="48" spans="1:16" x14ac:dyDescent="0.25">
      <c r="A48">
        <v>47</v>
      </c>
      <c r="B48" s="3">
        <v>1.1842351937687596</v>
      </c>
      <c r="C48" s="3">
        <v>290.20417724977733</v>
      </c>
      <c r="D48" s="3">
        <v>41.138876345579718</v>
      </c>
      <c r="E48" s="3">
        <v>9.4094464303609363E-2</v>
      </c>
      <c r="F48" s="3">
        <v>100000</v>
      </c>
      <c r="G48" s="3">
        <v>4.7817726025707969</v>
      </c>
      <c r="H48" s="3">
        <v>0.48514582706319043</v>
      </c>
      <c r="I48" s="3">
        <v>807.95803692782329</v>
      </c>
      <c r="J48" s="3">
        <v>363.38852224455445</v>
      </c>
      <c r="K48" s="3">
        <v>4.7505795508652415E-2</v>
      </c>
      <c r="L48" s="3">
        <v>168527.28713077406</v>
      </c>
      <c r="M48" s="3">
        <v>0.10635992502547245</v>
      </c>
      <c r="N48" s="3">
        <v>0.52429896246273899</v>
      </c>
      <c r="O48" s="3">
        <v>227.24830973446223</v>
      </c>
      <c r="P48" s="3">
        <v>1736.6673217146235</v>
      </c>
    </row>
    <row r="49" spans="1:16" x14ac:dyDescent="0.25">
      <c r="A49">
        <v>48</v>
      </c>
      <c r="B49" s="3">
        <v>1.1841763029494066</v>
      </c>
      <c r="C49" s="3">
        <v>290.27844074056986</v>
      </c>
      <c r="D49" s="3">
        <v>41.314779339696628</v>
      </c>
      <c r="E49" s="3">
        <v>9.905447222527336E-2</v>
      </c>
      <c r="F49" s="3">
        <v>100000</v>
      </c>
      <c r="G49" s="3">
        <v>3.0407667096714475</v>
      </c>
      <c r="H49" s="3">
        <v>0.48929114374752702</v>
      </c>
      <c r="I49" s="3">
        <v>794.38829889069518</v>
      </c>
      <c r="J49" s="3">
        <v>332.05755393872619</v>
      </c>
      <c r="K49" s="3">
        <v>5.4421175754162734E-2</v>
      </c>
      <c r="L49" s="3">
        <v>155536.47067642637</v>
      </c>
      <c r="M49" s="3">
        <v>0.10460653010577602</v>
      </c>
      <c r="N49" s="3">
        <v>0.52574594605488389</v>
      </c>
      <c r="O49" s="3">
        <v>229.55107298883505</v>
      </c>
      <c r="P49" s="3">
        <v>1436.5738962757678</v>
      </c>
    </row>
    <row r="50" spans="1:16" x14ac:dyDescent="0.25">
      <c r="A50">
        <v>49</v>
      </c>
      <c r="B50" s="3">
        <v>1.1839969905188263</v>
      </c>
      <c r="C50" s="3">
        <v>290.51168852511518</v>
      </c>
      <c r="D50" s="3">
        <v>42.243811742341734</v>
      </c>
      <c r="E50" s="3">
        <v>9.9784281463172628E-2</v>
      </c>
      <c r="F50" s="3">
        <v>100000</v>
      </c>
      <c r="G50" s="3">
        <v>4.7302119070458266</v>
      </c>
      <c r="H50" s="3">
        <v>0.48004133298338225</v>
      </c>
      <c r="I50" s="3">
        <v>808.26752888793817</v>
      </c>
      <c r="J50" s="3">
        <v>297.06176666576494</v>
      </c>
      <c r="K50" s="3">
        <v>5.8663488346134232E-2</v>
      </c>
      <c r="L50" s="3">
        <v>163279.43423280615</v>
      </c>
      <c r="M50" s="3">
        <v>0.1057832013123914</v>
      </c>
      <c r="N50" s="3">
        <v>0.51037245595634262</v>
      </c>
      <c r="O50" s="3">
        <v>229.68377611746106</v>
      </c>
      <c r="P50" s="3">
        <v>1502.1489992306379</v>
      </c>
    </row>
    <row r="51" spans="1:16" x14ac:dyDescent="0.25">
      <c r="A51">
        <v>50</v>
      </c>
      <c r="B51" s="3">
        <v>1.1855770553826048</v>
      </c>
      <c r="C51" s="3">
        <v>291.54936185486235</v>
      </c>
      <c r="D51" s="3">
        <v>41.949279267618216</v>
      </c>
      <c r="E51" s="3">
        <v>9.6116186056914618E-2</v>
      </c>
      <c r="F51" s="3">
        <v>100000</v>
      </c>
      <c r="G51" s="3">
        <v>4.8019210769434544</v>
      </c>
      <c r="H51" s="3">
        <v>0.4800961263809102</v>
      </c>
      <c r="I51" s="3">
        <v>792.97022591369944</v>
      </c>
      <c r="J51" s="3">
        <v>372.70768926802134</v>
      </c>
      <c r="K51" s="3">
        <v>4.1523001390772779E-2</v>
      </c>
      <c r="L51" s="3">
        <v>155179.18124556763</v>
      </c>
      <c r="M51" s="3">
        <v>0.10727329099900246</v>
      </c>
      <c r="N51" s="3">
        <v>0.52174924519898602</v>
      </c>
      <c r="O51" s="3">
        <v>231.36094110772473</v>
      </c>
      <c r="P51" s="3">
        <v>1603.5885452179282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HC16"/>
  <sheetViews>
    <sheetView zoomScale="70" zoomScaleNormal="70" workbookViewId="0">
      <selection activeCell="P3" sqref="P3:HC16"/>
    </sheetView>
  </sheetViews>
  <sheetFormatPr defaultRowHeight="15" x14ac:dyDescent="0.25"/>
  <sheetData>
    <row r="1" spans="1:211" x14ac:dyDescent="0.25">
      <c r="P1" s="13" t="s">
        <v>0</v>
      </c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 t="s">
        <v>1</v>
      </c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 t="s">
        <v>21</v>
      </c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 t="s">
        <v>22</v>
      </c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 t="s">
        <v>25</v>
      </c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 t="s">
        <v>26</v>
      </c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 t="s">
        <v>27</v>
      </c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 t="s">
        <v>28</v>
      </c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 t="s">
        <v>29</v>
      </c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 t="s">
        <v>30</v>
      </c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 t="s">
        <v>31</v>
      </c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 t="s">
        <v>32</v>
      </c>
      <c r="FO1" s="13"/>
      <c r="FP1" s="13"/>
      <c r="FQ1" s="13"/>
      <c r="FR1" s="13"/>
      <c r="FS1" s="13"/>
      <c r="FT1" s="13"/>
      <c r="FU1" s="13"/>
      <c r="FV1" s="13"/>
      <c r="FW1" s="13"/>
      <c r="FX1" s="13"/>
      <c r="FY1" s="13"/>
      <c r="FZ1" s="13"/>
      <c r="GA1" s="13"/>
      <c r="GB1" s="13" t="s">
        <v>33</v>
      </c>
      <c r="GC1" s="13"/>
      <c r="GD1" s="13"/>
      <c r="GE1" s="13"/>
      <c r="GF1" s="13"/>
      <c r="GG1" s="13"/>
      <c r="GH1" s="13"/>
      <c r="GI1" s="13"/>
      <c r="GJ1" s="13"/>
      <c r="GK1" s="13"/>
      <c r="GL1" s="13"/>
      <c r="GM1" s="13"/>
      <c r="GN1" s="13"/>
      <c r="GO1" s="13"/>
      <c r="GP1" s="13" t="s">
        <v>34</v>
      </c>
      <c r="GQ1" s="13"/>
      <c r="GR1" s="13"/>
      <c r="GS1" s="13"/>
      <c r="GT1" s="13"/>
      <c r="GU1" s="13"/>
      <c r="GV1" s="13"/>
      <c r="GW1" s="13"/>
      <c r="GX1" s="13"/>
      <c r="GY1" s="13"/>
      <c r="GZ1" s="13"/>
      <c r="HA1" s="13"/>
      <c r="HB1" s="13"/>
      <c r="HC1" s="13"/>
    </row>
    <row r="2" spans="1:211" x14ac:dyDescent="0.25"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140877.69666338665</v>
      </c>
      <c r="AE2">
        <v>106509.5509517335</v>
      </c>
      <c r="AF2">
        <v>115713.32545616796</v>
      </c>
      <c r="AG2">
        <v>57817.362535096312</v>
      </c>
      <c r="AH2">
        <v>60290.40259016784</v>
      </c>
      <c r="AI2">
        <v>154693.48051425061</v>
      </c>
      <c r="AJ2">
        <v>2798.9306931906749</v>
      </c>
      <c r="AK2">
        <v>151894.78394662141</v>
      </c>
      <c r="AL2">
        <v>162630.40441254852</v>
      </c>
      <c r="AM2">
        <v>141574.62754519293</v>
      </c>
      <c r="AN2">
        <v>9055.6583603240633</v>
      </c>
      <c r="AO2">
        <v>82670.513561655593</v>
      </c>
      <c r="AP2">
        <v>172240.45514287858</v>
      </c>
      <c r="AQ2">
        <v>157836.29258106093</v>
      </c>
      <c r="AR2">
        <v>74584.513411620021</v>
      </c>
      <c r="AS2">
        <v>192074.58271370165</v>
      </c>
      <c r="AT2">
        <v>174002.85396631135</v>
      </c>
      <c r="AU2">
        <v>11228.903526263262</v>
      </c>
      <c r="AV2">
        <v>189599.35281108742</v>
      </c>
      <c r="AW2">
        <v>72684.142291652475</v>
      </c>
      <c r="AX2">
        <v>104801.24374287424</v>
      </c>
      <c r="AY2">
        <v>153170.29873216597</v>
      </c>
      <c r="AZ2">
        <v>10683.333954500065</v>
      </c>
      <c r="BA2">
        <v>118297.00041752668</v>
      </c>
      <c r="BB2">
        <v>93586.034763752788</v>
      </c>
      <c r="BC2">
        <v>59535.131313501435</v>
      </c>
      <c r="BD2">
        <v>124334.75523173646</v>
      </c>
      <c r="BE2">
        <v>129351.39841840454</v>
      </c>
      <c r="BF2">
        <v>52671.922989151128</v>
      </c>
      <c r="BG2">
        <v>55776.638849525843</v>
      </c>
      <c r="BH2">
        <v>165687.69341174053</v>
      </c>
      <c r="BI2">
        <v>164649.50335363494</v>
      </c>
      <c r="BJ2">
        <v>117639.03454036587</v>
      </c>
      <c r="BK2">
        <v>196894.65137937732</v>
      </c>
      <c r="BL2">
        <v>181893.56494065133</v>
      </c>
      <c r="BM2">
        <v>45298.67060887962</v>
      </c>
      <c r="BN2">
        <v>138794.72320185669</v>
      </c>
      <c r="BO2">
        <v>195678.66712322694</v>
      </c>
      <c r="BP2">
        <v>48706.132892031157</v>
      </c>
      <c r="BQ2">
        <v>106599.21568753036</v>
      </c>
      <c r="BR2">
        <v>21238.9941775304</v>
      </c>
      <c r="BS2">
        <v>199554.55445764324</v>
      </c>
      <c r="BT2">
        <v>135013.02311446672</v>
      </c>
      <c r="BU2">
        <v>3135.6316542245236</v>
      </c>
      <c r="BV2">
        <v>114847.78821491994</v>
      </c>
      <c r="BW2">
        <v>19977.582486214556</v>
      </c>
      <c r="BX2">
        <v>20570.686031268524</v>
      </c>
      <c r="BY2">
        <v>159514.40607679082</v>
      </c>
      <c r="BZ2">
        <v>56802.594324621212</v>
      </c>
      <c r="CA2">
        <v>9114.8437507033832</v>
      </c>
      <c r="CB2">
        <v>59057.399410180253</v>
      </c>
      <c r="CC2">
        <v>76276.634790815937</v>
      </c>
      <c r="CD2">
        <v>60095.220526580299</v>
      </c>
      <c r="CE2">
        <v>189402.56406587889</v>
      </c>
      <c r="CF2">
        <v>195643.95089886812</v>
      </c>
      <c r="CG2">
        <v>80143.001048959661</v>
      </c>
      <c r="CH2">
        <v>55564.568776899847</v>
      </c>
      <c r="CI2">
        <v>32035.597136983284</v>
      </c>
      <c r="CJ2">
        <v>32510.829757782922</v>
      </c>
      <c r="CK2">
        <v>129104.99296447061</v>
      </c>
      <c r="CL2">
        <v>81879.919092017983</v>
      </c>
      <c r="CM2">
        <v>82417.752789309729</v>
      </c>
      <c r="CN2">
        <v>142311.92779039484</v>
      </c>
      <c r="CO2">
        <v>65134.071623654134</v>
      </c>
      <c r="CP2">
        <v>126427.7496260433</v>
      </c>
      <c r="CQ2">
        <v>41444.039077241825</v>
      </c>
      <c r="CR2">
        <v>37141.595624469373</v>
      </c>
      <c r="CS2">
        <v>116480.14103781484</v>
      </c>
      <c r="CT2">
        <v>16116.417115984712</v>
      </c>
      <c r="CU2">
        <v>91443.828306462136</v>
      </c>
      <c r="CV2">
        <v>180848.38879283072</v>
      </c>
      <c r="CW2">
        <v>52187.788162036646</v>
      </c>
      <c r="CX2">
        <v>156784.46358119487</v>
      </c>
      <c r="CY2">
        <v>75656.027236679598</v>
      </c>
      <c r="CZ2">
        <v>57837.844750427663</v>
      </c>
      <c r="DA2">
        <v>183573.35652607426</v>
      </c>
      <c r="DB2">
        <v>126140.92720333234</v>
      </c>
      <c r="DC2">
        <v>125322.1979533093</v>
      </c>
      <c r="DD2">
        <v>85550.508219307143</v>
      </c>
      <c r="DE2">
        <v>19562.582574184216</v>
      </c>
      <c r="DF2">
        <v>112023.69417633368</v>
      </c>
      <c r="DG2">
        <v>138668.89027756942</v>
      </c>
      <c r="DH2">
        <v>182443.3118846291</v>
      </c>
      <c r="DI2">
        <v>166689.15591812474</v>
      </c>
      <c r="DJ2">
        <v>4518.4132653248644</v>
      </c>
      <c r="DK2">
        <v>108493.60043079154</v>
      </c>
      <c r="DL2">
        <v>182931.79070279296</v>
      </c>
      <c r="DM2">
        <v>85910.869054878305</v>
      </c>
      <c r="DN2">
        <v>135366.80250606447</v>
      </c>
      <c r="DO2">
        <v>100325.70712346659</v>
      </c>
      <c r="DP2">
        <v>102578.71510587918</v>
      </c>
      <c r="DQ2">
        <v>92443.898355441474</v>
      </c>
      <c r="DR2">
        <v>70578.40155648574</v>
      </c>
      <c r="DS2">
        <v>80833.826540606155</v>
      </c>
      <c r="DT2">
        <v>53857.701630826799</v>
      </c>
      <c r="DU2">
        <v>11100.440404655707</v>
      </c>
      <c r="DV2">
        <v>48688.923546668506</v>
      </c>
      <c r="DW2">
        <v>195493.91063815786</v>
      </c>
      <c r="DX2">
        <v>12163.242444925889</v>
      </c>
      <c r="DY2">
        <v>77930.06489630921</v>
      </c>
      <c r="DZ2">
        <v>72879.169637750587</v>
      </c>
      <c r="EA2">
        <v>97817.998449417588</v>
      </c>
      <c r="EB2">
        <v>31081.478182364408</v>
      </c>
      <c r="EC2">
        <v>94735.954651916909</v>
      </c>
      <c r="ED2">
        <v>51369.011306632252</v>
      </c>
      <c r="EE2">
        <v>125543.80100355321</v>
      </c>
      <c r="EF2">
        <v>108235.94820551065</v>
      </c>
      <c r="EG2">
        <v>31209.096308452776</v>
      </c>
      <c r="EH2">
        <v>187400.67447015515</v>
      </c>
      <c r="EI2">
        <v>130684.84895306766</v>
      </c>
      <c r="EJ2">
        <v>101051.20123409055</v>
      </c>
      <c r="EK2">
        <v>77966.006959238148</v>
      </c>
      <c r="EL2">
        <v>21439.793676118752</v>
      </c>
      <c r="EM2">
        <v>156541.47381337371</v>
      </c>
      <c r="EN2">
        <v>91777.149285419233</v>
      </c>
      <c r="EO2">
        <v>150489.99674798609</v>
      </c>
      <c r="EP2">
        <v>119023.06579272699</v>
      </c>
      <c r="EQ2">
        <v>166272.44221236533</v>
      </c>
      <c r="ER2">
        <v>3745.5160962088848</v>
      </c>
      <c r="ES2">
        <v>42004.61624547965</v>
      </c>
      <c r="ET2">
        <v>14766.376105916646</v>
      </c>
      <c r="EU2">
        <v>21055.891979463675</v>
      </c>
      <c r="EV2">
        <v>66229.91179859011</v>
      </c>
      <c r="EW2">
        <v>25607.847137303983</v>
      </c>
      <c r="EX2">
        <v>48.172744593827886</v>
      </c>
      <c r="EY2">
        <v>107182.4530172969</v>
      </c>
      <c r="EZ2">
        <v>131195.11913455033</v>
      </c>
      <c r="FA2">
        <v>108624.06297841633</v>
      </c>
      <c r="FB2">
        <v>165210.52087165037</v>
      </c>
      <c r="FC2">
        <v>16351.813825478492</v>
      </c>
      <c r="FD2">
        <v>38321.447396165371</v>
      </c>
      <c r="FE2">
        <v>135559.61620192922</v>
      </c>
      <c r="FF2">
        <v>90692.341657614088</v>
      </c>
      <c r="FG2">
        <v>71287.328994395444</v>
      </c>
      <c r="FH2">
        <v>29946.946733725807</v>
      </c>
      <c r="FI2">
        <v>140647.72696736825</v>
      </c>
      <c r="FJ2">
        <v>185452.04339483104</v>
      </c>
      <c r="FK2">
        <v>105868.3064647764</v>
      </c>
      <c r="FL2">
        <v>17898.834002280542</v>
      </c>
      <c r="FM2">
        <v>151296.90796208582</v>
      </c>
      <c r="FN2">
        <v>80236.390905848166</v>
      </c>
      <c r="FO2">
        <v>92223.128399371417</v>
      </c>
      <c r="FP2">
        <v>98271.427805553059</v>
      </c>
      <c r="FQ2">
        <v>41457.249570570006</v>
      </c>
      <c r="FR2">
        <v>65838.85739338526</v>
      </c>
      <c r="FS2">
        <v>19054.466536208212</v>
      </c>
      <c r="FT2">
        <v>117764.73654985438</v>
      </c>
      <c r="FU2">
        <v>33918.88982638692</v>
      </c>
      <c r="FV2">
        <v>185218.53899924643</v>
      </c>
      <c r="FW2">
        <v>19553.799381322777</v>
      </c>
      <c r="FX2">
        <v>88626.672752209503</v>
      </c>
      <c r="FY2">
        <v>54499.695902540385</v>
      </c>
      <c r="FZ2">
        <v>174222.69561744484</v>
      </c>
      <c r="GA2">
        <v>149890.90682622575</v>
      </c>
      <c r="GB2">
        <v>54498.803301639833</v>
      </c>
      <c r="GC2">
        <v>134508.01332762465</v>
      </c>
      <c r="GD2">
        <v>51241.476489961271</v>
      </c>
      <c r="GE2">
        <v>17949.783661684098</v>
      </c>
      <c r="GF2">
        <v>6179.9600883405092</v>
      </c>
      <c r="GG2">
        <v>64437.509683553428</v>
      </c>
      <c r="GH2">
        <v>157766.18175565882</v>
      </c>
      <c r="GI2">
        <v>59353.945232034566</v>
      </c>
      <c r="GJ2">
        <v>46979.152472332324</v>
      </c>
      <c r="GK2">
        <v>95937.0860290821</v>
      </c>
      <c r="GL2">
        <v>50836.735537614622</v>
      </c>
      <c r="GM2">
        <v>68009.412855277464</v>
      </c>
      <c r="GN2">
        <v>8972.0157052695977</v>
      </c>
      <c r="GO2">
        <v>96327.116918587635</v>
      </c>
      <c r="GP2">
        <v>41135.758528881575</v>
      </c>
      <c r="GQ2">
        <v>172622.85727002073</v>
      </c>
      <c r="GR2">
        <v>117532.32707804113</v>
      </c>
      <c r="GS2">
        <v>150733.64108980098</v>
      </c>
      <c r="GT2">
        <v>185271.76181561008</v>
      </c>
      <c r="GU2">
        <v>66094.629206102327</v>
      </c>
      <c r="GV2">
        <v>108409.85066362901</v>
      </c>
      <c r="GW2">
        <v>16111.763689956497</v>
      </c>
      <c r="GX2">
        <v>126665.96695438282</v>
      </c>
      <c r="GY2">
        <v>81872.623567324132</v>
      </c>
      <c r="GZ2">
        <v>191769.01567207908</v>
      </c>
      <c r="HA2">
        <v>22887.009170893663</v>
      </c>
      <c r="HB2">
        <v>184385.63524692264</v>
      </c>
      <c r="HC2">
        <v>123838.14779470491</v>
      </c>
    </row>
    <row r="3" spans="1:211" x14ac:dyDescent="0.25">
      <c r="A3" t="s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s="13">
        <f>SQRT(SUMXMY2('Coordenadas dos Polos'!$B$3:$O$3,'Coordenadas dos Polos'!$P$2:$AC$2))</f>
        <v>0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>
        <f>SQRT(SUMXMY2('Coordenadas dos Polos'!$B$3:$O$3,'Coordenadas dos Polos'!$AD$2:$AQ$2))</f>
        <v>454483.89182617958</v>
      </c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>
        <f>SQRT(SUMXMY2('Coordenadas dos Polos'!$B$3:$O$3,'Coordenadas dos Polos'!$AR$2:$BE$2))</f>
        <v>455121.87816665496</v>
      </c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>
        <f>SQRT(SUMXMY2('Coordenadas dos Polos'!$B$3:$O$3,'Coordenadas dos Polos'!$BF$2:$BS$2))</f>
        <v>509660.5061522139</v>
      </c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>
        <f>SQRT(SUMXMY2('Coordenadas dos Polos'!$B$3:$O$3,'Coordenadas dos Polos'!$BT$2:$CG$2))</f>
        <v>393058.78085865441</v>
      </c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>
        <f>SQRT(SUMXMY2('Coordenadas dos Polos'!$B$3:$O$3,'Coordenadas dos Polos'!$CH$2:$CU$2))</f>
        <v>317964.3242857458</v>
      </c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>
        <f>SQRT(SUMXMY2('Coordenadas dos Polos'!$B$3:$O$3,'Coordenadas dos Polos'!$CV$2:$DI$2))</f>
        <v>484713.60389459366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>
        <f>SQRT(SUMXMY2('Coordenadas dos Polos'!$B$3:$O$3,'Coordenadas dos Polos'!$DJ$2:$DW$2))</f>
        <v>393981.53660439776</v>
      </c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>
        <f>SQRT(SUMXMY2('Coordenadas dos Polos'!$B$3:$O$3,'Coordenadas dos Polos'!$DX$2:$EK$2))</f>
        <v>361411.63315286196</v>
      </c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>
        <f>SQRT(SUMXMY2('Coordenadas dos Polos'!$B$3:$O$3,'Coordenadas dos Polos'!$EL$2:$EY$2))</f>
        <v>341786.85462295508</v>
      </c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>
        <f>SQRT(SUMXMY2('Coordenadas dos Polos'!$B$3:$O$3,'Coordenadas dos Polos'!$EZ$2:$FM$2))</f>
        <v>423338.46435317938</v>
      </c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>
        <f>SQRT(SUMXMY2('Coordenadas dos Polos'!$B$3:$O$3,'Coordenadas dos Polos'!$FN$2:$GA$2))</f>
        <v>379960.27010079997</v>
      </c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>
        <f>SQRT(SUMXMY2('Coordenadas dos Polos'!$B$3:$O$3,'Coordenadas dos Polos'!$GB$2:$GO$2))</f>
        <v>290850.27422675781</v>
      </c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>
        <f>SQRT(SUMXMY2('Coordenadas dos Polos'!$B$3:$O$3,'Coordenadas dos Polos'!$GP$2:$HC$2))</f>
        <v>477610.9336082993</v>
      </c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</row>
    <row r="4" spans="1:211" x14ac:dyDescent="0.25">
      <c r="A4" t="s">
        <v>1</v>
      </c>
      <c r="B4">
        <v>140877.69666338665</v>
      </c>
      <c r="C4">
        <v>106509.5509517335</v>
      </c>
      <c r="D4">
        <v>115713.32545616796</v>
      </c>
      <c r="E4">
        <v>57817.362535096312</v>
      </c>
      <c r="F4">
        <v>60290.40259016784</v>
      </c>
      <c r="G4">
        <v>154693.48051425061</v>
      </c>
      <c r="H4">
        <v>2798.9306931906749</v>
      </c>
      <c r="I4">
        <v>151894.78394662141</v>
      </c>
      <c r="J4">
        <v>162630.40441254852</v>
      </c>
      <c r="K4">
        <v>141574.62754519293</v>
      </c>
      <c r="L4">
        <v>9055.6583603240633</v>
      </c>
      <c r="M4">
        <v>82670.513561655593</v>
      </c>
      <c r="N4">
        <v>172240.45514287858</v>
      </c>
      <c r="O4">
        <v>157836.29258106093</v>
      </c>
      <c r="P4" s="13">
        <f>SQRT(SUMXMY2('Coordenadas dos Polos'!$B$4:$O$4,'Coordenadas dos Polos'!$P$2:$AC$2))</f>
        <v>454483.89182617958</v>
      </c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>
        <f>SQRT(SUMXMY2('Coordenadas dos Polos'!$B$4:$O$4,'Coordenadas dos Polos'!$AD$2:$AQ$2))</f>
        <v>0</v>
      </c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>
        <f>SQRT(SUMXMY2('Coordenadas dos Polos'!$B$4:$O$4,'Coordenadas dos Polos'!$AR$2:$BE$2))</f>
        <v>292495.27396663261</v>
      </c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>
        <f>SQRT(SUMXMY2('Coordenadas dos Polos'!$B$4:$O$4,'Coordenadas dos Polos'!$BF$2:$BS$2))</f>
        <v>320864.51774743397</v>
      </c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>
        <f>SQRT(SUMXMY2('Coordenadas dos Polos'!$B$4:$O$4,'Coordenadas dos Polos'!$BT$2:$CG$2))</f>
        <v>269496.74915853009</v>
      </c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>
        <f>SQRT(SUMXMY2('Coordenadas dos Polos'!$B$4:$O$4,'Coordenadas dos Polos'!$CH$2:$CU$2))</f>
        <v>315534.1804574065</v>
      </c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>
        <f>SQRT(SUMXMY2('Coordenadas dos Polos'!$B$4:$O$4,'Coordenadas dos Polos'!$CV$2:$DI$2))</f>
        <v>240960.44235465903</v>
      </c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>
        <f>SQRT(SUMXMY2('Coordenadas dos Polos'!$B$4:$O$4,'Coordenadas dos Polos'!$DJ$2:$DW$2))</f>
        <v>286293.00258578395</v>
      </c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>
        <f>SQRT(SUMXMY2('Coordenadas dos Polos'!$B$4:$O$4,'Coordenadas dos Polos'!$DX$2:$EK$2))</f>
        <v>298361.0357512419</v>
      </c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>
        <f>SQRT(SUMXMY2('Coordenadas dos Polos'!$B$4:$O$4,'Coordenadas dos Polos'!$EL$2:$EY$2))</f>
        <v>341642.62018113746</v>
      </c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>
        <f>SQRT(SUMXMY2('Coordenadas dos Polos'!$B$4:$O$4,'Coordenadas dos Polos'!$EZ$2:$FM$2))</f>
        <v>304076.99961652089</v>
      </c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>
        <f>SQRT(SUMXMY2('Coordenadas dos Polos'!$B$4:$O$4,'Coordenadas dos Polos'!$FN$2:$GA$2))</f>
        <v>269460.61782290693</v>
      </c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>
        <f>SQRT(SUMXMY2('Coordenadas dos Polos'!$B$4:$O$4,'Coordenadas dos Polos'!$GB$2:$GO$2))</f>
        <v>324811.59434419259</v>
      </c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>
        <f>SQRT(SUMXMY2('Coordenadas dos Polos'!$B$4:$O$4,'Coordenadas dos Polos'!$GP$2:$HC$2))</f>
        <v>345161.33376032772</v>
      </c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</row>
    <row r="5" spans="1:211" x14ac:dyDescent="0.25">
      <c r="A5" t="s">
        <v>21</v>
      </c>
      <c r="B5">
        <v>74584.513411620021</v>
      </c>
      <c r="C5">
        <v>192074.58271370165</v>
      </c>
      <c r="D5">
        <v>174002.85396631135</v>
      </c>
      <c r="E5">
        <v>11228.903526263262</v>
      </c>
      <c r="F5">
        <v>189599.35281108742</v>
      </c>
      <c r="G5">
        <v>72684.142291652475</v>
      </c>
      <c r="H5">
        <v>104801.24374287424</v>
      </c>
      <c r="I5">
        <v>153170.29873216597</v>
      </c>
      <c r="J5">
        <v>10683.333954500065</v>
      </c>
      <c r="K5">
        <v>118297.00041752668</v>
      </c>
      <c r="L5">
        <v>93586.034763752788</v>
      </c>
      <c r="M5">
        <v>59535.131313501435</v>
      </c>
      <c r="N5">
        <v>124334.75523173646</v>
      </c>
      <c r="O5">
        <v>129351.39841840454</v>
      </c>
      <c r="P5" s="13">
        <f>SQRT(SUMXMY2('Coordenadas dos Polos'!$B$5:$O$5,'Coordenadas dos Polos'!$P$2:$AC$2))</f>
        <v>455121.87816665496</v>
      </c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>
        <f>SQRT(SUMXMY2('Coordenadas dos Polos'!$B$5:$O$5,'Coordenadas dos Polos'!$AD$2:$AQ$2))</f>
        <v>292495.27396663261</v>
      </c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>
        <f>SQRT(SUMXMY2('Coordenadas dos Polos'!$B$5:$O$5,'Coordenadas dos Polos'!$AR$2:$BE$2))</f>
        <v>0</v>
      </c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>
        <f>SQRT(SUMXMY2('Coordenadas dos Polos'!$B$5:$O$5,'Coordenadas dos Polos'!$BF$2:$BS$2))</f>
        <v>350766.68695072137</v>
      </c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>
        <f>SQRT(SUMXMY2('Coordenadas dos Polos'!$B$5:$O$5,'Coordenadas dos Polos'!$BT$2:$CG$2))</f>
        <v>362892.32064160297</v>
      </c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>
        <f>SQRT(SUMXMY2('Coordenadas dos Polos'!$B$5:$O$5,'Coordenadas dos Polos'!$CH$2:$CU$2))</f>
        <v>345868.03508562502</v>
      </c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>
        <f>SQRT(SUMXMY2('Coordenadas dos Polos'!$B$5:$O$5,'Coordenadas dos Polos'!$CV$2:$DI$2))</f>
        <v>304831.84875961056</v>
      </c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>
        <f>SQRT(SUMXMY2('Coordenadas dos Polos'!$B$5:$O$5,'Coordenadas dos Polos'!$DJ$2:$DW$2))</f>
        <v>209671.91958329495</v>
      </c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>
        <f>SQRT(SUMXMY2('Coordenadas dos Polos'!$B$5:$O$5,'Coordenadas dos Polos'!$DX$2:$EK$2))</f>
        <v>313094.79335918103</v>
      </c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>
        <f>SQRT(SUMXMY2('Coordenadas dos Polos'!$B$5:$O$5,'Coordenadas dos Polos'!$EL$2:$EY$2))</f>
        <v>306369.17614049034</v>
      </c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>
        <f>SQRT(SUMXMY2('Coordenadas dos Polos'!$B$5:$O$5,'Coordenadas dos Polos'!$EZ$2:$FM$2))</f>
        <v>259386.75780771126</v>
      </c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>
        <f>SQRT(SUMXMY2('Coordenadas dos Polos'!$B$5:$O$5,'Coordenadas dos Polos'!$FN$2:$GA$2))</f>
        <v>303984.20668522018</v>
      </c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>
        <f>SQRT(SUMXMY2('Coordenadas dos Polos'!$B$5:$O$5,'Coordenadas dos Polos'!$GB$2:$GO$2))</f>
        <v>286820.81199774798</v>
      </c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>
        <f>SQRT(SUMXMY2('Coordenadas dos Polos'!$B$5:$O$5,'Coordenadas dos Polos'!$GP$2:$HC$2))</f>
        <v>269083.79352941242</v>
      </c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</row>
    <row r="6" spans="1:211" x14ac:dyDescent="0.25">
      <c r="A6" t="s">
        <v>22</v>
      </c>
      <c r="B6">
        <v>52671.922989151128</v>
      </c>
      <c r="C6">
        <v>55776.638849525843</v>
      </c>
      <c r="D6">
        <v>165687.69341174053</v>
      </c>
      <c r="E6">
        <v>164649.50335363494</v>
      </c>
      <c r="F6">
        <v>117639.03454036587</v>
      </c>
      <c r="G6">
        <v>196894.65137937732</v>
      </c>
      <c r="H6">
        <v>181893.56494065133</v>
      </c>
      <c r="I6">
        <v>45298.67060887962</v>
      </c>
      <c r="J6">
        <v>138794.72320185669</v>
      </c>
      <c r="K6">
        <v>195678.66712322694</v>
      </c>
      <c r="L6">
        <v>48706.132892031157</v>
      </c>
      <c r="M6">
        <v>106599.21568753036</v>
      </c>
      <c r="N6">
        <v>21238.9941775304</v>
      </c>
      <c r="O6">
        <v>199554.55445764324</v>
      </c>
      <c r="P6" s="13">
        <f>SQRT(SUMXMY2('Coordenadas dos Polos'!$B$6:$O$6,'Coordenadas dos Polos'!$P$2:$AC$2))</f>
        <v>509660.5061522139</v>
      </c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>
        <f>SQRT(SUMXMY2('Coordenadas dos Polos'!$B$6:$O$6,'Coordenadas dos Polos'!$AD$2:$AQ$2))</f>
        <v>320864.51774743397</v>
      </c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>
        <f>SQRT(SUMXMY2('Coordenadas dos Polos'!$B$6:$O$6,'Coordenadas dos Polos'!$AR$2:$BE$2))</f>
        <v>350766.68695072137</v>
      </c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>
        <f>SQRT(SUMXMY2('Coordenadas dos Polos'!$B$6:$O$6,'Coordenadas dos Polos'!$BF$2:$BS$2))</f>
        <v>0</v>
      </c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>
        <f>SQRT(SUMXMY2('Coordenadas dos Polos'!$B$6:$O$6,'Coordenadas dos Polos'!$BT$2:$CG$2))</f>
        <v>364855.53346500162</v>
      </c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>
        <f>SQRT(SUMXMY2('Coordenadas dos Polos'!$B$6:$O$6,'Coordenadas dos Polos'!$CH$2:$CU$2))</f>
        <v>267959.17806768027</v>
      </c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>
        <f>SQRT(SUMXMY2('Coordenadas dos Polos'!$B$6:$O$6,'Coordenadas dos Polos'!$CV$2:$DI$2))</f>
        <v>321967.88504137541</v>
      </c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>
        <f>SQRT(SUMXMY2('Coordenadas dos Polos'!$B$6:$O$6,'Coordenadas dos Polos'!$DJ$2:$DW$2))</f>
        <v>239807.56608978286</v>
      </c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>
        <f>SQRT(SUMXMY2('Coordenadas dos Polos'!$B$6:$O$6,'Coordenadas dos Polos'!$DX$2:$EK$2))</f>
        <v>354358.97741655476</v>
      </c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>
        <f>SQRT(SUMXMY2('Coordenadas dos Polos'!$B$6:$O$6,'Coordenadas dos Polos'!$EL$2:$EY$2))</f>
        <v>333472.57232291455</v>
      </c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>
        <f>SQRT(SUMXMY2('Coordenadas dos Polos'!$B$6:$O$6,'Coordenadas dos Polos'!$EZ$2:$FM$2))</f>
        <v>293110.37655784265</v>
      </c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>
        <f>SQRT(SUMXMY2('Coordenadas dos Polos'!$B$6:$O$6,'Coordenadas dos Polos'!$FN$2:$GA$2))</f>
        <v>351732.09473771381</v>
      </c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>
        <f>SQRT(SUMXMY2('Coordenadas dos Polos'!$B$6:$O$6,'Coordenadas dos Polos'!$GB$2:$GO$2))</f>
        <v>319760.83120332356</v>
      </c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>
        <f>SQRT(SUMXMY2('Coordenadas dos Polos'!$B$6:$O$6,'Coordenadas dos Polos'!$GP$2:$HC$2))</f>
        <v>342281.63949431159</v>
      </c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</row>
    <row r="7" spans="1:211" x14ac:dyDescent="0.25">
      <c r="A7" t="s">
        <v>25</v>
      </c>
      <c r="B7">
        <v>135013.02311446672</v>
      </c>
      <c r="C7">
        <v>3135.6316542245236</v>
      </c>
      <c r="D7">
        <v>114847.78821491994</v>
      </c>
      <c r="E7">
        <v>19977.582486214556</v>
      </c>
      <c r="F7">
        <v>20570.686031268524</v>
      </c>
      <c r="G7">
        <v>159514.40607679082</v>
      </c>
      <c r="H7">
        <v>56802.594324621212</v>
      </c>
      <c r="I7">
        <v>9114.8437507033832</v>
      </c>
      <c r="J7">
        <v>59057.399410180253</v>
      </c>
      <c r="K7">
        <v>76276.634790815937</v>
      </c>
      <c r="L7">
        <v>60095.220526580299</v>
      </c>
      <c r="M7">
        <v>189402.56406587889</v>
      </c>
      <c r="N7">
        <v>195643.95089886812</v>
      </c>
      <c r="O7">
        <v>80143.001048959661</v>
      </c>
      <c r="P7" s="13">
        <f>SQRT(SUMXMY2('Coordenadas dos Polos'!$B$7:$O$7,'Coordenadas dos Polos'!$P$2:$AC$2))</f>
        <v>393058.78085865441</v>
      </c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>
        <f>SQRT(SUMXMY2('Coordenadas dos Polos'!$B$7:$O$7,'Coordenadas dos Polos'!$AD$2:$AQ$2))</f>
        <v>269496.74915853009</v>
      </c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>
        <f>SQRT(SUMXMY2('Coordenadas dos Polos'!$B$7:$O$7,'Coordenadas dos Polos'!$AR$2:$BE$2))</f>
        <v>362892.32064160297</v>
      </c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>
        <f>SQRT(SUMXMY2('Coordenadas dos Polos'!$B$7:$O$7,'Coordenadas dos Polos'!$BF$2:$BS$2))</f>
        <v>364855.53346500162</v>
      </c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>
        <f>SQRT(SUMXMY2('Coordenadas dos Polos'!$B$7:$O$7,'Coordenadas dos Polos'!$BT$2:$CG$2))</f>
        <v>0</v>
      </c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>
        <f>SQRT(SUMXMY2('Coordenadas dos Polos'!$B$7:$O$7,'Coordenadas dos Polos'!$CH$2:$CU$2))</f>
        <v>299904.3412935487</v>
      </c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>
        <f>SQRT(SUMXMY2('Coordenadas dos Polos'!$B$7:$O$7,'Coordenadas dos Polos'!$CV$2:$DI$2))</f>
        <v>215635.64386786486</v>
      </c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>
        <f>SQRT(SUMXMY2('Coordenadas dos Polos'!$B$7:$O$7,'Coordenadas dos Polos'!$DJ$2:$DW$2))</f>
        <v>360163.95892956533</v>
      </c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>
        <f>SQRT(SUMXMY2('Coordenadas dos Polos'!$B$7:$O$7,'Coordenadas dos Polos'!$DX$2:$EK$2))</f>
        <v>281878.1838666125</v>
      </c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>
        <f>SQRT(SUMXMY2('Coordenadas dos Polos'!$B$7:$O$7,'Coordenadas dos Polos'!$EL$2:$EY$2))</f>
        <v>372155.23325069412</v>
      </c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>
        <f>SQRT(SUMXMY2('Coordenadas dos Polos'!$B$7:$O$7,'Coordenadas dos Polos'!$EZ$2:$FM$2))</f>
        <v>289714.26820391434</v>
      </c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>
        <f>SQRT(SUMXMY2('Coordenadas dos Polos'!$B$7:$O$7,'Coordenadas dos Polos'!$FN$2:$GA$2))</f>
        <v>285050.20631072717</v>
      </c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>
        <f>SQRT(SUMXMY2('Coordenadas dos Polos'!$B$7:$O$7,'Coordenadas dos Polos'!$GB$2:$GO$2))</f>
        <v>316572.59947125165</v>
      </c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>
        <f>SQRT(SUMXMY2('Coordenadas dos Polos'!$B$7:$O$7,'Coordenadas dos Polos'!$GP$2:$HC$2))</f>
        <v>380674.19967768947</v>
      </c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</row>
    <row r="8" spans="1:211" x14ac:dyDescent="0.25">
      <c r="A8" t="s">
        <v>26</v>
      </c>
      <c r="B8">
        <v>55564.568776899847</v>
      </c>
      <c r="C8">
        <v>32035.597136983284</v>
      </c>
      <c r="D8">
        <v>32510.829757782922</v>
      </c>
      <c r="E8">
        <v>129104.99296447061</v>
      </c>
      <c r="F8">
        <v>81879.919092017983</v>
      </c>
      <c r="G8">
        <v>82417.752789309729</v>
      </c>
      <c r="H8">
        <v>142311.92779039484</v>
      </c>
      <c r="I8">
        <v>65134.071623654134</v>
      </c>
      <c r="J8">
        <v>126427.7496260433</v>
      </c>
      <c r="K8">
        <v>41444.039077241825</v>
      </c>
      <c r="L8">
        <v>37141.595624469373</v>
      </c>
      <c r="M8">
        <v>116480.14103781484</v>
      </c>
      <c r="N8">
        <v>16116.417115984712</v>
      </c>
      <c r="O8">
        <v>91443.828306462136</v>
      </c>
      <c r="P8" s="13">
        <f>SQRT(SUMXMY2('Coordenadas dos Polos'!$B$8:$O$8,'Coordenadas dos Polos'!$P$2:$AC$2))</f>
        <v>317964.3242857458</v>
      </c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>
        <f>SQRT(SUMXMY2('Coordenadas dos Polos'!$B$8:$O$8,'Coordenadas dos Polos'!$AD$2:$AQ$2))</f>
        <v>315534.1804574065</v>
      </c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>
        <f>SQRT(SUMXMY2('Coordenadas dos Polos'!$B$8:$O$8,'Coordenadas dos Polos'!$AR$2:$BE$2))</f>
        <v>345868.03508562502</v>
      </c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>
        <f>SQRT(SUMXMY2('Coordenadas dos Polos'!$B$8:$O$8,'Coordenadas dos Polos'!$BF$2:$BS$2))</f>
        <v>267959.17806768027</v>
      </c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>
        <f>SQRT(SUMXMY2('Coordenadas dos Polos'!$B$8:$O$8,'Coordenadas dos Polos'!$BT$2:$CG$2))</f>
        <v>299904.3412935487</v>
      </c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>
        <f>SQRT(SUMXMY2('Coordenadas dos Polos'!$B$8:$O$8,'Coordenadas dos Polos'!$CH$2:$CU$2))</f>
        <v>0</v>
      </c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>
        <f>SQRT(SUMXMY2('Coordenadas dos Polos'!$B$8:$O$8,'Coordenadas dos Polos'!$CV$2:$DI$2))</f>
        <v>301120.20060075581</v>
      </c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>
        <f>SQRT(SUMXMY2('Coordenadas dos Polos'!$B$8:$O$8,'Coordenadas dos Polos'!$DJ$2:$DW$2))</f>
        <v>257666.90279200359</v>
      </c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>
        <f>SQRT(SUMXMY2('Coordenadas dos Polos'!$B$8:$O$8,'Coordenadas dos Polos'!$DX$2:$EK$2))</f>
        <v>227731.10187985672</v>
      </c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>
        <f>SQRT(SUMXMY2('Coordenadas dos Polos'!$B$8:$O$8,'Coordenadas dos Polos'!$EL$2:$EY$2))</f>
        <v>266976.79423651216</v>
      </c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>
        <f>SQRT(SUMXMY2('Coordenadas dos Polos'!$B$8:$O$8,'Coordenadas dos Polos'!$EZ$2:$FM$2))</f>
        <v>306881.39101298165</v>
      </c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>
        <f>SQRT(SUMXMY2('Coordenadas dos Polos'!$B$8:$O$8,'Coordenadas dos Polos'!$FN$2:$GA$2))</f>
        <v>246836.94886721621</v>
      </c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>
        <f>SQRT(SUMXMY2('Coordenadas dos Polos'!$B$8:$O$8,'Coordenadas dos Polos'!$GB$2:$GO$2))</f>
        <v>203537.45469307521</v>
      </c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>
        <f>SQRT(SUMXMY2('Coordenadas dos Polos'!$B$8:$O$8,'Coordenadas dos Polos'!$GP$2:$HC$2))</f>
        <v>325339.88224202301</v>
      </c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</row>
    <row r="9" spans="1:211" x14ac:dyDescent="0.25">
      <c r="A9" t="s">
        <v>27</v>
      </c>
      <c r="B9">
        <v>180848.38879283072</v>
      </c>
      <c r="C9">
        <v>52187.788162036646</v>
      </c>
      <c r="D9">
        <v>156784.46358119487</v>
      </c>
      <c r="E9">
        <v>75656.027236679598</v>
      </c>
      <c r="F9">
        <v>57837.844750427663</v>
      </c>
      <c r="G9">
        <v>183573.35652607426</v>
      </c>
      <c r="H9">
        <v>126140.92720333234</v>
      </c>
      <c r="I9">
        <v>125322.1979533093</v>
      </c>
      <c r="J9">
        <v>85550.508219307143</v>
      </c>
      <c r="K9">
        <v>19562.582574184216</v>
      </c>
      <c r="L9">
        <v>112023.69417633368</v>
      </c>
      <c r="M9">
        <v>138668.89027756942</v>
      </c>
      <c r="N9">
        <v>182443.3118846291</v>
      </c>
      <c r="O9">
        <v>166689.15591812474</v>
      </c>
      <c r="P9" s="13">
        <f>SQRT(SUMXMY2('Coordenadas dos Polos'!$B$9:$O$9,'Coordenadas dos Polos'!$P$2:$AC$2))</f>
        <v>484713.60389459366</v>
      </c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>
        <f>SQRT(SUMXMY2('Coordenadas dos Polos'!$B$9:$O$9,'Coordenadas dos Polos'!$AD$2:$AQ$2))</f>
        <v>240960.44235465903</v>
      </c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>
        <f>SQRT(SUMXMY2('Coordenadas dos Polos'!$B$9:$O$9,'Coordenadas dos Polos'!$AR$2:$BE$2))</f>
        <v>304831.84875961056</v>
      </c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>
        <f>SQRT(SUMXMY2('Coordenadas dos Polos'!$B$9:$O$9,'Coordenadas dos Polos'!$BF$2:$BS$2))</f>
        <v>321967.88504137541</v>
      </c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>
        <f>SQRT(SUMXMY2('Coordenadas dos Polos'!$B$9:$O$9,'Coordenadas dos Polos'!$BT$2:$CG$2))</f>
        <v>215635.64386786486</v>
      </c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>
        <f>SQRT(SUMXMY2('Coordenadas dos Polos'!$B$9:$O$9,'Coordenadas dos Polos'!$CH$2:$CU$2))</f>
        <v>301120.20060075581</v>
      </c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>
        <f>SQRT(SUMXMY2('Coordenadas dos Polos'!$B$9:$O$9,'Coordenadas dos Polos'!$CV$2:$DI$2))</f>
        <v>0</v>
      </c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>
        <f>SQRT(SUMXMY2('Coordenadas dos Polos'!$B$9:$O$9,'Coordenadas dos Polos'!$DJ$2:$DW$2))</f>
        <v>303288.29817064083</v>
      </c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>
        <f>SQRT(SUMXMY2('Coordenadas dos Polos'!$B$9:$O$9,'Coordenadas dos Polos'!$DX$2:$EK$2))</f>
        <v>267842.58016425447</v>
      </c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>
        <f>SQRT(SUMXMY2('Coordenadas dos Polos'!$B$9:$O$9,'Coordenadas dos Polos'!$EL$2:$EY$2))</f>
        <v>358878.53458680119</v>
      </c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>
        <f>SQRT(SUMXMY2('Coordenadas dos Polos'!$B$9:$O$9,'Coordenadas dos Polos'!$EZ$2:$FM$2))</f>
        <v>260065.07317904444</v>
      </c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>
        <f>SQRT(SUMXMY2('Coordenadas dos Polos'!$B$9:$O$9,'Coordenadas dos Polos'!$FN$2:$GA$2))</f>
        <v>264177.00703090976</v>
      </c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>
        <f>SQRT(SUMXMY2('Coordenadas dos Polos'!$B$9:$O$9,'Coordenadas dos Polos'!$GB$2:$GO$2))</f>
        <v>332452.32904814853</v>
      </c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>
        <f>SQRT(SUMXMY2('Coordenadas dos Polos'!$B$9:$O$9,'Coordenadas dos Polos'!$GP$2:$HC$2))</f>
        <v>332657.98026300123</v>
      </c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</row>
    <row r="10" spans="1:211" x14ac:dyDescent="0.25">
      <c r="A10" t="s">
        <v>28</v>
      </c>
      <c r="B10">
        <v>4518.4132653248644</v>
      </c>
      <c r="C10">
        <v>108493.60043079154</v>
      </c>
      <c r="D10">
        <v>182931.79070279296</v>
      </c>
      <c r="E10">
        <v>85910.869054878305</v>
      </c>
      <c r="F10">
        <v>135366.80250606447</v>
      </c>
      <c r="G10">
        <v>100325.70712346659</v>
      </c>
      <c r="H10">
        <v>102578.71510587918</v>
      </c>
      <c r="I10">
        <v>92443.898355441474</v>
      </c>
      <c r="J10">
        <v>70578.40155648574</v>
      </c>
      <c r="K10">
        <v>80833.826540606155</v>
      </c>
      <c r="L10">
        <v>53857.701630826799</v>
      </c>
      <c r="M10">
        <v>11100.440404655707</v>
      </c>
      <c r="N10">
        <v>48688.923546668506</v>
      </c>
      <c r="O10">
        <v>195493.91063815786</v>
      </c>
      <c r="P10" s="13">
        <f>SQRT(SUMXMY2('Coordenadas dos Polos'!$B$10:$O$10,'Coordenadas dos Polos'!$P$2:$AC$2))</f>
        <v>393981.53660439776</v>
      </c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>
        <f>SQRT(SUMXMY2('Coordenadas dos Polos'!$B$10:$O$10,'Coordenadas dos Polos'!$AD$2:$AQ$2))</f>
        <v>286293.00258578395</v>
      </c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>
        <f>SQRT(SUMXMY2('Coordenadas dos Polos'!$B$10:$O$10,'Coordenadas dos Polos'!$AR$2:$BE$2))</f>
        <v>209671.91958329495</v>
      </c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>
        <f>SQRT(SUMXMY2('Coordenadas dos Polos'!$B$10:$O$10,'Coordenadas dos Polos'!$BF$2:$BS$2))</f>
        <v>239807.56608978286</v>
      </c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>
        <f>SQRT(SUMXMY2('Coordenadas dos Polos'!$B$10:$O$10,'Coordenadas dos Polos'!$BT$2:$CG$2))</f>
        <v>360163.95892956533</v>
      </c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>
        <f>SQRT(SUMXMY2('Coordenadas dos Polos'!$B$10:$O$10,'Coordenadas dos Polos'!$CH$2:$CU$2))</f>
        <v>257666.90279200359</v>
      </c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>
        <f>SQRT(SUMXMY2('Coordenadas dos Polos'!$B$10:$O$10,'Coordenadas dos Polos'!$CV$2:$DI$2))</f>
        <v>303288.29817064083</v>
      </c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>
        <f>SQRT(SUMXMY2('Coordenadas dos Polos'!$B$10:$O$10,'Coordenadas dos Polos'!$DJ$2:$DW$2))</f>
        <v>0</v>
      </c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>
        <f>SQRT(SUMXMY2('Coordenadas dos Polos'!$B$10:$O$10,'Coordenadas dos Polos'!$DX$2:$EK$2))</f>
        <v>283619.67680755729</v>
      </c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>
        <f>SQRT(SUMXMY2('Coordenadas dos Polos'!$B$10:$O$10,'Coordenadas dos Polos'!$EL$2:$EY$2))</f>
        <v>221854.75407925225</v>
      </c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>
        <f>SQRT(SUMXMY2('Coordenadas dos Polos'!$B$10:$O$10,'Coordenadas dos Polos'!$EZ$2:$FM$2))</f>
        <v>258603.30176603099</v>
      </c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>
        <f>SQRT(SUMXMY2('Coordenadas dos Polos'!$B$10:$O$10,'Coordenadas dos Polos'!$FN$2:$GA$2))</f>
        <v>260892.1707472018</v>
      </c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>
        <f>SQRT(SUMXMY2('Coordenadas dos Polos'!$B$10:$O$10,'Coordenadas dos Polos'!$GB$2:$GO$2))</f>
        <v>250395.52237461915</v>
      </c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>
        <f>SQRT(SUMXMY2('Coordenadas dos Polos'!$B$10:$O$10,'Coordenadas dos Polos'!$GP$2:$HC$2))</f>
        <v>263265.71274566901</v>
      </c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</row>
    <row r="11" spans="1:211" x14ac:dyDescent="0.25">
      <c r="A11" t="s">
        <v>29</v>
      </c>
      <c r="B11">
        <v>12163.242444925889</v>
      </c>
      <c r="C11">
        <v>77930.06489630921</v>
      </c>
      <c r="D11">
        <v>72879.169637750587</v>
      </c>
      <c r="E11">
        <v>97817.998449417588</v>
      </c>
      <c r="F11">
        <v>31081.478182364408</v>
      </c>
      <c r="G11">
        <v>94735.954651916909</v>
      </c>
      <c r="H11">
        <v>51369.011306632252</v>
      </c>
      <c r="I11">
        <v>125543.80100355321</v>
      </c>
      <c r="J11">
        <v>108235.94820551065</v>
      </c>
      <c r="K11">
        <v>31209.096308452776</v>
      </c>
      <c r="L11">
        <v>187400.67447015515</v>
      </c>
      <c r="M11">
        <v>130684.84895306766</v>
      </c>
      <c r="N11">
        <v>101051.20123409055</v>
      </c>
      <c r="O11">
        <v>77966.006959238148</v>
      </c>
      <c r="P11" s="13">
        <f>SQRT(SUMXMY2('Coordenadas dos Polos'!$B$11:$O$11,'Coordenadas dos Polos'!$P$2:$AC$2))</f>
        <v>361411.63315286196</v>
      </c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>
        <f>SQRT(SUMXMY2('Coordenadas dos Polos'!$B$11:$O$11,'Coordenadas dos Polos'!$AD$2:$AQ$2))</f>
        <v>298361.0357512419</v>
      </c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>
        <f>SQRT(SUMXMY2('Coordenadas dos Polos'!$B$11:$O$11,'Coordenadas dos Polos'!$AR$2:$BE$2))</f>
        <v>313094.79335918103</v>
      </c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>
        <f>SQRT(SUMXMY2('Coordenadas dos Polos'!$B$11:$O$11,'Coordenadas dos Polos'!$BF$2:$BS$2))</f>
        <v>354358.97741655476</v>
      </c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>
        <f>SQRT(SUMXMY2('Coordenadas dos Polos'!$B$11:$O$11,'Coordenadas dos Polos'!$BT$2:$CG$2))</f>
        <v>281878.1838666125</v>
      </c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>
        <f>SQRT(SUMXMY2('Coordenadas dos Polos'!$B$11:$O$11,'Coordenadas dos Polos'!$CH$2:$CU$2))</f>
        <v>227731.10187985672</v>
      </c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>
        <f>SQRT(SUMXMY2('Coordenadas dos Polos'!$B$11:$O$11,'Coordenadas dos Polos'!$CV$2:$DI$2))</f>
        <v>267842.58016425447</v>
      </c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>
        <f>SQRT(SUMXMY2('Coordenadas dos Polos'!$B$11:$O$11,'Coordenadas dos Polos'!$DJ$2:$DW$2))</f>
        <v>283619.67680755729</v>
      </c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>
        <f>SQRT(SUMXMY2('Coordenadas dos Polos'!$B$11:$O$11,'Coordenadas dos Polos'!$DX$2:$EK$2))</f>
        <v>0</v>
      </c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>
        <f>SQRT(SUMXMY2('Coordenadas dos Polos'!$B$11:$O$11,'Coordenadas dos Polos'!$EL$2:$EY$2))</f>
        <v>277693.45799308398</v>
      </c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>
        <f>SQRT(SUMXMY2('Coordenadas dos Polos'!$B$11:$O$11,'Coordenadas dos Polos'!$EZ$2:$FM$2))</f>
        <v>259805.66044632153</v>
      </c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>
        <f>SQRT(SUMXMY2('Coordenadas dos Polos'!$B$11:$O$11,'Coordenadas dos Polos'!$FN$2:$GA$2))</f>
        <v>246066.51688152915</v>
      </c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>
        <f>SQRT(SUMXMY2('Coordenadas dos Polos'!$B$11:$O$11,'Coordenadas dos Polos'!$GB$2:$GO$2))</f>
        <v>261564.05691066876</v>
      </c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>
        <f>SQRT(SUMXMY2('Coordenadas dos Polos'!$B$11:$O$11,'Coordenadas dos Polos'!$GP$2:$HC$2))</f>
        <v>279318.62631333561</v>
      </c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</row>
    <row r="12" spans="1:211" x14ac:dyDescent="0.25">
      <c r="A12" t="s">
        <v>30</v>
      </c>
      <c r="B12">
        <v>21439.793676118752</v>
      </c>
      <c r="C12">
        <v>156541.47381337371</v>
      </c>
      <c r="D12">
        <v>91777.149285419233</v>
      </c>
      <c r="E12">
        <v>150489.99674798609</v>
      </c>
      <c r="F12">
        <v>119023.06579272699</v>
      </c>
      <c r="G12">
        <v>166272.44221236533</v>
      </c>
      <c r="H12">
        <v>3745.5160962088848</v>
      </c>
      <c r="I12">
        <v>42004.61624547965</v>
      </c>
      <c r="J12">
        <v>14766.376105916646</v>
      </c>
      <c r="K12">
        <v>21055.891979463675</v>
      </c>
      <c r="L12">
        <v>66229.91179859011</v>
      </c>
      <c r="M12">
        <v>25607.847137303983</v>
      </c>
      <c r="N12">
        <v>48.172744593827886</v>
      </c>
      <c r="O12">
        <v>107182.4530172969</v>
      </c>
      <c r="P12" s="13">
        <f>SQRT(SUMXMY2('Coordenadas dos Polos'!$B$12:$O$12,'Coordenadas dos Polos'!$P$2:$AC$2))</f>
        <v>341786.85462295508</v>
      </c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>
        <f>SQRT(SUMXMY2('Coordenadas dos Polos'!$B$12:$O$12,'Coordenadas dos Polos'!$AD$2:$AQ$2))</f>
        <v>341642.62018113746</v>
      </c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>
        <f>SQRT(SUMXMY2('Coordenadas dos Polos'!$B$12:$O$12,'Coordenadas dos Polos'!$AR$2:$BE$2))</f>
        <v>306369.17614049034</v>
      </c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>
        <f>SQRT(SUMXMY2('Coordenadas dos Polos'!$B$12:$O$12,'Coordenadas dos Polos'!$BF$2:$BS$2))</f>
        <v>333472.57232291455</v>
      </c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>
        <f>SQRT(SUMXMY2('Coordenadas dos Polos'!$B$12:$O$12,'Coordenadas dos Polos'!$BT$2:$CG$2))</f>
        <v>372155.23325069412</v>
      </c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>
        <f>SQRT(SUMXMY2('Coordenadas dos Polos'!$B$12:$O$12,'Coordenadas dos Polos'!$CH$2:$CU$2))</f>
        <v>266976.79423651216</v>
      </c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>
        <f>SQRT(SUMXMY2('Coordenadas dos Polos'!$B$12:$O$12,'Coordenadas dos Polos'!$CV$2:$DI$2))</f>
        <v>358878.53458680119</v>
      </c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>
        <f>SQRT(SUMXMY2('Coordenadas dos Polos'!$B$12:$O$12,'Coordenadas dos Polos'!$DJ$2:$DW$2))</f>
        <v>221854.75407925225</v>
      </c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>
        <f>SQRT(SUMXMY2('Coordenadas dos Polos'!$B$12:$O$12,'Coordenadas dos Polos'!$DX$2:$EK$2))</f>
        <v>277693.45799308398</v>
      </c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>
        <f>SQRT(SUMXMY2('Coordenadas dos Polos'!$B$12:$O$12,'Coordenadas dos Polos'!$EL$2:$EY$2))</f>
        <v>0</v>
      </c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>
        <f>SQRT(SUMXMY2('Coordenadas dos Polos'!$B$12:$O$12,'Coordenadas dos Polos'!$EZ$2:$FM$2))</f>
        <v>301751.75972805737</v>
      </c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>
        <f>SQRT(SUMXMY2('Coordenadas dos Polos'!$B$12:$O$12,'Coordenadas dos Polos'!$FN$2:$GA$2))</f>
        <v>345897.36250972218</v>
      </c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>
        <f>SQRT(SUMXMY2('Coordenadas dos Polos'!$B$12:$O$12,'Coordenadas dos Polos'!$GB$2:$GO$2))</f>
        <v>277115.27770267747</v>
      </c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>
        <f>SQRT(SUMXMY2('Coordenadas dos Polos'!$B$12:$O$12,'Coordenadas dos Polos'!$GP$2:$HC$2))</f>
        <v>305949.10073802585</v>
      </c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</row>
    <row r="13" spans="1:211" x14ac:dyDescent="0.25">
      <c r="A13" t="s">
        <v>31</v>
      </c>
      <c r="B13">
        <v>131195.11913455033</v>
      </c>
      <c r="C13">
        <v>108624.06297841633</v>
      </c>
      <c r="D13">
        <v>165210.52087165037</v>
      </c>
      <c r="E13">
        <v>16351.813825478492</v>
      </c>
      <c r="F13">
        <v>38321.447396165371</v>
      </c>
      <c r="G13">
        <v>135559.61620192922</v>
      </c>
      <c r="H13">
        <v>90692.341657614088</v>
      </c>
      <c r="I13">
        <v>71287.328994395444</v>
      </c>
      <c r="J13">
        <v>29946.946733725807</v>
      </c>
      <c r="K13">
        <v>140647.72696736825</v>
      </c>
      <c r="L13">
        <v>185452.04339483104</v>
      </c>
      <c r="M13">
        <v>105868.3064647764</v>
      </c>
      <c r="N13">
        <v>17898.834002280542</v>
      </c>
      <c r="O13">
        <v>151296.90796208582</v>
      </c>
      <c r="P13" s="13">
        <f>SQRT(SUMXMY2('Coordenadas dos Polos'!$B$13:$O$13,'Coordenadas dos Polos'!$P$2:$AC$2))</f>
        <v>423338.46435317938</v>
      </c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>
        <f>SQRT(SUMXMY2('Coordenadas dos Polos'!$B$13:$O$13,'Coordenadas dos Polos'!$AD$2:$AQ$2))</f>
        <v>304076.99961652089</v>
      </c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>
        <f>SQRT(SUMXMY2('Coordenadas dos Polos'!$B$13:$O$13,'Coordenadas dos Polos'!$AR$2:$BE$2))</f>
        <v>259386.75780771126</v>
      </c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>
        <f>SQRT(SUMXMY2('Coordenadas dos Polos'!$B$13:$O$13,'Coordenadas dos Polos'!$BF$2:$BS$2))</f>
        <v>293110.37655784265</v>
      </c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>
        <f>SQRT(SUMXMY2('Coordenadas dos Polos'!$B$13:$O$13,'Coordenadas dos Polos'!$BT$2:$CG$2))</f>
        <v>289714.26820391434</v>
      </c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>
        <f>SQRT(SUMXMY2('Coordenadas dos Polos'!$B$13:$O$13,'Coordenadas dos Polos'!$CH$2:$CU$2))</f>
        <v>306881.39101298165</v>
      </c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>
        <f>SQRT(SUMXMY2('Coordenadas dos Polos'!$B$13:$O$13,'Coordenadas dos Polos'!$CV$2:$DI$2))</f>
        <v>260065.07317904444</v>
      </c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>
        <f>SQRT(SUMXMY2('Coordenadas dos Polos'!$B$13:$O$13,'Coordenadas dos Polos'!$DJ$2:$DW$2))</f>
        <v>258603.30176603099</v>
      </c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>
        <f>SQRT(SUMXMY2('Coordenadas dos Polos'!$B$13:$O$13,'Coordenadas dos Polos'!$DX$2:$EK$2))</f>
        <v>259805.66044632153</v>
      </c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>
        <f>SQRT(SUMXMY2('Coordenadas dos Polos'!$B$13:$O$13,'Coordenadas dos Polos'!$EL$2:$EY$2))</f>
        <v>301751.75972805737</v>
      </c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>
        <f>SQRT(SUMXMY2('Coordenadas dos Polos'!$B$13:$O$13,'Coordenadas dos Polos'!$EZ$2:$FM$2))</f>
        <v>0</v>
      </c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>
        <f>SQRT(SUMXMY2('Coordenadas dos Polos'!$B$13:$O$13,'Coordenadas dos Polos'!$FN$2:$GA$2))</f>
        <v>315694.31424779951</v>
      </c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>
        <f>SQRT(SUMXMY2('Coordenadas dos Polos'!$B$13:$O$13,'Coordenadas dos Polos'!$GB$2:$GO$2))</f>
        <v>234992.79912567444</v>
      </c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>
        <f>SQRT(SUMXMY2('Coordenadas dos Polos'!$B$13:$O$13,'Coordenadas dos Polos'!$GP$2:$HC$2))</f>
        <v>332449.95445060078</v>
      </c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</row>
    <row r="14" spans="1:211" x14ac:dyDescent="0.25">
      <c r="A14" t="s">
        <v>32</v>
      </c>
      <c r="B14">
        <v>80236.390905848166</v>
      </c>
      <c r="C14">
        <v>92223.128399371417</v>
      </c>
      <c r="D14">
        <v>98271.427805553059</v>
      </c>
      <c r="E14">
        <v>41457.249570570006</v>
      </c>
      <c r="F14">
        <v>65838.85739338526</v>
      </c>
      <c r="G14">
        <v>19054.466536208212</v>
      </c>
      <c r="H14">
        <v>117764.73654985438</v>
      </c>
      <c r="I14">
        <v>33918.88982638692</v>
      </c>
      <c r="J14">
        <v>185218.53899924643</v>
      </c>
      <c r="K14">
        <v>19553.799381322777</v>
      </c>
      <c r="L14">
        <v>88626.672752209503</v>
      </c>
      <c r="M14">
        <v>54499.695902540385</v>
      </c>
      <c r="N14">
        <v>174222.69561744484</v>
      </c>
      <c r="O14">
        <v>149890.90682622575</v>
      </c>
      <c r="P14" s="13">
        <f>SQRT(SUMXMY2('Coordenadas dos Polos'!$B$14:$O$14,'Coordenadas dos Polos'!$P$2:$AC$2))</f>
        <v>379960.27010079997</v>
      </c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>
        <f>SQRT(SUMXMY2('Coordenadas dos Polos'!$B$14:$O$14,'Coordenadas dos Polos'!$AD$2:$AQ$2))</f>
        <v>269460.61782290693</v>
      </c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>
        <f>SQRT(SUMXMY2('Coordenadas dos Polos'!$B$14:$O$14,'Coordenadas dos Polos'!$AR$2:$BE$2))</f>
        <v>303984.20668522018</v>
      </c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>
        <f>SQRT(SUMXMY2('Coordenadas dos Polos'!$B$14:$O$14,'Coordenadas dos Polos'!$BF$2:$BS$2))</f>
        <v>351732.09473771381</v>
      </c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>
        <f>SQRT(SUMXMY2('Coordenadas dos Polos'!$B$14:$O$14,'Coordenadas dos Polos'!$BT$2:$CG$2))</f>
        <v>285050.20631072717</v>
      </c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>
        <f>SQRT(SUMXMY2('Coordenadas dos Polos'!$B$14:$O$14,'Coordenadas dos Polos'!$CH$2:$CU$2))</f>
        <v>246836.94886721621</v>
      </c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>
        <f>SQRT(SUMXMY2('Coordenadas dos Polos'!$B$14:$O$14,'Coordenadas dos Polos'!$CV$2:$DI$2))</f>
        <v>264177.00703090976</v>
      </c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>
        <f>SQRT(SUMXMY2('Coordenadas dos Polos'!$B$14:$O$14,'Coordenadas dos Polos'!$DJ$2:$DW$2))</f>
        <v>260892.1707472018</v>
      </c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>
        <f>SQRT(SUMXMY2('Coordenadas dos Polos'!$B$14:$O$14,'Coordenadas dos Polos'!$DX$2:$EK$2))</f>
        <v>246066.51688152915</v>
      </c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>
        <f>SQRT(SUMXMY2('Coordenadas dos Polos'!$B$14:$O$14,'Coordenadas dos Polos'!$EL$2:$EY$2))</f>
        <v>345897.36250972218</v>
      </c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>
        <f>SQRT(SUMXMY2('Coordenadas dos Polos'!$B$14:$O$14,'Coordenadas dos Polos'!$EZ$2:$FM$2))</f>
        <v>315694.31424779951</v>
      </c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>
        <f>SQRT(SUMXMY2('Coordenadas dos Polos'!$B$14:$O$14,'Coordenadas dos Polos'!$FN$2:$GA$2))</f>
        <v>0</v>
      </c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>
        <f>SQRT(SUMXMY2('Coordenadas dos Polos'!$B$14:$O$14,'Coordenadas dos Polos'!$GB$2:$GO$2))</f>
        <v>264220.94457532413</v>
      </c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>
        <f>SQRT(SUMXMY2('Coordenadas dos Polos'!$B$14:$O$14,'Coordenadas dos Polos'!$GP$2:$HC$2))</f>
        <v>238576.33376841471</v>
      </c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</row>
    <row r="15" spans="1:211" x14ac:dyDescent="0.25">
      <c r="A15" t="s">
        <v>33</v>
      </c>
      <c r="B15">
        <v>54498.803301639833</v>
      </c>
      <c r="C15">
        <v>134508.01332762465</v>
      </c>
      <c r="D15">
        <v>51241.476489961271</v>
      </c>
      <c r="E15">
        <v>17949.783661684098</v>
      </c>
      <c r="F15">
        <v>6179.9600883405092</v>
      </c>
      <c r="G15">
        <v>64437.509683553428</v>
      </c>
      <c r="H15">
        <v>157766.18175565882</v>
      </c>
      <c r="I15">
        <v>59353.945232034566</v>
      </c>
      <c r="J15">
        <v>46979.152472332324</v>
      </c>
      <c r="K15">
        <v>95937.0860290821</v>
      </c>
      <c r="L15">
        <v>50836.735537614622</v>
      </c>
      <c r="M15">
        <v>68009.412855277464</v>
      </c>
      <c r="N15">
        <v>8972.0157052695977</v>
      </c>
      <c r="O15">
        <v>96327.116918587635</v>
      </c>
      <c r="P15" s="13">
        <f>SQRT(SUMXMY2('Coordenadas dos Polos'!$B$15:$O$15,'Coordenadas dos Polos'!$P$2:$AC$2))</f>
        <v>290850.27422675781</v>
      </c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>
        <f>SQRT(SUMXMY2('Coordenadas dos Polos'!$B$15:$O$15,'Coordenadas dos Polos'!$AD$2:$AQ$2))</f>
        <v>324811.59434419259</v>
      </c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>
        <f>SQRT(SUMXMY2('Coordenadas dos Polos'!$B$15:$O$15,'Coordenadas dos Polos'!$AR$2:$BE$2))</f>
        <v>286820.81199774798</v>
      </c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>
        <f>SQRT(SUMXMY2('Coordenadas dos Polos'!$B$15:$O$15,'Coordenadas dos Polos'!$BF$2:$BS$2))</f>
        <v>319760.83120332356</v>
      </c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>
        <f>SQRT(SUMXMY2('Coordenadas dos Polos'!$B$15:$O$15,'Coordenadas dos Polos'!$BT$2:$CG$2))</f>
        <v>316572.59947125165</v>
      </c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>
        <f>SQRT(SUMXMY2('Coordenadas dos Polos'!$B$15:$O$15,'Coordenadas dos Polos'!$CH$2:$CU$2))</f>
        <v>203537.45469307521</v>
      </c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>
        <f>SQRT(SUMXMY2('Coordenadas dos Polos'!$B$15:$O$15,'Coordenadas dos Polos'!$CV$2:$DI$2))</f>
        <v>332452.32904814853</v>
      </c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>
        <f>SQRT(SUMXMY2('Coordenadas dos Polos'!$B$15:$O$15,'Coordenadas dos Polos'!$DJ$2:$DW$2))</f>
        <v>250395.52237461915</v>
      </c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>
        <f>SQRT(SUMXMY2('Coordenadas dos Polos'!$B$15:$O$15,'Coordenadas dos Polos'!$DX$2:$EK$2))</f>
        <v>261564.05691066876</v>
      </c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>
        <f>SQRT(SUMXMY2('Coordenadas dos Polos'!$B$15:$O$15,'Coordenadas dos Polos'!$EL$2:$EY$2))</f>
        <v>277115.27770267747</v>
      </c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>
        <f>SQRT(SUMXMY2('Coordenadas dos Polos'!$B$15:$O$15,'Coordenadas dos Polos'!$EZ$2:$FM$2))</f>
        <v>234992.79912567444</v>
      </c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>
        <f>SQRT(SUMXMY2('Coordenadas dos Polos'!$B$15:$O$15,'Coordenadas dos Polos'!$FN$2:$GA$2))</f>
        <v>264220.94457532413</v>
      </c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>
        <f>SQRT(SUMXMY2('Coordenadas dos Polos'!$B$15:$O$15,'Coordenadas dos Polos'!$GB$2:$GO$2))</f>
        <v>0</v>
      </c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>
        <f>SQRT(SUMXMY2('Coordenadas dos Polos'!$B$15:$O$15,'Coordenadas dos Polos'!$GP$2:$HC$2))</f>
        <v>346428.09683873848</v>
      </c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</row>
    <row r="16" spans="1:211" x14ac:dyDescent="0.25">
      <c r="A16" t="s">
        <v>34</v>
      </c>
      <c r="B16">
        <v>41135.758528881575</v>
      </c>
      <c r="C16">
        <v>172622.85727002073</v>
      </c>
      <c r="D16">
        <v>117532.32707804113</v>
      </c>
      <c r="E16">
        <v>150733.64108980098</v>
      </c>
      <c r="F16">
        <v>185271.76181561008</v>
      </c>
      <c r="G16">
        <v>66094.629206102327</v>
      </c>
      <c r="H16">
        <v>108409.85066362901</v>
      </c>
      <c r="I16">
        <v>16111.763689956497</v>
      </c>
      <c r="J16">
        <v>126665.96695438282</v>
      </c>
      <c r="K16">
        <v>81872.623567324132</v>
      </c>
      <c r="L16">
        <v>191769.01567207908</v>
      </c>
      <c r="M16">
        <v>22887.009170893663</v>
      </c>
      <c r="N16">
        <v>184385.63524692264</v>
      </c>
      <c r="O16">
        <v>123838.14779470491</v>
      </c>
      <c r="P16" s="13">
        <f>SQRT(SUMXMY2('Coordenadas dos Polos'!$B$16:$O$16,'Coordenadas dos Polos'!$P$2:$AC$2))</f>
        <v>477610.9336082993</v>
      </c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>
        <f>SQRT(SUMXMY2('Coordenadas dos Polos'!$B$16:$O$16,'Coordenadas dos Polos'!$AD$2:$AQ$2))</f>
        <v>345161.33376032772</v>
      </c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>
        <f>SQRT(SUMXMY2('Coordenadas dos Polos'!$B$16:$O$16,'Coordenadas dos Polos'!$AR$2:$BE$2))</f>
        <v>269083.79352941242</v>
      </c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>
        <f>SQRT(SUMXMY2('Coordenadas dos Polos'!$B$16:$O$16,'Coordenadas dos Polos'!$BF$2:$BS$2))</f>
        <v>342281.63949431159</v>
      </c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>
        <f>SQRT(SUMXMY2('Coordenadas dos Polos'!$B$16:$O$16,'Coordenadas dos Polos'!$BT$2:$CG$2))</f>
        <v>380674.19967768947</v>
      </c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>
        <f>SQRT(SUMXMY2('Coordenadas dos Polos'!$B$16:$O$16,'Coordenadas dos Polos'!$CH$2:$CU$2))</f>
        <v>325339.88224202301</v>
      </c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>
        <f>SQRT(SUMXMY2('Coordenadas dos Polos'!$B$16:$O$16,'Coordenadas dos Polos'!$CV$2:$DI$2))</f>
        <v>332657.98026300123</v>
      </c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>
        <f>SQRT(SUMXMY2('Coordenadas dos Polos'!$B$16:$O$16,'Coordenadas dos Polos'!$DJ$2:$DW$2))</f>
        <v>263265.71274566901</v>
      </c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>
        <f>SQRT(SUMXMY2('Coordenadas dos Polos'!$B$16:$O$16,'Coordenadas dos Polos'!$DX$2:$EK$2))</f>
        <v>279318.62631333561</v>
      </c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>
        <f>SQRT(SUMXMY2('Coordenadas dos Polos'!$B$16:$O$16,'Coordenadas dos Polos'!$EL$2:$EY$2))</f>
        <v>305949.10073802585</v>
      </c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>
        <f>SQRT(SUMXMY2('Coordenadas dos Polos'!$B$16:$O$16,'Coordenadas dos Polos'!$EZ$2:$FM$2))</f>
        <v>332449.95445060078</v>
      </c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>
        <f>SQRT(SUMXMY2('Coordenadas dos Polos'!$B$16:$O$16,'Coordenadas dos Polos'!$FN$2:$GA$2))</f>
        <v>238576.33376841471</v>
      </c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>
        <f>SQRT(SUMXMY2('Coordenadas dos Polos'!$B$16:$O$16,'Coordenadas dos Polos'!$GB$2:$GO$2))</f>
        <v>346428.09683873848</v>
      </c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>
        <f>SQRT(SUMXMY2('Coordenadas dos Polos'!$B$16:$O$16,'Coordenadas dos Polos'!$GP$2:$HC$2))</f>
        <v>0</v>
      </c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</row>
  </sheetData>
  <mergeCells count="210">
    <mergeCell ref="EZ5:FM5"/>
    <mergeCell ref="FN5:GA5"/>
    <mergeCell ref="GB5:GO5"/>
    <mergeCell ref="GP5:HC5"/>
    <mergeCell ref="P6:AC6"/>
    <mergeCell ref="AD6:AQ6"/>
    <mergeCell ref="AR6:BE6"/>
    <mergeCell ref="BF6:BS6"/>
    <mergeCell ref="BT6:CG6"/>
    <mergeCell ref="CH6:CU6"/>
    <mergeCell ref="CV6:DI6"/>
    <mergeCell ref="DJ6:DW6"/>
    <mergeCell ref="DX6:EK6"/>
    <mergeCell ref="EL6:EY6"/>
    <mergeCell ref="EZ6:FM6"/>
    <mergeCell ref="FN6:GA6"/>
    <mergeCell ref="GB6:GO6"/>
    <mergeCell ref="GP6:HC6"/>
    <mergeCell ref="AD5:AQ5"/>
    <mergeCell ref="AR5:BE5"/>
    <mergeCell ref="BF5:BS5"/>
    <mergeCell ref="BT5:CG5"/>
    <mergeCell ref="CH5:CU5"/>
    <mergeCell ref="CV5:DI5"/>
    <mergeCell ref="DJ5:DW5"/>
    <mergeCell ref="DX5:EK5"/>
    <mergeCell ref="EL5:EY5"/>
    <mergeCell ref="GP3:HC3"/>
    <mergeCell ref="P4:AC4"/>
    <mergeCell ref="AD4:AQ4"/>
    <mergeCell ref="AR4:BE4"/>
    <mergeCell ref="BF4:BS4"/>
    <mergeCell ref="BT4:CG4"/>
    <mergeCell ref="CH4:CU4"/>
    <mergeCell ref="CV4:DI4"/>
    <mergeCell ref="DJ4:DW4"/>
    <mergeCell ref="DX4:EK4"/>
    <mergeCell ref="EL4:EY4"/>
    <mergeCell ref="EZ4:FM4"/>
    <mergeCell ref="FN4:GA4"/>
    <mergeCell ref="GB4:GO4"/>
    <mergeCell ref="GP4:HC4"/>
    <mergeCell ref="BT3:CG3"/>
    <mergeCell ref="CH3:CU3"/>
    <mergeCell ref="CV3:DI3"/>
    <mergeCell ref="DJ3:DW3"/>
    <mergeCell ref="DX3:EK3"/>
    <mergeCell ref="EL3:EY3"/>
    <mergeCell ref="EZ3:FM3"/>
    <mergeCell ref="FN3:GA3"/>
    <mergeCell ref="GB3:GO3"/>
    <mergeCell ref="P16:AC16"/>
    <mergeCell ref="AD16:AQ16"/>
    <mergeCell ref="AR16:BE16"/>
    <mergeCell ref="BF16:BS16"/>
    <mergeCell ref="BT16:CG16"/>
    <mergeCell ref="CH16:CU16"/>
    <mergeCell ref="CV16:DI16"/>
    <mergeCell ref="DJ16:DW16"/>
    <mergeCell ref="DX16:EK16"/>
    <mergeCell ref="EL16:EY16"/>
    <mergeCell ref="EZ16:FM16"/>
    <mergeCell ref="FN16:GA16"/>
    <mergeCell ref="GB16:GO16"/>
    <mergeCell ref="P14:AC14"/>
    <mergeCell ref="AD14:AQ14"/>
    <mergeCell ref="AR14:BE14"/>
    <mergeCell ref="BF14:BS14"/>
    <mergeCell ref="BT14:CG14"/>
    <mergeCell ref="CH14:CU14"/>
    <mergeCell ref="CV14:DI14"/>
    <mergeCell ref="DJ14:DW14"/>
    <mergeCell ref="GP16:HC16"/>
    <mergeCell ref="P15:AC15"/>
    <mergeCell ref="AD15:AQ15"/>
    <mergeCell ref="AR15:BE15"/>
    <mergeCell ref="BF15:BS15"/>
    <mergeCell ref="BT15:CG15"/>
    <mergeCell ref="CH15:CU15"/>
    <mergeCell ref="CV15:DI15"/>
    <mergeCell ref="DJ15:DW15"/>
    <mergeCell ref="DX15:EK15"/>
    <mergeCell ref="EL15:EY15"/>
    <mergeCell ref="EZ15:FM15"/>
    <mergeCell ref="FN15:GA15"/>
    <mergeCell ref="GB15:GO15"/>
    <mergeCell ref="GP15:HC15"/>
    <mergeCell ref="GP14:HC14"/>
    <mergeCell ref="P13:AC13"/>
    <mergeCell ref="AD13:AQ13"/>
    <mergeCell ref="AR13:BE13"/>
    <mergeCell ref="BF13:BS13"/>
    <mergeCell ref="BT13:CG13"/>
    <mergeCell ref="CH13:CU13"/>
    <mergeCell ref="CV13:DI13"/>
    <mergeCell ref="DJ13:DW13"/>
    <mergeCell ref="DX13:EK13"/>
    <mergeCell ref="EL13:EY13"/>
    <mergeCell ref="EZ13:FM13"/>
    <mergeCell ref="FN13:GA13"/>
    <mergeCell ref="GB13:GO13"/>
    <mergeCell ref="GP13:HC13"/>
    <mergeCell ref="DX14:EK14"/>
    <mergeCell ref="EL14:EY14"/>
    <mergeCell ref="EZ14:FM14"/>
    <mergeCell ref="FN14:GA14"/>
    <mergeCell ref="GB14:GO14"/>
    <mergeCell ref="EL12:EY12"/>
    <mergeCell ref="EZ12:FM12"/>
    <mergeCell ref="FN12:GA12"/>
    <mergeCell ref="GB12:GO12"/>
    <mergeCell ref="GP12:HC12"/>
    <mergeCell ref="P11:AC11"/>
    <mergeCell ref="AD11:AQ11"/>
    <mergeCell ref="AR11:BE11"/>
    <mergeCell ref="BF11:BS11"/>
    <mergeCell ref="BT11:CG11"/>
    <mergeCell ref="CH11:CU11"/>
    <mergeCell ref="CV11:DI11"/>
    <mergeCell ref="DJ11:DW11"/>
    <mergeCell ref="DX11:EK11"/>
    <mergeCell ref="EL11:EY11"/>
    <mergeCell ref="EZ11:FM11"/>
    <mergeCell ref="FN11:GA11"/>
    <mergeCell ref="GB11:GO11"/>
    <mergeCell ref="GP11:HC11"/>
    <mergeCell ref="P12:AC12"/>
    <mergeCell ref="AD12:AQ12"/>
    <mergeCell ref="AR12:BE12"/>
    <mergeCell ref="BF12:BS12"/>
    <mergeCell ref="BT12:CG12"/>
    <mergeCell ref="CH12:CU12"/>
    <mergeCell ref="CV12:DI12"/>
    <mergeCell ref="DJ12:DW12"/>
    <mergeCell ref="DX12:EK12"/>
    <mergeCell ref="P10:AC10"/>
    <mergeCell ref="AD10:AQ10"/>
    <mergeCell ref="AR10:BE10"/>
    <mergeCell ref="BF10:BS10"/>
    <mergeCell ref="BT10:CG10"/>
    <mergeCell ref="CH10:CU10"/>
    <mergeCell ref="CV10:DI10"/>
    <mergeCell ref="DJ10:DW10"/>
    <mergeCell ref="DX10:EK10"/>
    <mergeCell ref="EZ8:FM8"/>
    <mergeCell ref="FN8:GA8"/>
    <mergeCell ref="GB8:GO8"/>
    <mergeCell ref="GP8:HC8"/>
    <mergeCell ref="P9:AC9"/>
    <mergeCell ref="AD9:AQ9"/>
    <mergeCell ref="AR9:BE9"/>
    <mergeCell ref="BF9:BS9"/>
    <mergeCell ref="BT9:CG9"/>
    <mergeCell ref="CH9:CU9"/>
    <mergeCell ref="CV9:DI9"/>
    <mergeCell ref="DJ9:DW9"/>
    <mergeCell ref="DX9:EK9"/>
    <mergeCell ref="EL10:EY10"/>
    <mergeCell ref="EZ10:FM10"/>
    <mergeCell ref="FN10:GA10"/>
    <mergeCell ref="GB10:GO10"/>
    <mergeCell ref="GP10:HC10"/>
    <mergeCell ref="EL9:EY9"/>
    <mergeCell ref="EZ9:FM9"/>
    <mergeCell ref="FN9:GA9"/>
    <mergeCell ref="GB9:GO9"/>
    <mergeCell ref="GP9:HC9"/>
    <mergeCell ref="EL7:EY7"/>
    <mergeCell ref="EZ7:FM7"/>
    <mergeCell ref="FN7:GA7"/>
    <mergeCell ref="GB7:GO7"/>
    <mergeCell ref="GP7:HC7"/>
    <mergeCell ref="P8:AC8"/>
    <mergeCell ref="AD8:AQ8"/>
    <mergeCell ref="AR8:BE8"/>
    <mergeCell ref="BF8:BS8"/>
    <mergeCell ref="BT8:CG8"/>
    <mergeCell ref="P7:AC7"/>
    <mergeCell ref="AD7:AQ7"/>
    <mergeCell ref="AR7:BE7"/>
    <mergeCell ref="BF7:BS7"/>
    <mergeCell ref="BT7:CG7"/>
    <mergeCell ref="CH7:CU7"/>
    <mergeCell ref="CV7:DI7"/>
    <mergeCell ref="DJ7:DW7"/>
    <mergeCell ref="DX7:EK7"/>
    <mergeCell ref="CH8:CU8"/>
    <mergeCell ref="CV8:DI8"/>
    <mergeCell ref="DJ8:DW8"/>
    <mergeCell ref="DX8:EK8"/>
    <mergeCell ref="EL8:EY8"/>
    <mergeCell ref="P5:AC5"/>
    <mergeCell ref="P3:AC3"/>
    <mergeCell ref="AD3:AQ3"/>
    <mergeCell ref="AR3:BE3"/>
    <mergeCell ref="BF3:BS3"/>
    <mergeCell ref="P1:AC1"/>
    <mergeCell ref="AD1:AQ1"/>
    <mergeCell ref="AR1:BE1"/>
    <mergeCell ref="BF1:BS1"/>
    <mergeCell ref="GP1:HC1"/>
    <mergeCell ref="BT1:CG1"/>
    <mergeCell ref="CH1:CU1"/>
    <mergeCell ref="CV1:DI1"/>
    <mergeCell ref="DJ1:DW1"/>
    <mergeCell ref="DX1:EK1"/>
    <mergeCell ref="EL1:EY1"/>
    <mergeCell ref="EZ1:FM1"/>
    <mergeCell ref="FN1:GA1"/>
    <mergeCell ref="GB1:GO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B5"/>
  <sheetViews>
    <sheetView workbookViewId="0">
      <selection activeCell="B5" sqref="B5"/>
    </sheetView>
  </sheetViews>
  <sheetFormatPr defaultRowHeight="15" x14ac:dyDescent="0.25"/>
  <sheetData>
    <row r="1" spans="1:2" x14ac:dyDescent="0.25">
      <c r="A1" t="s">
        <v>2</v>
      </c>
      <c r="B1">
        <v>14</v>
      </c>
    </row>
    <row r="3" spans="1:2" x14ac:dyDescent="0.25">
      <c r="A3" t="s">
        <v>3</v>
      </c>
      <c r="B3">
        <f>MAX('Coordenadas dos Polos'!$P$3:$HC$16)</f>
        <v>509660.5061522139</v>
      </c>
    </row>
    <row r="5" spans="1:2" x14ac:dyDescent="0.25">
      <c r="A5" t="s">
        <v>4</v>
      </c>
      <c r="B5">
        <f>('Cálculos Diversos'!$B$3/SQRT(2*'Cálculos Diversos'!$B$1))^2</f>
        <v>9276922554.6903858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P51"/>
  <sheetViews>
    <sheetView zoomScaleNormal="100" workbookViewId="0">
      <selection activeCell="B2" sqref="B2:P51"/>
    </sheetView>
  </sheetViews>
  <sheetFormatPr defaultRowHeight="15" x14ac:dyDescent="0.25"/>
  <cols>
    <col min="2" max="2" width="23.28515625" bestFit="1" customWidth="1"/>
    <col min="3" max="3" width="89.85546875" bestFit="1" customWidth="1"/>
  </cols>
  <sheetData>
    <row r="1" spans="1:16" x14ac:dyDescent="0.25">
      <c r="A1" t="s">
        <v>5</v>
      </c>
      <c r="B1" t="s">
        <v>6</v>
      </c>
    </row>
    <row r="2" spans="1:16" x14ac:dyDescent="0.25">
      <c r="A2">
        <v>1</v>
      </c>
      <c r="B2">
        <f>EXP(((-1)/(2*'Cálculos Diversos'!$B$5))*(SQRT(SUMXMY2('Tabela Entrada-Saída'!$B$2:$O$2,'Coordenadas dos Polos'!$P$2:$AC$2)))^2)</f>
        <v>7.9022477283026804E-2</v>
      </c>
      <c r="C2">
        <f>EXP(((-1)/(2*'Cálculos Diversos'!$B$5))*(SQRT(SUMXMY2('Tabela Entrada-Saída'!$B$2:$O$2,'Coordenadas dos Polos'!$AD$2:$AQ$2)))^2)</f>
        <v>2.7586048390259633E-6</v>
      </c>
      <c r="D2">
        <f>EXP(((-1)/(2*'Cálculos Diversos'!$B$5))*(SQRT(SUMXMY2('Tabela Entrada-Saída'!$B$2:$O$2,'Coordenadas dos Polos'!$AR$2:$BE$2)))^2)</f>
        <v>6.1783839395643475E-5</v>
      </c>
      <c r="E2">
        <f>EXP(((-1)/(2*'Cálculos Diversos'!$B$5))*(SQRT(SUMXMY2('Tabela Entrada-Saída'!$B$2:$O$2,'Coordenadas dos Polos'!$BF$2:$BS$2)))^2)</f>
        <v>6.5581220856539265E-7</v>
      </c>
      <c r="F2">
        <f>EXP(((-1)/(2*'Cálculos Diversos'!$B$5))*(SQRT(SUMXMY2('Tabela Entrada-Saída'!$B$2:$O$2,'Coordenadas dos Polos'!$BT$2:$CG$2)))^2)</f>
        <v>8.3741117655955803E-5</v>
      </c>
      <c r="G2">
        <f>EXP(((-1)/(2*'Cálculos Diversos'!$B$5))*(SQRT(SUMXMY2('Tabela Entrada-Saída'!$B$2:$O$2,'Coordenadas dos Polos'!$CH$2:$CU$2)))^2)</f>
        <v>1.808010095699353E-3</v>
      </c>
      <c r="H2">
        <f>EXP(((-1)/(2*'Cálculos Diversos'!$B$5))*(SQRT(SUMXMY2('Tabela Entrada-Saída'!$B$2:$O$2,'Coordenadas dos Polos'!$CV$2:$DI$2)))^2)</f>
        <v>4.8878787083274245E-6</v>
      </c>
      <c r="I2">
        <f>EXP(((-1)/(2*'Cálculos Diversos'!$B$5))*(SQRT(SUMXMY2('Tabela Entrada-Saída'!$B$2:$O$2,'Coordenadas dos Polos'!$DJ$2:$DW$2)))^2)</f>
        <v>2.4734287400004817E-4</v>
      </c>
      <c r="J2">
        <f>EXP(((-1)/(2*'Cálculos Diversos'!$B$5))*(SQRT(SUMXMY2('Tabela Entrada-Saída'!$B$2:$O$2,'Coordenadas dos Polos'!$DX$2:$EK$2)))^2)</f>
        <v>4.8454308650789889E-3</v>
      </c>
      <c r="K2">
        <f>EXP(((-1)/(2*'Cálculos Diversos'!$B$5))*(SQRT(SUMXMY2('Tabela Entrada-Saída'!$B$2:$O$2,'Coordenadas dos Polos'!$EL$2:$EY$2)))^2)</f>
        <v>2.1045864690190106E-3</v>
      </c>
      <c r="L2">
        <f>EXP(((-1)/(2*'Cálculos Diversos'!$B$5))*(SQRT(SUMXMY2('Tabela Entrada-Saída'!$B$2:$O$2,'Coordenadas dos Polos'!$EZ$2:$FM$2)))^2)</f>
        <v>3.641163855473943E-4</v>
      </c>
      <c r="M2">
        <f>EXP(((-1)/(2*'Cálculos Diversos'!$B$5))*(SQRT(SUMXMY2('Tabela Entrada-Saída'!$B$2:$O$2,'Coordenadas dos Polos'!$FN$2:$GA$2)))^2)</f>
        <v>4.3231508769260417E-4</v>
      </c>
      <c r="N2">
        <f>EXP(((-1)/(2*'Cálculos Diversos'!$B$5))*(SQRT(SUMXMY2('Tabela Entrada-Saída'!$B$2:$O$2,'Coordenadas dos Polos'!$GB$2:$GO$2)))^2)</f>
        <v>2.579260264589398E-3</v>
      </c>
      <c r="O2">
        <f>EXP(((-1)/(2*'Cálculos Diversos'!$B$5))*(SQRT(SUMXMY2('Tabela Entrada-Saída'!$B$2:$O$2,'Coordenadas dos Polos'!$GP$2:$HC$2)))^2)</f>
        <v>1.4555921273557416E-4</v>
      </c>
      <c r="P2">
        <v>1</v>
      </c>
    </row>
    <row r="3" spans="1:16" x14ac:dyDescent="0.25">
      <c r="A3">
        <v>2</v>
      </c>
      <c r="B3">
        <f>EXP(((-1)/(2*'Cálculos Diversos'!$B$5))*(SQRT(SUMXMY2('Tabela Entrada-Saída'!$B$3:$O$3,'Coordenadas dos Polos'!$P$2:$AC$2)))^2)</f>
        <v>0.21098087594032366</v>
      </c>
      <c r="C3">
        <f>EXP(((-1)/(2*'Cálculos Diversos'!$B$5))*(SQRT(SUMXMY2('Tabela Entrada-Saída'!$B$3:$O$3,'Coordenadas dos Polos'!$AD$2:$AQ$2)))^2)</f>
        <v>6.9627102904613197E-6</v>
      </c>
      <c r="D3">
        <f>EXP(((-1)/(2*'Cálculos Diversos'!$B$5))*(SQRT(SUMXMY2('Tabela Entrada-Saída'!$B$3:$O$3,'Coordenadas dos Polos'!$AR$2:$BE$2)))^2)</f>
        <v>9.4468421844593332E-5</v>
      </c>
      <c r="E3">
        <f>EXP(((-1)/(2*'Cálculos Diversos'!$B$5))*(SQRT(SUMXMY2('Tabela Entrada-Saída'!$B$3:$O$3,'Coordenadas dos Polos'!$BF$2:$BS$2)))^2)</f>
        <v>1.3075828622674501E-6</v>
      </c>
      <c r="F3">
        <f>EXP(((-1)/(2*'Cálculos Diversos'!$B$5))*(SQRT(SUMXMY2('Tabela Entrada-Saída'!$B$3:$O$3,'Coordenadas dos Polos'!$BT$2:$CG$2)))^2)</f>
        <v>1.5623859785308407E-4</v>
      </c>
      <c r="G3">
        <f>EXP(((-1)/(2*'Cálculos Diversos'!$B$5))*(SQRT(SUMXMY2('Tabela Entrada-Saída'!$B$3:$O$3,'Coordenadas dos Polos'!$CH$2:$CU$2)))^2)</f>
        <v>3.8628036942120968E-3</v>
      </c>
      <c r="H3">
        <f>EXP(((-1)/(2*'Cálculos Diversos'!$B$5))*(SQRT(SUMXMY2('Tabela Entrada-Saída'!$B$3:$O$3,'Coordenadas dos Polos'!$CV$2:$DI$2)))^2)</f>
        <v>6.6898845889731279E-6</v>
      </c>
      <c r="I3">
        <f>EXP(((-1)/(2*'Cálculos Diversos'!$B$5))*(SQRT(SUMXMY2('Tabela Entrada-Saída'!$B$3:$O$3,'Coordenadas dos Polos'!$DJ$2:$DW$2)))^2)</f>
        <v>4.7861741513385419E-4</v>
      </c>
      <c r="J3">
        <f>EXP(((-1)/(2*'Cálculos Diversos'!$B$5))*(SQRT(SUMXMY2('Tabela Entrada-Saída'!$B$3:$O$3,'Coordenadas dos Polos'!$DX$2:$EK$2)))^2)</f>
        <v>4.2340184085041289E-3</v>
      </c>
      <c r="K3">
        <f>EXP(((-1)/(2*'Cálculos Diversos'!$B$5))*(SQRT(SUMXMY2('Tabela Entrada-Saída'!$B$3:$O$3,'Coordenadas dos Polos'!$EL$2:$EY$2)))^2)</f>
        <v>3.786952606276121E-3</v>
      </c>
      <c r="L3">
        <f>EXP(((-1)/(2*'Cálculos Diversos'!$B$5))*(SQRT(SUMXMY2('Tabela Entrada-Saída'!$B$3:$O$3,'Coordenadas dos Polos'!$EZ$2:$FM$2)))^2)</f>
        <v>3.2213131510820751E-4</v>
      </c>
      <c r="M3">
        <f>EXP(((-1)/(2*'Cálculos Diversos'!$B$5))*(SQRT(SUMXMY2('Tabela Entrada-Saída'!$B$3:$O$3,'Coordenadas dos Polos'!$FN$2:$GA$2)))^2)</f>
        <v>6.7929024249640548E-4</v>
      </c>
      <c r="N3">
        <f>EXP(((-1)/(2*'Cálculos Diversos'!$B$5))*(SQRT(SUMXMY2('Tabela Entrada-Saída'!$B$3:$O$3,'Coordenadas dos Polos'!$GB$2:$GO$2)))^2)</f>
        <v>5.0838427299967088E-3</v>
      </c>
      <c r="O3">
        <f>EXP(((-1)/(2*'Cálculos Diversos'!$B$5))*(SQRT(SUMXMY2('Tabela Entrada-Saída'!$B$3:$O$3,'Coordenadas dos Polos'!$GP$2:$HC$2)))^2)</f>
        <v>1.2389520114839477E-4</v>
      </c>
      <c r="P3">
        <v>1</v>
      </c>
    </row>
    <row r="4" spans="1:16" x14ac:dyDescent="0.25">
      <c r="A4">
        <v>3</v>
      </c>
      <c r="B4">
        <f>EXP(((-1)/(2*'Cálculos Diversos'!$B$5))*(SQRT(SUMXMY2('Tabela Entrada-Saída'!$B$4:$O$4,'Coordenadas dos Polos'!$P$2:$AC$2)))^2)</f>
        <v>9.1322780449429139E-2</v>
      </c>
      <c r="C4">
        <f>EXP(((-1)/(2*'Cálculos Diversos'!$B$5))*(SQRT(SUMXMY2('Tabela Entrada-Saída'!$B$4:$O$4,'Coordenadas dos Polos'!$AD$2:$AQ$2)))^2)</f>
        <v>3.1620551329594601E-6</v>
      </c>
      <c r="D4">
        <f>EXP(((-1)/(2*'Cálculos Diversos'!$B$5))*(SQRT(SUMXMY2('Tabela Entrada-Saída'!$B$4:$O$4,'Coordenadas dos Polos'!$AR$2:$BE$2)))^2)</f>
        <v>6.6524607689394101E-5</v>
      </c>
      <c r="E4">
        <f>EXP(((-1)/(2*'Cálculos Diversos'!$B$5))*(SQRT(SUMXMY2('Tabela Entrada-Saída'!$B$4:$O$4,'Coordenadas dos Polos'!$BF$2:$BS$2)))^2)</f>
        <v>7.2856656296616722E-7</v>
      </c>
      <c r="F4">
        <f>EXP(((-1)/(2*'Cálculos Diversos'!$B$5))*(SQRT(SUMXMY2('Tabela Entrada-Saída'!$B$4:$O$4,'Coordenadas dos Polos'!$BT$2:$CG$2)))^2)</f>
        <v>9.2315943375691E-5</v>
      </c>
      <c r="G4">
        <f>EXP(((-1)/(2*'Cálculos Diversos'!$B$5))*(SQRT(SUMXMY2('Tabela Entrada-Saída'!$B$4:$O$4,'Coordenadas dos Polos'!$CH$2:$CU$2)))^2)</f>
        <v>2.0281812359046586E-3</v>
      </c>
      <c r="H4">
        <f>EXP(((-1)/(2*'Cálculos Diversos'!$B$5))*(SQRT(SUMXMY2('Tabela Entrada-Saída'!$B$4:$O$4,'Coordenadas dos Polos'!$CV$2:$DI$2)))^2)</f>
        <v>5.181915353732811E-6</v>
      </c>
      <c r="I4">
        <f>EXP(((-1)/(2*'Cálculos Diversos'!$B$5))*(SQRT(SUMXMY2('Tabela Entrada-Saída'!$B$4:$O$4,'Coordenadas dos Polos'!$DJ$2:$DW$2)))^2)</f>
        <v>2.740983647270467E-4</v>
      </c>
      <c r="J4">
        <f>EXP(((-1)/(2*'Cálculos Diversos'!$B$5))*(SQRT(SUMXMY2('Tabela Entrada-Saída'!$B$4:$O$4,'Coordenadas dos Polos'!$DX$2:$EK$2)))^2)</f>
        <v>4.8488296107563403E-3</v>
      </c>
      <c r="K4">
        <f>EXP(((-1)/(2*'Cálculos Diversos'!$B$5))*(SQRT(SUMXMY2('Tabela Entrada-Saída'!$B$4:$O$4,'Coordenadas dos Polos'!$EL$2:$EY$2)))^2)</f>
        <v>2.3119936293311549E-3</v>
      </c>
      <c r="L4">
        <f>EXP(((-1)/(2*'Cálculos Diversos'!$B$5))*(SQRT(SUMXMY2('Tabela Entrada-Saída'!$B$4:$O$4,'Coordenadas dos Polos'!$EZ$2:$FM$2)))^2)</f>
        <v>3.650258131839929E-4</v>
      </c>
      <c r="M4">
        <f>EXP(((-1)/(2*'Cálculos Diversos'!$B$5))*(SQRT(SUMXMY2('Tabela Entrada-Saída'!$B$4:$O$4,'Coordenadas dos Polos'!$FN$2:$GA$2)))^2)</f>
        <v>4.6553478981903334E-4</v>
      </c>
      <c r="N4">
        <f>EXP(((-1)/(2*'Cálculos Diversos'!$B$5))*(SQRT(SUMXMY2('Tabela Entrada-Saída'!$B$4:$O$4,'Coordenadas dos Polos'!$GB$2:$GO$2)))^2)</f>
        <v>2.8664202648406253E-3</v>
      </c>
      <c r="O4">
        <f>EXP(((-1)/(2*'Cálculos Diversos'!$B$5))*(SQRT(SUMXMY2('Tabela Entrada-Saída'!$B$4:$O$4,'Coordenadas dos Polos'!$GP$2:$HC$2)))^2)</f>
        <v>1.4494939426997605E-4</v>
      </c>
      <c r="P4">
        <v>1</v>
      </c>
    </row>
    <row r="5" spans="1:16" x14ac:dyDescent="0.25">
      <c r="A5">
        <v>4</v>
      </c>
      <c r="B5">
        <f>EXP(((-1)/(2*'Cálculos Diversos'!$B$5))*(SQRT(SUMXMY2('Tabela Entrada-Saída'!$B$5:$O$5,'Coordenadas dos Polos'!$P$2:$AC$2)))^2)</f>
        <v>0.22155583795728828</v>
      </c>
      <c r="C5">
        <f>EXP(((-1)/(2*'Cálculos Diversos'!$B$5))*(SQRT(SUMXMY2('Tabela Entrada-Saída'!$B$5:$O$5,'Coordenadas dos Polos'!$AD$2:$AQ$2)))^2)</f>
        <v>7.239962795427993E-6</v>
      </c>
      <c r="D5">
        <f>EXP(((-1)/(2*'Cálculos Diversos'!$B$5))*(SQRT(SUMXMY2('Tabela Entrada-Saída'!$B$5:$O$5,'Coordenadas dos Polos'!$AR$2:$BE$2)))^2)</f>
        <v>9.5777536969303198E-5</v>
      </c>
      <c r="E5">
        <f>EXP(((-1)/(2*'Cálculos Diversos'!$B$5))*(SQRT(SUMXMY2('Tabela Entrada-Saída'!$B$5:$O$5,'Coordenadas dos Polos'!$BF$2:$BS$2)))^2)</f>
        <v>1.3414640768510196E-6</v>
      </c>
      <c r="F5">
        <f>EXP(((-1)/(2*'Cálculos Diversos'!$B$5))*(SQRT(SUMXMY2('Tabela Entrada-Saída'!$B$5:$O$5,'Coordenadas dos Polos'!$BT$2:$CG$2)))^2)</f>
        <v>1.6010047872996234E-4</v>
      </c>
      <c r="G5">
        <f>EXP(((-1)/(2*'Cálculos Diversos'!$B$5))*(SQRT(SUMXMY2('Tabela Entrada-Saída'!$B$5:$O$5,'Coordenadas dos Polos'!$CH$2:$CU$2)))^2)</f>
        <v>3.9835945073974106E-3</v>
      </c>
      <c r="H5">
        <f>EXP(((-1)/(2*'Cálculos Diversos'!$B$5))*(SQRT(SUMXMY2('Tabela Entrada-Saída'!$B$5:$O$5,'Coordenadas dos Polos'!$CV$2:$DI$2)))^2)</f>
        <v>6.7207138413076716E-6</v>
      </c>
      <c r="I5">
        <f>EXP(((-1)/(2*'Cálculos Diversos'!$B$5))*(SQRT(SUMXMY2('Tabela Entrada-Saída'!$B$5:$O$5,'Coordenadas dos Polos'!$DJ$2:$DW$2)))^2)</f>
        <v>4.9128591615218487E-4</v>
      </c>
      <c r="J5">
        <f>EXP(((-1)/(2*'Cálculos Diversos'!$B$5))*(SQRT(SUMXMY2('Tabela Entrada-Saída'!$B$5:$O$5,'Coordenadas dos Polos'!$DX$2:$EK$2)))^2)</f>
        <v>4.1372686278239954E-3</v>
      </c>
      <c r="K5">
        <f>EXP(((-1)/(2*'Cálculos Diversos'!$B$5))*(SQRT(SUMXMY2('Tabela Entrada-Saída'!$B$5:$O$5,'Coordenadas dos Polos'!$EL$2:$EY$2)))^2)</f>
        <v>3.8791807208431381E-3</v>
      </c>
      <c r="L5">
        <f>EXP(((-1)/(2*'Cálculos Diversos'!$B$5))*(SQRT(SUMXMY2('Tabela Entrada-Saída'!$B$5:$O$5,'Coordenadas dos Polos'!$EZ$2:$FM$2)))^2)</f>
        <v>3.1580997263846951E-4</v>
      </c>
      <c r="M5">
        <f>EXP(((-1)/(2*'Cálculos Diversos'!$B$5))*(SQRT(SUMXMY2('Tabela Entrada-Saída'!$B$5:$O$5,'Coordenadas dos Polos'!$FN$2:$GA$2)))^2)</f>
        <v>6.8601832161513669E-4</v>
      </c>
      <c r="N5">
        <f>EXP(((-1)/(2*'Cálculos Diversos'!$B$5))*(SQRT(SUMXMY2('Tabela Entrada-Saída'!$B$5:$O$5,'Coordenadas dos Polos'!$GB$2:$GO$2)))^2)</f>
        <v>5.2318842889924489E-3</v>
      </c>
      <c r="O5">
        <f>EXP(((-1)/(2*'Cálculos Diversos'!$B$5))*(SQRT(SUMXMY2('Tabela Entrada-Saída'!$B$5:$O$5,'Coordenadas dos Polos'!$GP$2:$HC$2)))^2)</f>
        <v>1.2078831233424784E-4</v>
      </c>
      <c r="P5">
        <v>1</v>
      </c>
    </row>
    <row r="6" spans="1:16" x14ac:dyDescent="0.25">
      <c r="A6">
        <v>5</v>
      </c>
      <c r="B6">
        <f>EXP(((-1)/(2*'Cálculos Diversos'!$B$5))*(SQRT(SUMXMY2('Tabela Entrada-Saída'!$B$6:$O$6,'Coordenadas dos Polos'!$P$2:$AC$2)))^2)</f>
        <v>0.13055007638414851</v>
      </c>
      <c r="C6">
        <f>EXP(((-1)/(2*'Cálculos Diversos'!$B$5))*(SQRT(SUMXMY2('Tabela Entrada-Saída'!$B$6:$O$6,'Coordenadas dos Polos'!$AD$2:$AQ$2)))^2)</f>
        <v>4.3993644764785246E-6</v>
      </c>
      <c r="D6">
        <f>EXP(((-1)/(2*'Cálculos Diversos'!$B$5))*(SQRT(SUMXMY2('Tabela Entrada-Saída'!$B$6:$O$6,'Coordenadas dos Polos'!$AR$2:$BE$2)))^2)</f>
        <v>7.8531332259825038E-5</v>
      </c>
      <c r="E6">
        <f>EXP(((-1)/(2*'Cálculos Diversos'!$B$5))*(SQRT(SUMXMY2('Tabela Entrada-Saída'!$B$6:$O$6,'Coordenadas dos Polos'!$BF$2:$BS$2)))^2)</f>
        <v>9.3677948450903735E-7</v>
      </c>
      <c r="F6">
        <f>EXP(((-1)/(2*'Cálculos Diversos'!$B$5))*(SQRT(SUMXMY2('Tabela Entrada-Saída'!$B$6:$O$6,'Coordenadas dos Polos'!$BT$2:$CG$2)))^2)</f>
        <v>1.1649084703302937E-4</v>
      </c>
      <c r="G6">
        <f>EXP(((-1)/(2*'Cálculos Diversos'!$B$5))*(SQRT(SUMXMY2('Tabela Entrada-Saída'!$B$6:$O$6,'Coordenadas dos Polos'!$CH$2:$CU$2)))^2)</f>
        <v>2.6714120333044549E-3</v>
      </c>
      <c r="H6">
        <f>EXP(((-1)/(2*'Cálculos Diversos'!$B$5))*(SQRT(SUMXMY2('Tabela Entrada-Saída'!$B$6:$O$6,'Coordenadas dos Polos'!$CV$2:$DI$2)))^2)</f>
        <v>5.8715932565096452E-6</v>
      </c>
      <c r="I6">
        <f>EXP(((-1)/(2*'Cálculos Diversos'!$B$5))*(SQRT(SUMXMY2('Tabela Entrada-Saída'!$B$6:$O$6,'Coordenadas dos Polos'!$DJ$2:$DW$2)))^2)</f>
        <v>3.4977976398270044E-4</v>
      </c>
      <c r="J6">
        <f>EXP(((-1)/(2*'Cálculos Diversos'!$B$5))*(SQRT(SUMXMY2('Tabela Entrada-Saída'!$B$6:$O$6,'Coordenadas dos Polos'!$DX$2:$EK$2)))^2)</f>
        <v>4.7112820509623071E-3</v>
      </c>
      <c r="K6">
        <f>EXP(((-1)/(2*'Cálculos Diversos'!$B$5))*(SQRT(SUMXMY2('Tabela Entrada-Saída'!$B$6:$O$6,'Coordenadas dos Polos'!$EL$2:$EY$2)))^2)</f>
        <v>2.8858809026920057E-3</v>
      </c>
      <c r="L6">
        <f>EXP(((-1)/(2*'Cálculos Diversos'!$B$5))*(SQRT(SUMXMY2('Tabela Entrada-Saída'!$B$6:$O$6,'Coordenadas dos Polos'!$EZ$2:$FM$2)))^2)</f>
        <v>3.5740254035379924E-4</v>
      </c>
      <c r="M6">
        <f>EXP(((-1)/(2*'Cálculos Diversos'!$B$5))*(SQRT(SUMXMY2('Tabela Entrada-Saída'!$B$6:$O$6,'Coordenadas dos Polos'!$FN$2:$GA$2)))^2)</f>
        <v>5.509463846671502E-4</v>
      </c>
      <c r="N6">
        <f>EXP(((-1)/(2*'Cálculos Diversos'!$B$5))*(SQRT(SUMXMY2('Tabela Entrada-Saída'!$B$6:$O$6,'Coordenadas dos Polos'!$GB$2:$GO$2)))^2)</f>
        <v>3.6855096454110601E-3</v>
      </c>
      <c r="O6">
        <f>EXP(((-1)/(2*'Cálculos Diversos'!$B$5))*(SQRT(SUMXMY2('Tabela Entrada-Saída'!$B$6:$O$6,'Coordenadas dos Polos'!$GP$2:$HC$2)))^2)</f>
        <v>1.3955951321154537E-4</v>
      </c>
      <c r="P6">
        <v>1</v>
      </c>
    </row>
    <row r="7" spans="1:16" x14ac:dyDescent="0.25">
      <c r="A7">
        <v>6</v>
      </c>
      <c r="B7">
        <f>EXP(((-1)/(2*'Cálculos Diversos'!$B$5))*(SQRT(SUMXMY2('Tabela Entrada-Saída'!$B$7:$O$7,'Coordenadas dos Polos'!$P$2:$AC$2)))^2)</f>
        <v>0.16256059077466567</v>
      </c>
      <c r="C7">
        <f>EXP(((-1)/(2*'Cálculos Diversos'!$B$5))*(SQRT(SUMXMY2('Tabela Entrada-Saída'!$B$7:$O$7,'Coordenadas dos Polos'!$AD$2:$AQ$2)))^2)</f>
        <v>5.4375739680979389E-6</v>
      </c>
      <c r="D7">
        <f>EXP(((-1)/(2*'Cálculos Diversos'!$B$5))*(SQRT(SUMXMY2('Tabela Entrada-Saída'!$B$7:$O$7,'Coordenadas dos Polos'!$AR$2:$BE$2)))^2)</f>
        <v>8.6144233093159636E-5</v>
      </c>
      <c r="E7">
        <f>EXP(((-1)/(2*'Cálculos Diversos'!$B$5))*(SQRT(SUMXMY2('Tabela Entrada-Saída'!$B$7:$O$7,'Coordenadas dos Polos'!$BF$2:$BS$2)))^2)</f>
        <v>1.0959150756055042E-6</v>
      </c>
      <c r="F7">
        <f>EXP(((-1)/(2*'Cálculos Diversos'!$B$5))*(SQRT(SUMXMY2('Tabela Entrada-Saída'!$B$7:$O$7,'Coordenadas dos Polos'!$BT$2:$CG$2)))^2)</f>
        <v>1.3381934318349529E-4</v>
      </c>
      <c r="G7">
        <f>EXP(((-1)/(2*'Cálculos Diversos'!$B$5))*(SQRT(SUMXMY2('Tabela Entrada-Saída'!$B$7:$O$7,'Coordenadas dos Polos'!$CH$2:$CU$2)))^2)</f>
        <v>3.1730484589161164E-3</v>
      </c>
      <c r="H7">
        <f>EXP(((-1)/(2*'Cálculos Diversos'!$B$5))*(SQRT(SUMXMY2('Tabela Entrada-Saída'!$B$7:$O$7,'Coordenadas dos Polos'!$CV$2:$DI$2)))^2)</f>
        <v>6.2922098184026984E-6</v>
      </c>
      <c r="I7">
        <f>EXP(((-1)/(2*'Cálculos Diversos'!$B$5))*(SQRT(SUMXMY2('Tabela Entrada-Saída'!$B$7:$O$7,'Coordenadas dos Polos'!$DJ$2:$DW$2)))^2)</f>
        <v>4.0574973054761183E-4</v>
      </c>
      <c r="J7">
        <f>EXP(((-1)/(2*'Cálculos Diversos'!$B$5))*(SQRT(SUMXMY2('Tabela Entrada-Saída'!$B$7:$O$7,'Coordenadas dos Polos'!$DX$2:$EK$2)))^2)</f>
        <v>4.5543764485921345E-3</v>
      </c>
      <c r="K7">
        <f>EXP(((-1)/(2*'Cálculos Diversos'!$B$5))*(SQRT(SUMXMY2('Tabela Entrada-Saída'!$B$7:$O$7,'Coordenadas dos Polos'!$EL$2:$EY$2)))^2)</f>
        <v>3.2857669706045835E-3</v>
      </c>
      <c r="L7">
        <f>EXP(((-1)/(2*'Cálculos Diversos'!$B$5))*(SQRT(SUMXMY2('Tabela Entrada-Saída'!$B$7:$O$7,'Coordenadas dos Polos'!$EZ$2:$FM$2)))^2)</f>
        <v>3.4586651041057249E-4</v>
      </c>
      <c r="M7">
        <f>EXP(((-1)/(2*'Cálculos Diversos'!$B$5))*(SQRT(SUMXMY2('Tabela Entrada-Saída'!$B$7:$O$7,'Coordenadas dos Polos'!$FN$2:$GA$2)))^2)</f>
        <v>6.1073467144457966E-4</v>
      </c>
      <c r="N7">
        <f>EXP(((-1)/(2*'Cálculos Diversos'!$B$5))*(SQRT(SUMXMY2('Tabela Entrada-Saída'!$B$7:$O$7,'Coordenadas dos Polos'!$GB$2:$GO$2)))^2)</f>
        <v>4.2888023231624451E-3</v>
      </c>
      <c r="O7">
        <f>EXP(((-1)/(2*'Cálculos Diversos'!$B$5))*(SQRT(SUMXMY2('Tabela Entrada-Saída'!$B$7:$O$7,'Coordenadas dos Polos'!$GP$2:$HC$2)))^2)</f>
        <v>1.3413515994057648E-4</v>
      </c>
      <c r="P7">
        <v>1</v>
      </c>
    </row>
    <row r="8" spans="1:16" x14ac:dyDescent="0.25">
      <c r="A8">
        <v>7</v>
      </c>
      <c r="B8">
        <f>EXP(((-1)/(2*'Cálculos Diversos'!$B$5))*(SQRT(SUMXMY2('Tabela Entrada-Saída'!$B$8:$O$8,'Coordenadas dos Polos'!$P$2:$AC$2)))^2)</f>
        <v>0.26909246147646138</v>
      </c>
      <c r="C8">
        <f>EXP(((-1)/(2*'Cálculos Diversos'!$B$5))*(SQRT(SUMXMY2('Tabela Entrada-Saída'!$B$8:$O$8,'Coordenadas dos Polos'!$AD$2:$AQ$2)))^2)</f>
        <v>8.692023175027553E-6</v>
      </c>
      <c r="D8">
        <f>EXP(((-1)/(2*'Cálculos Diversos'!$B$5))*(SQRT(SUMXMY2('Tabela Entrada-Saída'!$B$8:$O$8,'Coordenadas dos Polos'!$AR$2:$BE$2)))^2)</f>
        <v>1.0082392408477386E-4</v>
      </c>
      <c r="E8">
        <f>EXP(((-1)/(2*'Cálculos Diversos'!$B$5))*(SQRT(SUMXMY2('Tabela Entrada-Saída'!$B$8:$O$8,'Coordenadas dos Polos'!$BF$2:$BS$2)))^2)</f>
        <v>1.5148146593835632E-6</v>
      </c>
      <c r="F8">
        <f>EXP(((-1)/(2*'Cálculos Diversos'!$B$5))*(SQRT(SUMXMY2('Tabela Entrada-Saída'!$B$8:$O$8,'Coordenadas dos Polos'!$BT$2:$CG$2)))^2)</f>
        <v>1.775090570329511E-4</v>
      </c>
      <c r="G8">
        <f>EXP(((-1)/(2*'Cálculos Diversos'!$B$5))*(SQRT(SUMXMY2('Tabela Entrada-Saída'!$B$8:$O$8,'Coordenadas dos Polos'!$CH$2:$CU$2)))^2)</f>
        <v>4.5784175391154255E-3</v>
      </c>
      <c r="H8">
        <f>EXP(((-1)/(2*'Cálculos Diversos'!$B$5))*(SQRT(SUMXMY2('Tabela Entrada-Saída'!$B$8:$O$8,'Coordenadas dos Polos'!$CV$2:$DI$2)))^2)</f>
        <v>6.8836039933843743E-6</v>
      </c>
      <c r="I8">
        <f>EXP(((-1)/(2*'Cálculos Diversos'!$B$5))*(SQRT(SUMXMY2('Tabela Entrada-Saída'!$B$8:$O$8,'Coordenadas dos Polos'!$DJ$2:$DW$2)))^2)</f>
        <v>5.4991225513884359E-4</v>
      </c>
      <c r="J8">
        <f>EXP(((-1)/(2*'Cálculos Diversos'!$B$5))*(SQRT(SUMXMY2('Tabela Entrada-Saída'!$B$8:$O$8,'Coordenadas dos Polos'!$DX$2:$EK$2)))^2)</f>
        <v>3.7774259594491539E-3</v>
      </c>
      <c r="K8">
        <f>EXP(((-1)/(2*'Cálculos Diversos'!$B$5))*(SQRT(SUMXMY2('Tabela Entrada-Saída'!$B$8:$O$8,'Coordenadas dos Polos'!$EL$2:$EY$2)))^2)</f>
        <v>4.2576076963672192E-3</v>
      </c>
      <c r="L8">
        <f>EXP(((-1)/(2*'Cálculos Diversos'!$B$5))*(SQRT(SUMXMY2('Tabela Entrada-Saída'!$B$8:$O$8,'Coordenadas dos Polos'!$EZ$2:$FM$2)))^2)</f>
        <v>2.8883255769794923E-4</v>
      </c>
      <c r="M8">
        <f>EXP(((-1)/(2*'Cálculos Diversos'!$B$5))*(SQRT(SUMXMY2('Tabela Entrada-Saída'!$B$8:$O$8,'Coordenadas dos Polos'!$FN$2:$GA$2)))^2)</f>
        <v>7.2924840872391728E-4</v>
      </c>
      <c r="N8">
        <f>EXP(((-1)/(2*'Cálculos Diversos'!$B$5))*(SQRT(SUMXMY2('Tabela Entrada-Saída'!$B$8:$O$8,'Coordenadas dos Polos'!$GB$2:$GO$2)))^2)</f>
        <v>5.8816845533742014E-3</v>
      </c>
      <c r="O8">
        <f>EXP(((-1)/(2*'Cálculos Diversos'!$B$5))*(SQRT(SUMXMY2('Tabela Entrada-Saída'!$B$8:$O$8,'Coordenadas dos Polos'!$GP$2:$HC$2)))^2)</f>
        <v>1.0956254126921068E-4</v>
      </c>
      <c r="P8">
        <v>1</v>
      </c>
    </row>
    <row r="9" spans="1:16" x14ac:dyDescent="0.25">
      <c r="A9">
        <v>8</v>
      </c>
      <c r="B9">
        <f>EXP(((-1)/(2*'Cálculos Diversos'!$B$5))*(SQRT(SUMXMY2('Tabela Entrada-Saída'!$B$9:$O$9,'Coordenadas dos Polos'!$P$2:$AC$2)))^2)</f>
        <v>6.802838109917983E-2</v>
      </c>
      <c r="C9">
        <f>EXP(((-1)/(2*'Cálculos Diversos'!$B$5))*(SQRT(SUMXMY2('Tabela Entrada-Saída'!$B$9:$O$9,'Coordenadas dos Polos'!$AD$2:$AQ$2)))^2)</f>
        <v>2.3682674102653208E-6</v>
      </c>
      <c r="D9">
        <f>EXP(((-1)/(2*'Cálculos Diversos'!$B$5))*(SQRT(SUMXMY2('Tabela Entrada-Saída'!$B$9:$O$9,'Coordenadas dos Polos'!$AR$2:$BE$2)))^2)</f>
        <v>5.7128609690551124E-5</v>
      </c>
      <c r="E9">
        <f>EXP(((-1)/(2*'Cálculos Diversos'!$B$5))*(SQRT(SUMXMY2('Tabela Entrada-Saída'!$B$9:$O$9,'Coordenadas dos Polos'!$BF$2:$BS$2)))^2)</f>
        <v>5.801631829673052E-7</v>
      </c>
      <c r="F9">
        <f>EXP(((-1)/(2*'Cálculos Diversos'!$B$5))*(SQRT(SUMXMY2('Tabela Entrada-Saída'!$B$9:$O$9,'Coordenadas dos Polos'!$BT$2:$CG$2)))^2)</f>
        <v>7.5137801368931807E-5</v>
      </c>
      <c r="G9">
        <f>EXP(((-1)/(2*'Cálculos Diversos'!$B$5))*(SQRT(SUMXMY2('Tabela Entrada-Saída'!$B$9:$O$9,'Coordenadas dos Polos'!$CH$2:$CU$2)))^2)</f>
        <v>1.5887724240721168E-3</v>
      </c>
      <c r="H9">
        <f>EXP(((-1)/(2*'Cálculos Diversos'!$B$5))*(SQRT(SUMXMY2('Tabela Entrada-Saída'!$B$9:$O$9,'Coordenadas dos Polos'!$CV$2:$DI$2)))^2)</f>
        <v>4.5592577520584315E-6</v>
      </c>
      <c r="I9">
        <f>EXP(((-1)/(2*'Cálculos Diversos'!$B$5))*(SQRT(SUMXMY2('Tabela Entrada-Saída'!$B$9:$O$9,'Coordenadas dos Polos'!$DJ$2:$DW$2)))^2)</f>
        <v>2.207468670841948E-4</v>
      </c>
      <c r="J9">
        <f>EXP(((-1)/(2*'Cálculos Diversos'!$B$5))*(SQRT(SUMXMY2('Tabela Entrada-Saída'!$B$9:$O$9,'Coordenadas dos Polos'!$DX$2:$EK$2)))^2)</f>
        <v>4.784704937160239E-3</v>
      </c>
      <c r="K9">
        <f>EXP(((-1)/(2*'Cálculos Diversos'!$B$5))*(SQRT(SUMXMY2('Tabela Entrada-Saída'!$B$9:$O$9,'Coordenadas dos Polos'!$EL$2:$EY$2)))^2)</f>
        <v>1.9036387024218833E-3</v>
      </c>
      <c r="L9">
        <f>EXP(((-1)/(2*'Cálculos Diversos'!$B$5))*(SQRT(SUMXMY2('Tabela Entrada-Saída'!$B$9:$O$9,'Coordenadas dos Polos'!$EZ$2:$FM$2)))^2)</f>
        <v>3.6029807418950897E-4</v>
      </c>
      <c r="M9">
        <f>EXP(((-1)/(2*'Cálculos Diversos'!$B$5))*(SQRT(SUMXMY2('Tabela Entrada-Saída'!$B$9:$O$9,'Coordenadas dos Polos'!$FN$2:$GA$2)))^2)</f>
        <v>3.9326085204796727E-4</v>
      </c>
      <c r="N9">
        <f>EXP(((-1)/(2*'Cálculos Diversos'!$B$5))*(SQRT(SUMXMY2('Tabela Entrada-Saída'!$B$9:$O$9,'Coordenadas dos Polos'!$GB$2:$GO$2)))^2)</f>
        <v>2.3018037457065992E-3</v>
      </c>
      <c r="O9">
        <f>EXP(((-1)/(2*'Cálculos Diversos'!$B$5))*(SQRT(SUMXMY2('Tabela Entrada-Saída'!$B$9:$O$9,'Coordenadas dos Polos'!$GP$2:$HC$2)))^2)</f>
        <v>1.4379682938060753E-4</v>
      </c>
      <c r="P9">
        <v>1</v>
      </c>
    </row>
    <row r="10" spans="1:16" x14ac:dyDescent="0.25">
      <c r="A10">
        <v>9</v>
      </c>
      <c r="B10">
        <f>EXP(((-1)/(2*'Cálculos Diversos'!$B$5))*(SQRT(SUMXMY2('Tabela Entrada-Saída'!$B$10:$O$10,'Coordenadas dos Polos'!$P$2:$AC$2)))^2)</f>
        <v>0.15659218585797535</v>
      </c>
      <c r="C10">
        <f>EXP(((-1)/(2*'Cálculos Diversos'!$B$5))*(SQRT(SUMXMY2('Tabela Entrada-Saída'!$B$10:$O$10,'Coordenadas dos Polos'!$AD$2:$AQ$2)))^2)</f>
        <v>5.2395892720544471E-6</v>
      </c>
      <c r="D10">
        <f>EXP(((-1)/(2*'Cálculos Diversos'!$B$5))*(SQRT(SUMXMY2('Tabela Entrada-Saída'!$B$10:$O$10,'Coordenadas dos Polos'!$AR$2:$BE$2)))^2)</f>
        <v>8.4932688459419688E-5</v>
      </c>
      <c r="E10">
        <f>EXP(((-1)/(2*'Cálculos Diversos'!$B$5))*(SQRT(SUMXMY2('Tabela Entrada-Saída'!$B$10:$O$10,'Coordenadas dos Polos'!$BF$2:$BS$2)))^2)</f>
        <v>1.066275289241683E-6</v>
      </c>
      <c r="F10">
        <f>EXP(((-1)/(2*'Cálculos Diversos'!$B$5))*(SQRT(SUMXMY2('Tabela Entrada-Saída'!$B$10:$O$10,'Coordenadas dos Polos'!$BT$2:$CG$2)))^2)</f>
        <v>1.307024495651872E-4</v>
      </c>
      <c r="G10">
        <f>EXP(((-1)/(2*'Cálculos Diversos'!$B$5))*(SQRT(SUMXMY2('Tabela Entrada-Saída'!$B$10:$O$10,'Coordenadas dos Polos'!$CH$2:$CU$2)))^2)</f>
        <v>3.0786615787157176E-3</v>
      </c>
      <c r="H10">
        <f>EXP(((-1)/(2*'Cálculos Diversos'!$B$5))*(SQRT(SUMXMY2('Tabela Entrada-Saída'!$B$10:$O$10,'Coordenadas dos Polos'!$CV$2:$DI$2)))^2)</f>
        <v>6.2232440732672474E-6</v>
      </c>
      <c r="I10">
        <f>EXP(((-1)/(2*'Cálculos Diversos'!$B$5))*(SQRT(SUMXMY2('Tabela Entrada-Saída'!$B$10:$O$10,'Coordenadas dos Polos'!$DJ$2:$DW$2)))^2)</f>
        <v>3.9578249282019124E-4</v>
      </c>
      <c r="J10">
        <f>EXP(((-1)/(2*'Cálculos Diversos'!$B$5))*(SQRT(SUMXMY2('Tabela Entrada-Saída'!$B$10:$O$10,'Coordenadas dos Polos'!$DX$2:$EK$2)))^2)</f>
        <v>4.5848120737798266E-3</v>
      </c>
      <c r="K10">
        <f>EXP(((-1)/(2*'Cálculos Diversos'!$B$5))*(SQRT(SUMXMY2('Tabela Entrada-Saída'!$B$10:$O$10,'Coordenadas dos Polos'!$EL$2:$EY$2)))^2)</f>
        <v>3.2156866806717184E-3</v>
      </c>
      <c r="L10">
        <f>EXP(((-1)/(2*'Cálculos Diversos'!$B$5))*(SQRT(SUMXMY2('Tabela Entrada-Saída'!$B$10:$O$10,'Coordenadas dos Polos'!$EZ$2:$FM$2)))^2)</f>
        <v>3.4842227017063844E-4</v>
      </c>
      <c r="M10">
        <f>EXP(((-1)/(2*'Cálculos Diversos'!$B$5))*(SQRT(SUMXMY2('Tabela Entrada-Saída'!$B$10:$O$10,'Coordenadas dos Polos'!$FN$2:$GA$2)))^2)</f>
        <v>5.9947123990835714E-4</v>
      </c>
      <c r="N10">
        <f>EXP(((-1)/(2*'Cálculos Diversos'!$B$5))*(SQRT(SUMXMY2('Tabela Entrada-Saída'!$B$10:$O$10,'Coordenadas dos Polos'!$GB$2:$GO$2)))^2)</f>
        <v>4.1798523782816486E-3</v>
      </c>
      <c r="O10">
        <f>EXP(((-1)/(2*'Cálculos Diversos'!$B$5))*(SQRT(SUMXMY2('Tabela Entrada-Saída'!$B$10:$O$10,'Coordenadas dos Polos'!$GP$2:$HC$2)))^2)</f>
        <v>1.3508764562184515E-4</v>
      </c>
      <c r="P10">
        <v>1</v>
      </c>
    </row>
    <row r="11" spans="1:16" x14ac:dyDescent="0.25">
      <c r="A11">
        <v>10</v>
      </c>
      <c r="B11">
        <f>EXP(((-1)/(2*'Cálculos Diversos'!$B$5))*(SQRT(SUMXMY2('Tabela Entrada-Saída'!$B$11:$O$11,'Coordenadas dos Polos'!$P$2:$AC$2)))^2)</f>
        <v>0.18588129971502926</v>
      </c>
      <c r="C11">
        <f>EXP(((-1)/(2*'Cálculos Diversos'!$B$5))*(SQRT(SUMXMY2('Tabela Entrada-Saída'!$B$11:$O$11,'Coordenadas dos Polos'!$AD$2:$AQ$2)))^2)</f>
        <v>6.130590041939623E-6</v>
      </c>
      <c r="D11">
        <f>EXP(((-1)/(2*'Cálculos Diversos'!$B$5))*(SQRT(SUMXMY2('Tabela Entrada-Saída'!$B$11:$O$11,'Coordenadas dos Polos'!$AR$2:$BE$2)))^2)</f>
        <v>9.0485965055810491E-5</v>
      </c>
      <c r="E11">
        <f>EXP(((-1)/(2*'Cálculos Diversos'!$B$5))*(SQRT(SUMXMY2('Tabela Entrada-Saída'!$B$11:$O$11,'Coordenadas dos Polos'!$BF$2:$BS$2)))^2)</f>
        <v>1.1938250175282874E-6</v>
      </c>
      <c r="F11">
        <f>EXP(((-1)/(2*'Cálculos Diversos'!$B$5))*(SQRT(SUMXMY2('Tabela Entrada-Saída'!$B$11:$O$11,'Coordenadas dos Polos'!$BT$2:$CG$2)))^2)</f>
        <v>1.4468853378105987E-4</v>
      </c>
      <c r="G11">
        <f>EXP(((-1)/(2*'Cálculos Diversos'!$B$5))*(SQRT(SUMXMY2('Tabela Entrada-Saída'!$B$11:$O$11,'Coordenadas dos Polos'!$CH$2:$CU$2)))^2)</f>
        <v>3.4943823496971118E-3</v>
      </c>
      <c r="H11">
        <f>EXP(((-1)/(2*'Cálculos Diversos'!$B$5))*(SQRT(SUMXMY2('Tabela Entrada-Saída'!$B$11:$O$11,'Coordenadas dos Polos'!$CV$2:$DI$2)))^2)</f>
        <v>6.4857668704311018E-6</v>
      </c>
      <c r="I11">
        <f>EXP(((-1)/(2*'Cálculos Diversos'!$B$5))*(SQRT(SUMXMY2('Tabela Entrada-Saída'!$B$11:$O$11,'Coordenadas dos Polos'!$DJ$2:$DW$2)))^2)</f>
        <v>4.4087562673361181E-4</v>
      </c>
      <c r="J11">
        <f>EXP(((-1)/(2*'Cálculos Diversos'!$B$5))*(SQRT(SUMXMY2('Tabela Entrada-Saída'!$B$11:$O$11,'Coordenadas dos Polos'!$DX$2:$EK$2)))^2)</f>
        <v>4.3858120851081274E-3</v>
      </c>
      <c r="K11">
        <f>EXP(((-1)/(2*'Cálculos Diversos'!$B$5))*(SQRT(SUMXMY2('Tabela Entrada-Saída'!$B$11:$O$11,'Coordenadas dos Polos'!$EL$2:$EY$2)))^2)</f>
        <v>3.5381350927201792E-3</v>
      </c>
      <c r="L11">
        <f>EXP(((-1)/(2*'Cálculos Diversos'!$B$5))*(SQRT(SUMXMY2('Tabela Entrada-Saída'!$B$11:$O$11,'Coordenadas dos Polos'!$EZ$2:$FM$2)))^2)</f>
        <v>3.3451765519583633E-4</v>
      </c>
      <c r="M11">
        <f>EXP(((-1)/(2*'Cálculos Diversos'!$B$5))*(SQRT(SUMXMY2('Tabela Entrada-Saída'!$B$11:$O$11,'Coordenadas dos Polos'!$FN$2:$GA$2)))^2)</f>
        <v>6.4118286953646314E-4</v>
      </c>
      <c r="N11">
        <f>EXP(((-1)/(2*'Cálculos Diversos'!$B$5))*(SQRT(SUMXMY2('Tabela Entrada-Saída'!$B$11:$O$11,'Coordenadas dos Polos'!$GB$2:$GO$2)))^2)</f>
        <v>4.6777291741096471E-3</v>
      </c>
      <c r="O11">
        <f>EXP(((-1)/(2*'Cálculos Diversos'!$B$5))*(SQRT(SUMXMY2('Tabela Entrada-Saída'!$B$11:$O$11,'Coordenadas dos Polos'!$GP$2:$HC$2)))^2)</f>
        <v>1.2865088049339549E-4</v>
      </c>
      <c r="P11">
        <v>1</v>
      </c>
    </row>
    <row r="12" spans="1:16" x14ac:dyDescent="0.25">
      <c r="A12">
        <v>11</v>
      </c>
      <c r="B12">
        <f>EXP(((-1)/(2*'Cálculos Diversos'!$B$5))*(SQRT(SUMXMY2('Tabela Entrada-Saída'!$B$12:$O$12,'Coordenadas dos Polos'!$P$2:$AC$2)))^2)</f>
        <v>0.27459780349085128</v>
      </c>
      <c r="C12">
        <f>EXP(((-1)/(2*'Cálculos Diversos'!$B$5))*(SQRT(SUMXMY2('Tabela Entrada-Saída'!$B$12:$O$12,'Coordenadas dos Polos'!$AD$2:$AQ$2)))^2)</f>
        <v>8.9007427355235306E-6</v>
      </c>
      <c r="D12">
        <f>EXP(((-1)/(2*'Cálculos Diversos'!$B$5))*(SQRT(SUMXMY2('Tabela Entrada-Saída'!$B$12:$O$12,'Coordenadas dos Polos'!$AR$2:$BE$2)))^2)</f>
        <v>1.0146605768464233E-4</v>
      </c>
      <c r="E12">
        <f>EXP(((-1)/(2*'Cálculos Diversos'!$B$5))*(SQRT(SUMXMY2('Tabela Entrada-Saída'!$B$12:$O$12,'Coordenadas dos Polos'!$BF$2:$BS$2)))^2)</f>
        <v>1.5378133234058417E-6</v>
      </c>
      <c r="F12">
        <f>EXP(((-1)/(2*'Cálculos Diversos'!$B$5))*(SQRT(SUMXMY2('Tabela Entrada-Saída'!$B$12:$O$12,'Coordenadas dos Polos'!$BT$2:$CG$2)))^2)</f>
        <v>1.7948666803133166E-4</v>
      </c>
      <c r="G12">
        <f>EXP(((-1)/(2*'Cálculos Diversos'!$B$5))*(SQRT(SUMXMY2('Tabela Entrada-Saída'!$B$12:$O$12,'Coordenadas dos Polos'!$CH$2:$CU$2)))^2)</f>
        <v>4.6579165924582602E-3</v>
      </c>
      <c r="H12">
        <f>EXP(((-1)/(2*'Cálculos Diversos'!$B$5))*(SQRT(SUMXMY2('Tabela Entrada-Saída'!$B$12:$O$12,'Coordenadas dos Polos'!$CV$2:$DI$2)))^2)</f>
        <v>6.913239126751541E-6</v>
      </c>
      <c r="I12">
        <f>EXP(((-1)/(2*'Cálculos Diversos'!$B$5))*(SQRT(SUMXMY2('Tabela Entrada-Saída'!$B$12:$O$12,'Coordenadas dos Polos'!$DJ$2:$DW$2)))^2)</f>
        <v>5.5739378599602857E-4</v>
      </c>
      <c r="J12">
        <f>EXP(((-1)/(2*'Cálculos Diversos'!$B$5))*(SQRT(SUMXMY2('Tabela Entrada-Saída'!$B$12:$O$12,'Coordenadas dos Polos'!$DX$2:$EK$2)))^2)</f>
        <v>3.7471937683288886E-3</v>
      </c>
      <c r="K12">
        <f>EXP(((-1)/(2*'Cálculos Diversos'!$B$5))*(SQRT(SUMXMY2('Tabela Entrada-Saída'!$B$12:$O$12,'Coordenadas dos Polos'!$EL$2:$EY$2)))^2)</f>
        <v>4.2992898830801632E-3</v>
      </c>
      <c r="L12">
        <f>EXP(((-1)/(2*'Cálculos Diversos'!$B$5))*(SQRT(SUMXMY2('Tabela Entrada-Saída'!$B$12:$O$12,'Coordenadas dos Polos'!$EZ$2:$FM$2)))^2)</f>
        <v>2.8596332516505263E-4</v>
      </c>
      <c r="M12">
        <f>EXP(((-1)/(2*'Cálculos Diversos'!$B$5))*(SQRT(SUMXMY2('Tabela Entrada-Saída'!$B$12:$O$12,'Coordenadas dos Polos'!$FN$2:$GA$2)))^2)</f>
        <v>7.3593381665118247E-4</v>
      </c>
      <c r="N12">
        <f>EXP(((-1)/(2*'Cálculos Diversos'!$B$5))*(SQRT(SUMXMY2('Tabela Entrada-Saída'!$B$12:$O$12,'Coordenadas dos Polos'!$GB$2:$GO$2)))^2)</f>
        <v>5.9604134091289932E-3</v>
      </c>
      <c r="O12">
        <f>EXP(((-1)/(2*'Cálculos Diversos'!$B$5))*(SQRT(SUMXMY2('Tabela Entrada-Saída'!$B$12:$O$12,'Coordenadas dos Polos'!$GP$2:$HC$2)))^2)</f>
        <v>1.0848738967922708E-4</v>
      </c>
      <c r="P12">
        <v>1</v>
      </c>
    </row>
    <row r="13" spans="1:16" x14ac:dyDescent="0.25">
      <c r="A13">
        <v>12</v>
      </c>
      <c r="B13">
        <f>EXP(((-1)/(2*'Cálculos Diversos'!$B$5))*(SQRT(SUMXMY2('Tabela Entrada-Saída'!$B$13:$O$13,'Coordenadas dos Polos'!$P$2:$AC$2)))^2)</f>
        <v>0.14282673920811445</v>
      </c>
      <c r="C13">
        <f>EXP(((-1)/(2*'Cálculos Diversos'!$B$5))*(SQRT(SUMXMY2('Tabela Entrada-Saída'!$B$13:$O$13,'Coordenadas dos Polos'!$AD$2:$AQ$2)))^2)</f>
        <v>4.8039966202852224E-6</v>
      </c>
      <c r="D13">
        <f>EXP(((-1)/(2*'Cálculos Diversos'!$B$5))*(SQRT(SUMXMY2('Tabela Entrada-Saída'!$B$13:$O$13,'Coordenadas dos Polos'!$AR$2:$BE$2)))^2)</f>
        <v>8.166749555183011E-5</v>
      </c>
      <c r="E13">
        <f>EXP(((-1)/(2*'Cálculos Diversos'!$B$5))*(SQRT(SUMXMY2('Tabela Entrada-Saída'!$B$13:$O$13,'Coordenadas dos Polos'!$BF$2:$BS$2)))^2)</f>
        <v>1.0014789220819619E-6</v>
      </c>
      <c r="F13">
        <f>EXP(((-1)/(2*'Cálculos Diversos'!$B$5))*(SQRT(SUMXMY2('Tabela Entrada-Saída'!$B$13:$O$13,'Coordenadas dos Polos'!$BT$2:$CG$2)))^2)</f>
        <v>1.2351667454844588E-4</v>
      </c>
      <c r="G13">
        <f>EXP(((-1)/(2*'Cálculos Diversos'!$B$5))*(SQRT(SUMXMY2('Tabela Entrada-Saída'!$B$13:$O$13,'Coordenadas dos Polos'!$CH$2:$CU$2)))^2)</f>
        <v>2.8705491020313157E-3</v>
      </c>
      <c r="H13">
        <f>EXP(((-1)/(2*'Cálculos Diversos'!$B$5))*(SQRT(SUMXMY2('Tabela Entrada-Saída'!$B$13:$O$13,'Coordenadas dos Polos'!$CV$2:$DI$2)))^2)</f>
        <v>6.0541240781407045E-6</v>
      </c>
      <c r="I13">
        <f>EXP(((-1)/(2*'Cálculos Diversos'!$B$5))*(SQRT(SUMXMY2('Tabela Entrada-Saída'!$B$13:$O$13,'Coordenadas dos Polos'!$DJ$2:$DW$2)))^2)</f>
        <v>3.7239656414539098E-4</v>
      </c>
      <c r="J13">
        <f>EXP(((-1)/(2*'Cálculos Diversos'!$B$5))*(SQRT(SUMXMY2('Tabela Entrada-Saída'!$B$13:$O$13,'Coordenadas dos Polos'!$DX$2:$EK$2)))^2)</f>
        <v>4.6596718687267899E-3</v>
      </c>
      <c r="K13">
        <f>EXP(((-1)/(2*'Cálculos Diversos'!$B$5))*(SQRT(SUMXMY2('Tabela Entrada-Saída'!$B$13:$O$13,'Coordenadas dos Polos'!$EL$2:$EY$2)))^2)</f>
        <v>3.0472958716888628E-3</v>
      </c>
      <c r="L13">
        <f>EXP(((-1)/(2*'Cálculos Diversos'!$B$5))*(SQRT(SUMXMY2('Tabela Entrada-Saída'!$B$13:$O$13,'Coordenadas dos Polos'!$EZ$2:$FM$2)))^2)</f>
        <v>3.537372857932985E-4</v>
      </c>
      <c r="M13">
        <f>EXP(((-1)/(2*'Cálculos Diversos'!$B$5))*(SQRT(SUMXMY2('Tabela Entrada-Saída'!$B$13:$O$13,'Coordenadas dos Polos'!$FN$2:$GA$2)))^2)</f>
        <v>5.7650288907566542E-4</v>
      </c>
      <c r="N13">
        <f>EXP(((-1)/(2*'Cálculos Diversos'!$B$5))*(SQRT(SUMXMY2('Tabela Entrada-Saída'!$B$13:$O$13,'Coordenadas dos Polos'!$GB$2:$GO$2)))^2)</f>
        <v>3.925906242264029E-3</v>
      </c>
      <c r="O13">
        <f>EXP(((-1)/(2*'Cálculos Diversos'!$B$5))*(SQRT(SUMXMY2('Tabela Entrada-Saída'!$B$13:$O$13,'Coordenadas dos Polos'!$GP$2:$HC$2)))^2)</f>
        <v>1.3787040121718811E-4</v>
      </c>
      <c r="P13">
        <v>1</v>
      </c>
    </row>
    <row r="14" spans="1:16" x14ac:dyDescent="0.25">
      <c r="A14">
        <v>13</v>
      </c>
      <c r="B14">
        <f>EXP(((-1)/(2*'Cálculos Diversos'!$B$5))*(SQRT(SUMXMY2('Tabela Entrada-Saída'!$B$14:$O$14,'Coordenadas dos Polos'!$P$2:$AC$2)))^2)</f>
        <v>0.24504585640531051</v>
      </c>
      <c r="C14">
        <f>EXP(((-1)/(2*'Cálculos Diversos'!$B$5))*(SQRT(SUMXMY2('Tabela Entrada-Saída'!$B$14:$O$14,'Coordenadas dos Polos'!$AD$2:$AQ$2)))^2)</f>
        <v>7.9947717884041972E-6</v>
      </c>
      <c r="D14">
        <f>EXP(((-1)/(2*'Cálculos Diversos'!$B$5))*(SQRT(SUMXMY2('Tabela Entrada-Saída'!$B$14:$O$14,'Coordenadas dos Polos'!$AR$2:$BE$2)))^2)</f>
        <v>9.8643197737650036E-5</v>
      </c>
      <c r="E14">
        <f>EXP(((-1)/(2*'Cálculos Diversos'!$B$5))*(SQRT(SUMXMY2('Tabela Entrada-Saída'!$B$14:$O$14,'Coordenadas dos Polos'!$BF$2:$BS$2)))^2)</f>
        <v>1.4346313927085777E-6</v>
      </c>
      <c r="F14">
        <f>EXP(((-1)/(2*'Cálculos Diversos'!$B$5))*(SQRT(SUMXMY2('Tabela Entrada-Saída'!$B$14:$O$14,'Coordenadas dos Polos'!$BT$2:$CG$2)))^2)</f>
        <v>1.6932421291200624E-4</v>
      </c>
      <c r="G14">
        <f>EXP(((-1)/(2*'Cálculos Diversos'!$B$5))*(SQRT(SUMXMY2('Tabela Entrada-Saída'!$B$14:$O$14,'Coordenadas dos Polos'!$CH$2:$CU$2)))^2)</f>
        <v>4.2981594794808961E-3</v>
      </c>
      <c r="H14">
        <f>EXP(((-1)/(2*'Cálculos Diversos'!$B$5))*(SQRT(SUMXMY2('Tabela Entrada-Saída'!$B$14:$O$14,'Coordenadas dos Polos'!$CV$2:$DI$2)))^2)</f>
        <v>6.8369334244286375E-6</v>
      </c>
      <c r="I14">
        <f>EXP(((-1)/(2*'Cálculos Diversos'!$B$5))*(SQRT(SUMXMY2('Tabela Entrada-Saída'!$B$14:$O$14,'Coordenadas dos Polos'!$DJ$2:$DW$2)))^2)</f>
        <v>5.2240864031118214E-4</v>
      </c>
      <c r="J14">
        <f>EXP(((-1)/(2*'Cálculos Diversos'!$B$5))*(SQRT(SUMXMY2('Tabela Entrada-Saída'!$B$14:$O$14,'Coordenadas dos Polos'!$DX$2:$EK$2)))^2)</f>
        <v>3.9740918199908659E-3</v>
      </c>
      <c r="K14">
        <f>EXP(((-1)/(2*'Cálculos Diversos'!$B$5))*(SQRT(SUMXMY2('Tabela Entrada-Saída'!$B$14:$O$14,'Coordenadas dos Polos'!$EL$2:$EY$2)))^2)</f>
        <v>4.0787876585930078E-3</v>
      </c>
      <c r="L14">
        <f>EXP(((-1)/(2*'Cálculos Diversos'!$B$5))*(SQRT(SUMXMY2('Tabela Entrada-Saída'!$B$14:$O$14,'Coordenadas dos Polos'!$EZ$2:$FM$2)))^2)</f>
        <v>3.029824499751777E-4</v>
      </c>
      <c r="M14">
        <f>EXP(((-1)/(2*'Cálculos Diversos'!$B$5))*(SQRT(SUMXMY2('Tabela Entrada-Saída'!$B$14:$O$14,'Coordenadas dos Polos'!$FN$2:$GA$2)))^2)</f>
        <v>7.1237353222606224E-4</v>
      </c>
      <c r="N14">
        <f>EXP(((-1)/(2*'Cálculos Diversos'!$B$5))*(SQRT(SUMXMY2('Tabela Entrada-Saída'!$B$14:$O$14,'Coordenadas dos Polos'!$GB$2:$GO$2)))^2)</f>
        <v>5.5726204025457332E-3</v>
      </c>
      <c r="O14">
        <f>EXP(((-1)/(2*'Cálculos Diversos'!$B$5))*(SQRT(SUMXMY2('Tabela Entrada-Saída'!$B$14:$O$14,'Coordenadas dos Polos'!$GP$2:$HC$2)))^2)</f>
        <v>1.1562399373451822E-4</v>
      </c>
      <c r="P14">
        <v>1</v>
      </c>
    </row>
    <row r="15" spans="1:16" x14ac:dyDescent="0.25">
      <c r="A15">
        <v>14</v>
      </c>
      <c r="B15">
        <f>EXP(((-1)/(2*'Cálculos Diversos'!$B$5))*(SQRT(SUMXMY2('Tabela Entrada-Saída'!$B$15:$O$15,'Coordenadas dos Polos'!$P$2:$AC$2)))^2)</f>
        <v>0.14132887770341593</v>
      </c>
      <c r="C15">
        <f>EXP(((-1)/(2*'Cálculos Diversos'!$B$5))*(SQRT(SUMXMY2('Tabela Entrada-Saída'!$B$15:$O$15,'Coordenadas dos Polos'!$AD$2:$AQ$2)))^2)</f>
        <v>4.7488380199022478E-6</v>
      </c>
      <c r="D15">
        <f>EXP(((-1)/(2*'Cálculos Diversos'!$B$5))*(SQRT(SUMXMY2('Tabela Entrada-Saída'!$B$15:$O$15,'Coordenadas dos Polos'!$AR$2:$BE$2)))^2)</f>
        <v>8.1250938208507028E-5</v>
      </c>
      <c r="E15">
        <f>EXP(((-1)/(2*'Cálculos Diversos'!$B$5))*(SQRT(SUMXMY2('Tabela Entrada-Saída'!$B$15:$O$15,'Coordenadas dos Polos'!$BF$2:$BS$2)))^2)</f>
        <v>9.9235417990522298E-7</v>
      </c>
      <c r="F15">
        <f>EXP(((-1)/(2*'Cálculos Diversos'!$B$5))*(SQRT(SUMXMY2('Tabela Entrada-Saída'!$B$15:$O$15,'Coordenadas dos Polos'!$BT$2:$CG$2)))^2)</f>
        <v>1.2260133773499358E-4</v>
      </c>
      <c r="G15">
        <f>EXP(((-1)/(2*'Cálculos Diversos'!$B$5))*(SQRT(SUMXMY2('Tabela Entrada-Saída'!$B$15:$O$15,'Coordenadas dos Polos'!$CH$2:$CU$2)))^2)</f>
        <v>2.844234962005184E-3</v>
      </c>
      <c r="H15">
        <f>EXP(((-1)/(2*'Cálculos Diversos'!$B$5))*(SQRT(SUMXMY2('Tabela Entrada-Saída'!$B$15:$O$15,'Coordenadas dos Polos'!$CV$2:$DI$2)))^2)</f>
        <v>6.0268137010862052E-6</v>
      </c>
      <c r="I15">
        <f>EXP(((-1)/(2*'Cálculos Diversos'!$B$5))*(SQRT(SUMXMY2('Tabela Entrada-Saída'!$B$15:$O$15,'Coordenadas dos Polos'!$DJ$2:$DW$2)))^2)</f>
        <v>3.692820565676526E-4</v>
      </c>
      <c r="J15">
        <f>EXP(((-1)/(2*'Cálculos Diversos'!$B$5))*(SQRT(SUMXMY2('Tabela Entrada-Saída'!$B$15:$O$15,'Coordenadas dos Polos'!$DX$2:$EK$2)))^2)</f>
        <v>4.6631026564271944E-3</v>
      </c>
      <c r="K15">
        <f>EXP(((-1)/(2*'Cálculos Diversos'!$B$5))*(SQRT(SUMXMY2('Tabela Entrada-Saída'!$B$15:$O$15,'Coordenadas dos Polos'!$EL$2:$EY$2)))^2)</f>
        <v>3.0267449873010947E-3</v>
      </c>
      <c r="L15">
        <f>EXP(((-1)/(2*'Cálculos Diversos'!$B$5))*(SQRT(SUMXMY2('Tabela Entrada-Saída'!$B$15:$O$15,'Coordenadas dos Polos'!$EZ$2:$FM$2)))^2)</f>
        <v>3.5395387668134514E-4</v>
      </c>
      <c r="M15">
        <f>EXP(((-1)/(2*'Cálculos Diversos'!$B$5))*(SQRT(SUMXMY2('Tabela Entrada-Saída'!$B$15:$O$15,'Coordenadas dos Polos'!$FN$2:$GA$2)))^2)</f>
        <v>5.7273485945551509E-4</v>
      </c>
      <c r="N15">
        <f>EXP(((-1)/(2*'Cálculos Diversos'!$B$5))*(SQRT(SUMXMY2('Tabela Entrada-Saída'!$B$15:$O$15,'Coordenadas dos Polos'!$GB$2:$GO$2)))^2)</f>
        <v>3.8951272994419699E-3</v>
      </c>
      <c r="O15">
        <f>EXP(((-1)/(2*'Cálculos Diversos'!$B$5))*(SQRT(SUMXMY2('Tabela Entrada-Saída'!$B$15:$O$15,'Coordenadas dos Polos'!$GP$2:$HC$2)))^2)</f>
        <v>1.3795398847169012E-4</v>
      </c>
      <c r="P15">
        <v>1</v>
      </c>
    </row>
    <row r="16" spans="1:16" x14ac:dyDescent="0.25">
      <c r="A16">
        <v>15</v>
      </c>
      <c r="B16">
        <f>EXP(((-1)/(2*'Cálculos Diversos'!$B$5))*(SQRT(SUMXMY2('Tabela Entrada-Saída'!$B$16:$O$16,'Coordenadas dos Polos'!$P$2:$AC$2)))^2)</f>
        <v>0.11213098183022785</v>
      </c>
      <c r="C16">
        <f>EXP(((-1)/(2*'Cálculos Diversos'!$B$5))*(SQRT(SUMXMY2('Tabela Entrada-Saída'!$B$16:$O$16,'Coordenadas dos Polos'!$AD$2:$AQ$2)))^2)</f>
        <v>3.81506645829321E-6</v>
      </c>
      <c r="D16">
        <f>EXP(((-1)/(2*'Cálculos Diversos'!$B$5))*(SQRT(SUMXMY2('Tabela Entrada-Saída'!$B$16:$O$16,'Coordenadas dos Polos'!$AR$2:$BE$2)))^2)</f>
        <v>7.336612069874477E-5</v>
      </c>
      <c r="E16">
        <f>EXP(((-1)/(2*'Cálculos Diversos'!$B$5))*(SQRT(SUMXMY2('Tabela Entrada-Saída'!$B$16:$O$16,'Coordenadas dos Polos'!$BF$2:$BS$2)))^2)</f>
        <v>8.4101163461190775E-7</v>
      </c>
      <c r="F16">
        <f>EXP(((-1)/(2*'Cálculos Diversos'!$B$5))*(SQRT(SUMXMY2('Tabela Entrada-Saída'!$B$16:$O$16,'Coordenadas dos Polos'!$BT$2:$CG$2)))^2)</f>
        <v>1.0557528007767785E-4</v>
      </c>
      <c r="G16">
        <f>EXP(((-1)/(2*'Cálculos Diversos'!$B$5))*(SQRT(SUMXMY2('Tabela Entrada-Saída'!$B$16:$O$16,'Coordenadas dos Polos'!$CH$2:$CU$2)))^2)</f>
        <v>2.3739758245613029E-3</v>
      </c>
      <c r="H16">
        <f>EXP(((-1)/(2*'Cálculos Diversos'!$B$5))*(SQRT(SUMXMY2('Tabela Entrada-Saída'!$B$16:$O$16,'Coordenadas dos Polos'!$CV$2:$DI$2)))^2)</f>
        <v>5.5782161100767933E-6</v>
      </c>
      <c r="I16">
        <f>EXP(((-1)/(2*'Cálculos Diversos'!$B$5))*(SQRT(SUMXMY2('Tabela Entrada-Saída'!$B$16:$O$16,'Coordenadas dos Polos'!$DJ$2:$DW$2)))^2)</f>
        <v>3.1544298313818456E-4</v>
      </c>
      <c r="J16">
        <f>EXP(((-1)/(2*'Cálculos Diversos'!$B$5))*(SQRT(SUMXMY2('Tabela Entrada-Saída'!$B$16:$O$16,'Coordenadas dos Polos'!$DX$2:$EK$2)))^2)</f>
        <v>4.7865474369382707E-3</v>
      </c>
      <c r="K16">
        <f>EXP(((-1)/(2*'Cálculos Diversos'!$B$5))*(SQRT(SUMXMY2('Tabela Entrada-Saída'!$B$16:$O$16,'Coordenadas dos Polos'!$EL$2:$EY$2)))^2)</f>
        <v>2.630251607458175E-3</v>
      </c>
      <c r="L16">
        <f>EXP(((-1)/(2*'Cálculos Diversos'!$B$5))*(SQRT(SUMXMY2('Tabela Entrada-Saída'!$B$16:$O$16,'Coordenadas dos Polos'!$EZ$2:$FM$2)))^2)</f>
        <v>3.6227368104385768E-4</v>
      </c>
      <c r="M16">
        <f>EXP(((-1)/(2*'Cálculos Diversos'!$B$5))*(SQRT(SUMXMY2('Tabela Entrada-Saída'!$B$16:$O$16,'Coordenadas dos Polos'!$FN$2:$GA$2)))^2)</f>
        <v>5.1253495705660479E-4</v>
      </c>
      <c r="N16">
        <f>EXP(((-1)/(2*'Cálculos Diversos'!$B$5))*(SQRT(SUMXMY2('Tabela Entrada-Saída'!$B$16:$O$16,'Coordenadas dos Polos'!$GB$2:$GO$2)))^2)</f>
        <v>3.3141569356691866E-3</v>
      </c>
      <c r="O16">
        <f>EXP(((-1)/(2*'Cálculos Diversos'!$B$5))*(SQRT(SUMXMY2('Tabela Entrada-Saída'!$B$16:$O$16,'Coordenadas dos Polos'!$GP$2:$HC$2)))^2)</f>
        <v>1.422558562289E-4</v>
      </c>
      <c r="P16">
        <v>1</v>
      </c>
    </row>
    <row r="17" spans="1:16" x14ac:dyDescent="0.25">
      <c r="A17">
        <v>16</v>
      </c>
      <c r="B17">
        <f>EXP(((-1)/(2*'Cálculos Diversos'!$B$5))*(SQRT(SUMXMY2('Tabela Entrada-Saída'!$B$17:$O$17,'Coordenadas dos Polos'!$P$2:$AC$2)))^2)</f>
        <v>0.11669819281532366</v>
      </c>
      <c r="C17">
        <f>EXP(((-1)/(2*'Cálculos Diversos'!$B$5))*(SQRT(SUMXMY2('Tabela Entrada-Saída'!$B$17:$O$17,'Coordenadas dos Polos'!$AD$2:$AQ$2)))^2)</f>
        <v>3.9769017578732574E-6</v>
      </c>
      <c r="D17">
        <f>EXP(((-1)/(2*'Cálculos Diversos'!$B$5))*(SQRT(SUMXMY2('Tabela Entrada-Saída'!$B$17:$O$17,'Coordenadas dos Polos'!$AR$2:$BE$2)))^2)</f>
        <v>7.4670779096541352E-5</v>
      </c>
      <c r="E17">
        <f>EXP(((-1)/(2*'Cálculos Diversos'!$B$5))*(SQRT(SUMXMY2('Tabela Entrada-Saída'!$B$17:$O$17,'Coordenadas dos Polos'!$BF$2:$BS$2)))^2)</f>
        <v>8.6901615486398251E-7</v>
      </c>
      <c r="F17">
        <f>EXP(((-1)/(2*'Cálculos Diversos'!$B$5))*(SQRT(SUMXMY2('Tabela Entrada-Saída'!$B$17:$O$17,'Coordenadas dos Polos'!$BT$2:$CG$2)))^2)</f>
        <v>1.0856966189292487E-4</v>
      </c>
      <c r="G17">
        <f>EXP(((-1)/(2*'Cálculos Diversos'!$B$5))*(SQRT(SUMXMY2('Tabela Entrada-Saída'!$B$17:$O$17,'Coordenadas dos Polos'!$CH$2:$CU$2)))^2)</f>
        <v>2.4577303316125777E-3</v>
      </c>
      <c r="H17">
        <f>EXP(((-1)/(2*'Cálculos Diversos'!$B$5))*(SQRT(SUMXMY2('Tabela Entrada-Saída'!$B$17:$O$17,'Coordenadas dos Polos'!$CV$2:$DI$2)))^2)</f>
        <v>5.6673988201646646E-6</v>
      </c>
      <c r="I17">
        <f>EXP(((-1)/(2*'Cálculos Diversos'!$B$5))*(SQRT(SUMXMY2('Tabela Entrada-Saída'!$B$17:$O$17,'Coordenadas dos Polos'!$DJ$2:$DW$2)))^2)</f>
        <v>3.2477200027840363E-4</v>
      </c>
      <c r="J17">
        <f>EXP(((-1)/(2*'Cálculos Diversos'!$B$5))*(SQRT(SUMXMY2('Tabela Entrada-Saída'!$B$17:$O$17,'Coordenadas dos Polos'!$DX$2:$EK$2)))^2)</f>
        <v>4.7823581201551233E-3</v>
      </c>
      <c r="K17">
        <f>EXP(((-1)/(2*'Cálculos Diversos'!$B$5))*(SQRT(SUMXMY2('Tabela Entrada-Saída'!$B$17:$O$17,'Coordenadas dos Polos'!$EL$2:$EY$2)))^2)</f>
        <v>2.6963885291157708E-3</v>
      </c>
      <c r="L17">
        <f>EXP(((-1)/(2*'Cálculos Diversos'!$B$5))*(SQRT(SUMXMY2('Tabela Entrada-Saída'!$B$17:$O$17,'Coordenadas dos Polos'!$EZ$2:$FM$2)))^2)</f>
        <v>3.614854293124134E-4</v>
      </c>
      <c r="M17">
        <f>EXP(((-1)/(2*'Cálculos Diversos'!$B$5))*(SQRT(SUMXMY2('Tabela Entrada-Saída'!$B$17:$O$17,'Coordenadas dos Polos'!$FN$2:$GA$2)))^2)</f>
        <v>5.2554862991778962E-4</v>
      </c>
      <c r="N17">
        <f>EXP(((-1)/(2*'Cálculos Diversos'!$B$5))*(SQRT(SUMXMY2('Tabela Entrada-Saída'!$B$17:$O$17,'Coordenadas dos Polos'!$GB$2:$GO$2)))^2)</f>
        <v>3.4122953988793762E-3</v>
      </c>
      <c r="O17">
        <f>EXP(((-1)/(2*'Cálculos Diversos'!$B$5))*(SQRT(SUMXMY2('Tabela Entrada-Saída'!$B$17:$O$17,'Coordenadas dos Polos'!$GP$2:$HC$2)))^2)</f>
        <v>1.422208508795786E-4</v>
      </c>
      <c r="P17">
        <v>1</v>
      </c>
    </row>
    <row r="18" spans="1:16" x14ac:dyDescent="0.25">
      <c r="A18">
        <v>17</v>
      </c>
      <c r="B18">
        <f>EXP(((-1)/(2*'Cálculos Diversos'!$B$5))*(SQRT(SUMXMY2('Tabela Entrada-Saída'!$B$18:$O$18,'Coordenadas dos Polos'!$P$2:$AC$2)))^2)</f>
        <v>0.1884211181878622</v>
      </c>
      <c r="C18">
        <f>EXP(((-1)/(2*'Cálculos Diversos'!$B$5))*(SQRT(SUMXMY2('Tabela Entrada-Saída'!$B$18:$O$18,'Coordenadas dos Polos'!$AD$2:$AQ$2)))^2)</f>
        <v>6.2601932530630419E-6</v>
      </c>
      <c r="D18">
        <f>EXP(((-1)/(2*'Cálculos Diversos'!$B$5))*(SQRT(SUMXMY2('Tabela Entrada-Saída'!$B$18:$O$18,'Coordenadas dos Polos'!$AR$2:$BE$2)))^2)</f>
        <v>9.1015893060476937E-5</v>
      </c>
      <c r="E18">
        <f>EXP(((-1)/(2*'Cálculos Diversos'!$B$5))*(SQRT(SUMXMY2('Tabela Entrada-Saída'!$B$18:$O$18,'Coordenadas dos Polos'!$BF$2:$BS$2)))^2)</f>
        <v>1.2134644508586969E-6</v>
      </c>
      <c r="F18">
        <f>EXP(((-1)/(2*'Cálculos Diversos'!$B$5))*(SQRT(SUMXMY2('Tabela Entrada-Saída'!$B$18:$O$18,'Coordenadas dos Polos'!$BT$2:$CG$2)))^2)</f>
        <v>1.4635045732693387E-4</v>
      </c>
      <c r="G18">
        <f>EXP(((-1)/(2*'Cálculos Diversos'!$B$5))*(SQRT(SUMXMY2('Tabela Entrada-Saída'!$B$18:$O$18,'Coordenadas dos Polos'!$CH$2:$CU$2)))^2)</f>
        <v>3.5516447337638666E-3</v>
      </c>
      <c r="H18">
        <f>EXP(((-1)/(2*'Cálculos Diversos'!$B$5))*(SQRT(SUMXMY2('Tabela Entrada-Saída'!$B$18:$O$18,'Coordenadas dos Polos'!$CV$2:$DI$2)))^2)</f>
        <v>6.5363371709880253E-6</v>
      </c>
      <c r="I18">
        <f>EXP(((-1)/(2*'Cálculos Diversos'!$B$5))*(SQRT(SUMXMY2('Tabela Entrada-Saída'!$B$18:$O$18,'Coordenadas dos Polos'!$DJ$2:$DW$2)))^2)</f>
        <v>4.4641101121557677E-4</v>
      </c>
      <c r="J18">
        <f>EXP(((-1)/(2*'Cálculos Diversos'!$B$5))*(SQRT(SUMXMY2('Tabela Entrada-Saída'!$B$18:$O$18,'Coordenadas dos Polos'!$DX$2:$EK$2)))^2)</f>
        <v>4.3926284278482984E-3</v>
      </c>
      <c r="K18">
        <f>EXP(((-1)/(2*'Cálculos Diversos'!$B$5))*(SQRT(SUMXMY2('Tabela Entrada-Saída'!$B$18:$O$18,'Coordenadas dos Polos'!$EL$2:$EY$2)))^2)</f>
        <v>3.5672943295716165E-3</v>
      </c>
      <c r="L18">
        <f>EXP(((-1)/(2*'Cálculos Diversos'!$B$5))*(SQRT(SUMXMY2('Tabela Entrada-Saída'!$B$18:$O$18,'Coordenadas dos Polos'!$EZ$2:$FM$2)))^2)</f>
        <v>3.3391426540181049E-4</v>
      </c>
      <c r="M18">
        <f>EXP(((-1)/(2*'Cálculos Diversos'!$B$5))*(SQRT(SUMXMY2('Tabela Entrada-Saída'!$B$18:$O$18,'Coordenadas dos Polos'!$FN$2:$GA$2)))^2)</f>
        <v>6.5058744093165924E-4</v>
      </c>
      <c r="N18">
        <f>EXP(((-1)/(2*'Cálculos Diversos'!$B$5))*(SQRT(SUMXMY2('Tabela Entrada-Saída'!$B$18:$O$18,'Coordenadas dos Polos'!$GB$2:$GO$2)))^2)</f>
        <v>4.7295418820890505E-3</v>
      </c>
      <c r="O18">
        <f>EXP(((-1)/(2*'Cálculos Diversos'!$B$5))*(SQRT(SUMXMY2('Tabela Entrada-Saída'!$B$18:$O$18,'Coordenadas dos Polos'!$GP$2:$HC$2)))^2)</f>
        <v>1.289284390742675E-4</v>
      </c>
      <c r="P18">
        <v>1</v>
      </c>
    </row>
    <row r="19" spans="1:16" x14ac:dyDescent="0.25">
      <c r="A19">
        <v>18</v>
      </c>
      <c r="B19">
        <f>EXP(((-1)/(2*'Cálculos Diversos'!$B$5))*(SQRT(SUMXMY2('Tabela Entrada-Saída'!$B$19:$O$19,'Coordenadas dos Polos'!$P$2:$AC$2)))^2)</f>
        <v>0.10681808775112286</v>
      </c>
      <c r="C19">
        <f>EXP(((-1)/(2*'Cálculos Diversos'!$B$5))*(SQRT(SUMXMY2('Tabela Entrada-Saída'!$B$19:$O$19,'Coordenadas dos Polos'!$AD$2:$AQ$2)))^2)</f>
        <v>3.6463455537945797E-6</v>
      </c>
      <c r="D19">
        <f>EXP(((-1)/(2*'Cálculos Diversos'!$B$5))*(SQRT(SUMXMY2('Tabela Entrada-Saída'!$B$19:$O$19,'Coordenadas dos Polos'!$AR$2:$BE$2)))^2)</f>
        <v>7.1674895035761358E-5</v>
      </c>
      <c r="E19">
        <f>EXP(((-1)/(2*'Cálculos Diversos'!$B$5))*(SQRT(SUMXMY2('Tabela Entrada-Saída'!$B$19:$O$19,'Coordenadas dos Polos'!$BF$2:$BS$2)))^2)</f>
        <v>8.1347609400288449E-7</v>
      </c>
      <c r="F19">
        <f>EXP(((-1)/(2*'Cálculos Diversos'!$B$5))*(SQRT(SUMXMY2('Tabela Entrada-Saída'!$B$19:$O$19,'Coordenadas dos Polos'!$BT$2:$CG$2)))^2)</f>
        <v>1.0235764226270189E-4</v>
      </c>
      <c r="G19">
        <f>EXP(((-1)/(2*'Cálculos Diversos'!$B$5))*(SQRT(SUMXMY2('Tabela Entrada-Saída'!$B$19:$O$19,'Coordenadas dos Polos'!$CH$2:$CU$2)))^2)</f>
        <v>2.2867985795838835E-3</v>
      </c>
      <c r="H19">
        <f>EXP(((-1)/(2*'Cálculos Diversos'!$B$5))*(SQRT(SUMXMY2('Tabela Entrada-Saída'!$B$19:$O$19,'Coordenadas dos Polos'!$CV$2:$DI$2)))^2)</f>
        <v>5.482833617513942E-6</v>
      </c>
      <c r="I19">
        <f>EXP(((-1)/(2*'Cálculos Diversos'!$B$5))*(SQRT(SUMXMY2('Tabela Entrada-Saída'!$B$19:$O$19,'Coordenadas dos Polos'!$DJ$2:$DW$2)))^2)</f>
        <v>3.0522047114422279E-4</v>
      </c>
      <c r="J19">
        <f>EXP(((-1)/(2*'Cálculos Diversos'!$B$5))*(SQRT(SUMXMY2('Tabela Entrada-Saída'!$B$19:$O$19,'Coordenadas dos Polos'!$DX$2:$EK$2)))^2)</f>
        <v>4.8026408532606014E-3</v>
      </c>
      <c r="K19">
        <f>EXP(((-1)/(2*'Cálculos Diversos'!$B$5))*(SQRT(SUMXMY2('Tabela Entrada-Saída'!$B$19:$O$19,'Coordenadas dos Polos'!$EL$2:$EY$2)))^2)</f>
        <v>2.5521266538084037E-3</v>
      </c>
      <c r="L19">
        <f>EXP(((-1)/(2*'Cálculos Diversos'!$B$5))*(SQRT(SUMXMY2('Tabela Entrada-Saída'!$B$19:$O$19,'Coordenadas dos Polos'!$EZ$2:$FM$2)))^2)</f>
        <v>3.6334499732900208E-4</v>
      </c>
      <c r="M19">
        <f>EXP(((-1)/(2*'Cálculos Diversos'!$B$5))*(SQRT(SUMXMY2('Tabela Entrada-Saída'!$B$19:$O$19,'Coordenadas dos Polos'!$FN$2:$GA$2)))^2)</f>
        <v>5.0141148588626894E-4</v>
      </c>
      <c r="N19">
        <f>EXP(((-1)/(2*'Cálculos Diversos'!$B$5))*(SQRT(SUMXMY2('Tabela Entrada-Saída'!$B$19:$O$19,'Coordenadas dos Polos'!$GB$2:$GO$2)))^2)</f>
        <v>3.2022442792564421E-3</v>
      </c>
      <c r="O19">
        <f>EXP(((-1)/(2*'Cálculos Diversos'!$B$5))*(SQRT(SUMXMY2('Tabela Entrada-Saída'!$B$19:$O$19,'Coordenadas dos Polos'!$GP$2:$HC$2)))^2)</f>
        <v>1.4311901135775736E-4</v>
      </c>
      <c r="P19">
        <v>1</v>
      </c>
    </row>
    <row r="20" spans="1:16" x14ac:dyDescent="0.25">
      <c r="A20">
        <v>19</v>
      </c>
      <c r="B20">
        <f>EXP(((-1)/(2*'Cálculos Diversos'!$B$5))*(SQRT(SUMXMY2('Tabela Entrada-Saída'!$B$20:$O$20,'Coordenadas dos Polos'!$P$2:$AC$2)))^2)</f>
        <v>0.16500034335286112</v>
      </c>
      <c r="C20">
        <f>EXP(((-1)/(2*'Cálculos Diversos'!$B$5))*(SQRT(SUMXMY2('Tabela Entrada-Saída'!$B$20:$O$20,'Coordenadas dos Polos'!$AD$2:$AQ$2)))^2)</f>
        <v>5.5029811979781799E-6</v>
      </c>
      <c r="D20">
        <f>EXP(((-1)/(2*'Cálculos Diversos'!$B$5))*(SQRT(SUMXMY2('Tabela Entrada-Saída'!$B$20:$O$20,'Coordenadas dos Polos'!$AR$2:$BE$2)))^2)</f>
        <v>8.6613268562706381E-5</v>
      </c>
      <c r="E20">
        <f>EXP(((-1)/(2*'Cálculos Diversos'!$B$5))*(SQRT(SUMXMY2('Tabela Entrada-Saída'!$B$20:$O$20,'Coordenadas dos Polos'!$BF$2:$BS$2)))^2)</f>
        <v>1.1046894595511931E-6</v>
      </c>
      <c r="F20">
        <f>EXP(((-1)/(2*'Cálculos Diversos'!$B$5))*(SQRT(SUMXMY2('Tabela Entrada-Saída'!$B$20:$O$20,'Coordenadas dos Polos'!$BT$2:$CG$2)))^2)</f>
        <v>1.3490542048506311E-4</v>
      </c>
      <c r="G20">
        <f>EXP(((-1)/(2*'Cálculos Diversos'!$B$5))*(SQRT(SUMXMY2('Tabela Entrada-Saída'!$B$20:$O$20,'Coordenadas dos Polos'!$CH$2:$CU$2)))^2)</f>
        <v>3.2041080139205962E-3</v>
      </c>
      <c r="H20">
        <f>EXP(((-1)/(2*'Cálculos Diversos'!$B$5))*(SQRT(SUMXMY2('Tabela Entrada-Saída'!$B$20:$O$20,'Coordenadas dos Polos'!$CV$2:$DI$2)))^2)</f>
        <v>6.3090676765902714E-6</v>
      </c>
      <c r="I20">
        <f>EXP(((-1)/(2*'Cálculos Diversos'!$B$5))*(SQRT(SUMXMY2('Tabela Entrada-Saída'!$B$20:$O$20,'Coordenadas dos Polos'!$DJ$2:$DW$2)))^2)</f>
        <v>4.0913795649304521E-4</v>
      </c>
      <c r="J20">
        <f>EXP(((-1)/(2*'Cálculos Diversos'!$B$5))*(SQRT(SUMXMY2('Tabela Entrada-Saída'!$B$20:$O$20,'Coordenadas dos Polos'!$DX$2:$EK$2)))^2)</f>
        <v>4.5338662568625166E-3</v>
      </c>
      <c r="K20">
        <f>EXP(((-1)/(2*'Cálculos Diversos'!$B$5))*(SQRT(SUMXMY2('Tabela Entrada-Saída'!$B$20:$O$20,'Coordenadas dos Polos'!$EL$2:$EY$2)))^2)</f>
        <v>3.311830213681078E-3</v>
      </c>
      <c r="L20">
        <f>EXP(((-1)/(2*'Cálculos Diversos'!$B$5))*(SQRT(SUMXMY2('Tabela Entrada-Saída'!$B$20:$O$20,'Coordenadas dos Polos'!$EZ$2:$FM$2)))^2)</f>
        <v>3.4451100926722429E-4</v>
      </c>
      <c r="M20">
        <f>EXP(((-1)/(2*'Cálculos Diversos'!$B$5))*(SQRT(SUMXMY2('Tabela Entrada-Saída'!$B$20:$O$20,'Coordenadas dos Polos'!$FN$2:$GA$2)))^2)</f>
        <v>6.1308909319139214E-4</v>
      </c>
      <c r="N20">
        <f>EXP(((-1)/(2*'Cálculos Diversos'!$B$5))*(SQRT(SUMXMY2('Tabela Entrada-Saída'!$B$20:$O$20,'Coordenadas dos Polos'!$GB$2:$GO$2)))^2)</f>
        <v>4.3284022346962827E-3</v>
      </c>
      <c r="O20">
        <f>EXP(((-1)/(2*'Cálculos Diversos'!$B$5))*(SQRT(SUMXMY2('Tabela Entrada-Saída'!$B$20:$O$20,'Coordenadas dos Polos'!$GP$2:$HC$2)))^2)</f>
        <v>1.3339411969200073E-4</v>
      </c>
      <c r="P20">
        <v>1</v>
      </c>
    </row>
    <row r="21" spans="1:16" x14ac:dyDescent="0.25">
      <c r="A21">
        <v>20</v>
      </c>
      <c r="B21">
        <f>EXP(((-1)/(2*'Cálculos Diversos'!$B$5))*(SQRT(SUMXMY2('Tabela Entrada-Saída'!$B$21:$O$21,'Coordenadas dos Polos'!$P$2:$AC$2)))^2)</f>
        <v>0.17216918157971906</v>
      </c>
      <c r="C21">
        <f>EXP(((-1)/(2*'Cálculos Diversos'!$B$5))*(SQRT(SUMXMY2('Tabela Entrada-Saída'!$B$21:$O$21,'Coordenadas dos Polos'!$AD$2:$AQ$2)))^2)</f>
        <v>5.7243698707545852E-6</v>
      </c>
      <c r="D21">
        <f>EXP(((-1)/(2*'Cálculos Diversos'!$B$5))*(SQRT(SUMXMY2('Tabela Entrada-Saída'!$B$21:$O$21,'Coordenadas dos Polos'!$AR$2:$BE$2)))^2)</f>
        <v>8.7986759526816774E-5</v>
      </c>
      <c r="E21">
        <f>EXP(((-1)/(2*'Cálculos Diversos'!$B$5))*(SQRT(SUMXMY2('Tabela Entrada-Saída'!$B$21:$O$21,'Coordenadas dos Polos'!$BF$2:$BS$2)))^2)</f>
        <v>1.1374243222750801E-6</v>
      </c>
      <c r="F21">
        <f>EXP(((-1)/(2*'Cálculos Diversos'!$B$5))*(SQRT(SUMXMY2('Tabela Entrada-Saída'!$B$21:$O$21,'Coordenadas dos Polos'!$BT$2:$CG$2)))^2)</f>
        <v>1.3847714536040248E-4</v>
      </c>
      <c r="G21">
        <f>EXP(((-1)/(2*'Cálculos Diversos'!$B$5))*(SQRT(SUMXMY2('Tabela Entrada-Saída'!$B$21:$O$21,'Coordenadas dos Polos'!$CH$2:$CU$2)))^2)</f>
        <v>3.3078953420358466E-3</v>
      </c>
      <c r="H21">
        <f>EXP(((-1)/(2*'Cálculos Diversos'!$B$5))*(SQRT(SUMXMY2('Tabela Entrada-Saída'!$B$21:$O$21,'Coordenadas dos Polos'!$CV$2:$DI$2)))^2)</f>
        <v>6.3777764953961591E-6</v>
      </c>
      <c r="I21">
        <f>EXP(((-1)/(2*'Cálculos Diversos'!$B$5))*(SQRT(SUMXMY2('Tabela Entrada-Saída'!$B$21:$O$21,'Coordenadas dos Polos'!$DJ$2:$DW$2)))^2)</f>
        <v>4.2048237543247619E-4</v>
      </c>
      <c r="J21">
        <f>EXP(((-1)/(2*'Cálculos Diversos'!$B$5))*(SQRT(SUMXMY2('Tabela Entrada-Saída'!$B$21:$O$21,'Coordenadas dos Polos'!$DX$2:$EK$2)))^2)</f>
        <v>4.4865887072273267E-3</v>
      </c>
      <c r="K21">
        <f>EXP(((-1)/(2*'Cálculos Diversos'!$B$5))*(SQRT(SUMXMY2('Tabela Entrada-Saída'!$B$21:$O$21,'Coordenadas dos Polos'!$EL$2:$EY$2)))^2)</f>
        <v>3.3918477656880138E-3</v>
      </c>
      <c r="L21">
        <f>EXP(((-1)/(2*'Cálculos Diversos'!$B$5))*(SQRT(SUMXMY2('Tabela Entrada-Saída'!$B$21:$O$21,'Coordenadas dos Polos'!$EZ$2:$FM$2)))^2)</f>
        <v>3.4127441354047668E-4</v>
      </c>
      <c r="M21">
        <f>EXP(((-1)/(2*'Cálculos Diversos'!$B$5))*(SQRT(SUMXMY2('Tabela Entrada-Saída'!$B$21:$O$21,'Coordenadas dos Polos'!$FN$2:$GA$2)))^2)</f>
        <v>6.2417513956614405E-4</v>
      </c>
      <c r="N21">
        <f>EXP(((-1)/(2*'Cálculos Diversos'!$B$5))*(SQRT(SUMXMY2('Tabela Entrada-Saída'!$B$21:$O$21,'Coordenadas dos Polos'!$GB$2:$GO$2)))^2)</f>
        <v>4.4511133241708677E-3</v>
      </c>
      <c r="O21">
        <f>EXP(((-1)/(2*'Cálculos Diversos'!$B$5))*(SQRT(SUMXMY2('Tabela Entrada-Saída'!$B$21:$O$21,'Coordenadas dos Polos'!$GP$2:$HC$2)))^2)</f>
        <v>1.3195391091017571E-4</v>
      </c>
      <c r="P21">
        <v>1</v>
      </c>
    </row>
    <row r="22" spans="1:16" x14ac:dyDescent="0.25">
      <c r="A22">
        <v>21</v>
      </c>
      <c r="B22">
        <f>EXP(((-1)/(2*'Cálculos Diversos'!$B$5))*(SQRT(SUMXMY2('Tabela Entrada-Saída'!$B$22:$O$22,'Coordenadas dos Polos'!$P$2:$AC$2)))^2)</f>
        <v>0.16470251933093907</v>
      </c>
      <c r="C22">
        <f>EXP(((-1)/(2*'Cálculos Diversos'!$B$5))*(SQRT(SUMXMY2('Tabela Entrada-Saída'!$B$22:$O$22,'Coordenadas dos Polos'!$AD$2:$AQ$2)))^2)</f>
        <v>5.5078783944484798E-6</v>
      </c>
      <c r="D22">
        <f>EXP(((-1)/(2*'Cálculos Diversos'!$B$5))*(SQRT(SUMXMY2('Tabela Entrada-Saída'!$B$22:$O$22,'Coordenadas dos Polos'!$AR$2:$BE$2)))^2)</f>
        <v>8.6476404831833804E-5</v>
      </c>
      <c r="E22">
        <f>EXP(((-1)/(2*'Cálculos Diversos'!$B$5))*(SQRT(SUMXMY2('Tabela Entrada-Saída'!$B$22:$O$22,'Coordenadas dos Polos'!$BF$2:$BS$2)))^2)</f>
        <v>1.1067898578548357E-6</v>
      </c>
      <c r="F22">
        <f>EXP(((-1)/(2*'Cálculos Diversos'!$B$5))*(SQRT(SUMXMY2('Tabela Entrada-Saída'!$B$22:$O$22,'Coordenadas dos Polos'!$BT$2:$CG$2)))^2)</f>
        <v>1.3495837842157515E-4</v>
      </c>
      <c r="G22">
        <f>EXP(((-1)/(2*'Cálculos Diversos'!$B$5))*(SQRT(SUMXMY2('Tabela Entrada-Saída'!$B$22:$O$22,'Coordenadas dos Polos'!$CH$2:$CU$2)))^2)</f>
        <v>3.2074413126564577E-3</v>
      </c>
      <c r="H22">
        <f>EXP(((-1)/(2*'Cálculos Diversos'!$B$5))*(SQRT(SUMXMY2('Tabela Entrada-Saída'!$B$22:$O$22,'Coordenadas dos Polos'!$CV$2:$DI$2)))^2)</f>
        <v>6.3134057881575767E-6</v>
      </c>
      <c r="I22">
        <f>EXP(((-1)/(2*'Cálculos Diversos'!$B$5))*(SQRT(SUMXMY2('Tabela Entrada-Saída'!$B$22:$O$22,'Coordenadas dos Polos'!$DJ$2:$DW$2)))^2)</f>
        <v>4.0912323609512978E-4</v>
      </c>
      <c r="J22">
        <f>EXP(((-1)/(2*'Cálculos Diversos'!$B$5))*(SQRT(SUMXMY2('Tabela Entrada-Saída'!$B$22:$O$22,'Coordenadas dos Polos'!$DX$2:$EK$2)))^2)</f>
        <v>4.5423543013029385E-3</v>
      </c>
      <c r="K22">
        <f>EXP(((-1)/(2*'Cálculos Diversos'!$B$5))*(SQRT(SUMXMY2('Tabela Entrada-Saída'!$B$22:$O$22,'Coordenadas dos Polos'!$EL$2:$EY$2)))^2)</f>
        <v>3.3089295235249629E-3</v>
      </c>
      <c r="L22">
        <f>EXP(((-1)/(2*'Cálculos Diversos'!$B$5))*(SQRT(SUMXMY2('Tabela Entrada-Saída'!$B$22:$O$22,'Coordenadas dos Polos'!$EZ$2:$FM$2)))^2)</f>
        <v>3.4476512369569005E-4</v>
      </c>
      <c r="M22">
        <f>EXP(((-1)/(2*'Cálculos Diversos'!$B$5))*(SQRT(SUMXMY2('Tabela Entrada-Saída'!$B$22:$O$22,'Coordenadas dos Polos'!$FN$2:$GA$2)))^2)</f>
        <v>6.1513246068771075E-4</v>
      </c>
      <c r="N22">
        <f>EXP(((-1)/(2*'Cálculos Diversos'!$B$5))*(SQRT(SUMXMY2('Tabela Entrada-Saída'!$B$22:$O$22,'Coordenadas dos Polos'!$GB$2:$GO$2)))^2)</f>
        <v>4.3259817665219774E-3</v>
      </c>
      <c r="O22">
        <f>EXP(((-1)/(2*'Cálculos Diversos'!$B$5))*(SQRT(SUMXMY2('Tabela Entrada-Saída'!$B$22:$O$22,'Coordenadas dos Polos'!$GP$2:$HC$2)))^2)</f>
        <v>1.3384259707651758E-4</v>
      </c>
      <c r="P22">
        <v>1</v>
      </c>
    </row>
    <row r="23" spans="1:16" x14ac:dyDescent="0.25">
      <c r="A23">
        <v>22</v>
      </c>
      <c r="B23">
        <f>EXP(((-1)/(2*'Cálculos Diversos'!$B$5))*(SQRT(SUMXMY2('Tabela Entrada-Saída'!$B$23:$O$23,'Coordenadas dos Polos'!$P$2:$AC$2)))^2)</f>
        <v>0.19379736049488683</v>
      </c>
      <c r="C23">
        <f>EXP(((-1)/(2*'Cálculos Diversos'!$B$5))*(SQRT(SUMXMY2('Tabela Entrada-Saída'!$B$23:$O$23,'Coordenadas dos Polos'!$AD$2:$AQ$2)))^2)</f>
        <v>6.4264209097445093E-6</v>
      </c>
      <c r="D23">
        <f>EXP(((-1)/(2*'Cálculos Diversos'!$B$5))*(SQRT(SUMXMY2('Tabela Entrada-Saída'!$B$23:$O$23,'Coordenadas dos Polos'!$AR$2:$BE$2)))^2)</f>
        <v>9.1929459201204046E-5</v>
      </c>
      <c r="E23">
        <f>EXP(((-1)/(2*'Cálculos Diversos'!$B$5))*(SQRT(SUMXMY2('Tabela Entrada-Saída'!$B$23:$O$23,'Coordenadas dos Polos'!$BF$2:$BS$2)))^2)</f>
        <v>1.2359730518762408E-6</v>
      </c>
      <c r="F23">
        <f>EXP(((-1)/(2*'Cálculos Diversos'!$B$5))*(SQRT(SUMXMY2('Tabela Entrada-Saída'!$B$23:$O$23,'Coordenadas dos Polos'!$BT$2:$CG$2)))^2)</f>
        <v>1.487462174516838E-4</v>
      </c>
      <c r="G23">
        <f>EXP(((-1)/(2*'Cálculos Diversos'!$B$5))*(SQRT(SUMXMY2('Tabela Entrada-Saída'!$B$23:$O$23,'Coordenadas dos Polos'!$CH$2:$CU$2)))^2)</f>
        <v>3.6259179875322719E-3</v>
      </c>
      <c r="H23">
        <f>EXP(((-1)/(2*'Cálculos Diversos'!$B$5))*(SQRT(SUMXMY2('Tabela Entrada-Saída'!$B$23:$O$23,'Coordenadas dos Polos'!$CV$2:$DI$2)))^2)</f>
        <v>6.5771361549626256E-6</v>
      </c>
      <c r="I23">
        <f>EXP(((-1)/(2*'Cálculos Diversos'!$B$5))*(SQRT(SUMXMY2('Tabela Entrada-Saída'!$B$23:$O$23,'Coordenadas dos Polos'!$DJ$2:$DW$2)))^2)</f>
        <v>4.5432449913747439E-4</v>
      </c>
      <c r="J23">
        <f>EXP(((-1)/(2*'Cálculos Diversos'!$B$5))*(SQRT(SUMXMY2('Tabela Entrada-Saída'!$B$23:$O$23,'Coordenadas dos Polos'!$DX$2:$EK$2)))^2)</f>
        <v>4.3549793175596766E-3</v>
      </c>
      <c r="K23">
        <f>EXP(((-1)/(2*'Cálculos Diversos'!$B$5))*(SQRT(SUMXMY2('Tabela Entrada-Saída'!$B$23:$O$23,'Coordenadas dos Polos'!$EL$2:$EY$2)))^2)</f>
        <v>3.6222430422351397E-3</v>
      </c>
      <c r="L23">
        <f>EXP(((-1)/(2*'Cálculos Diversos'!$B$5))*(SQRT(SUMXMY2('Tabela Entrada-Saída'!$B$23:$O$23,'Coordenadas dos Polos'!$EZ$2:$FM$2)))^2)</f>
        <v>3.3122512921393018E-4</v>
      </c>
      <c r="M23">
        <f>EXP(((-1)/(2*'Cálculos Diversos'!$B$5))*(SQRT(SUMXMY2('Tabela Entrada-Saída'!$B$23:$O$23,'Coordenadas dos Polos'!$FN$2:$GA$2)))^2)</f>
        <v>6.5738498385946515E-4</v>
      </c>
      <c r="N23">
        <f>EXP(((-1)/(2*'Cálculos Diversos'!$B$5))*(SQRT(SUMXMY2('Tabela Entrada-Saída'!$B$23:$O$23,'Coordenadas dos Polos'!$GB$2:$GO$2)))^2)</f>
        <v>4.8165310088513838E-3</v>
      </c>
      <c r="O23">
        <f>EXP(((-1)/(2*'Cálculos Diversos'!$B$5))*(SQRT(SUMXMY2('Tabela Entrada-Saída'!$B$23:$O$23,'Coordenadas dos Polos'!$GP$2:$HC$2)))^2)</f>
        <v>1.2768944763454922E-4</v>
      </c>
      <c r="P23">
        <v>1</v>
      </c>
    </row>
    <row r="24" spans="1:16" x14ac:dyDescent="0.25">
      <c r="A24">
        <v>23</v>
      </c>
      <c r="B24">
        <f>EXP(((-1)/(2*'Cálculos Diversos'!$B$5))*(SQRT(SUMXMY2('Tabela Entrada-Saída'!$B$24:$O$24,'Coordenadas dos Polos'!$P$2:$AC$2)))^2)</f>
        <v>0.11084008754916465</v>
      </c>
      <c r="C24">
        <f>EXP(((-1)/(2*'Cálculos Diversos'!$B$5))*(SQRT(SUMXMY2('Tabela Entrada-Saída'!$B$24:$O$24,'Coordenadas dos Polos'!$AD$2:$AQ$2)))^2)</f>
        <v>3.7817427562291447E-6</v>
      </c>
      <c r="D24">
        <f>EXP(((-1)/(2*'Cálculos Diversos'!$B$5))*(SQRT(SUMXMY2('Tabela Entrada-Saída'!$B$24:$O$24,'Coordenadas dos Polos'!$AR$2:$BE$2)))^2)</f>
        <v>7.2935906400193703E-5</v>
      </c>
      <c r="E24">
        <f>EXP(((-1)/(2*'Cálculos Diversos'!$B$5))*(SQRT(SUMXMY2('Tabela Entrada-Saída'!$B$24:$O$24,'Coordenadas dos Polos'!$BF$2:$BS$2)))^2)</f>
        <v>8.3614264900352254E-7</v>
      </c>
      <c r="F24">
        <f>EXP(((-1)/(2*'Cálculos Diversos'!$B$5))*(SQRT(SUMXMY2('Tabela Entrada-Saída'!$B$24:$O$24,'Coordenadas dos Polos'!$BT$2:$CG$2)))^2)</f>
        <v>1.0489695297793918E-4</v>
      </c>
      <c r="G24">
        <f>EXP(((-1)/(2*'Cálculos Diversos'!$B$5))*(SQRT(SUMXMY2('Tabela Entrada-Saída'!$B$24:$O$24,'Coordenadas dos Polos'!$CH$2:$CU$2)))^2)</f>
        <v>2.3570665926180923E-3</v>
      </c>
      <c r="H24">
        <f>EXP(((-1)/(2*'Cálculos Diversos'!$B$5))*(SQRT(SUMXMY2('Tabela Entrada-Saída'!$B$24:$O$24,'Coordenadas dos Polos'!$CV$2:$DI$2)))^2)</f>
        <v>5.5606543947368987E-6</v>
      </c>
      <c r="I24">
        <f>EXP(((-1)/(2*'Cálculos Diversos'!$B$5))*(SQRT(SUMXMY2('Tabela Entrada-Saída'!$B$24:$O$24,'Coordenadas dos Polos'!$DJ$2:$DW$2)))^2)</f>
        <v>3.1325853130024454E-4</v>
      </c>
      <c r="J24">
        <f>EXP(((-1)/(2*'Cálculos Diversos'!$B$5))*(SQRT(SUMXMY2('Tabela Entrada-Saída'!$B$24:$O$24,'Coordenadas dos Polos'!$DX$2:$EK$2)))^2)</f>
        <v>4.7965318904023401E-3</v>
      </c>
      <c r="K24">
        <f>EXP(((-1)/(2*'Cálculos Diversos'!$B$5))*(SQRT(SUMXMY2('Tabela Entrada-Saída'!$B$24:$O$24,'Coordenadas dos Polos'!$EL$2:$EY$2)))^2)</f>
        <v>2.6117456401731506E-3</v>
      </c>
      <c r="L24">
        <f>EXP(((-1)/(2*'Cálculos Diversos'!$B$5))*(SQRT(SUMXMY2('Tabela Entrada-Saída'!$B$24:$O$24,'Coordenadas dos Polos'!$EZ$2:$FM$2)))^2)</f>
        <v>3.626568628569693E-4</v>
      </c>
      <c r="M24">
        <f>EXP(((-1)/(2*'Cálculos Diversos'!$B$5))*(SQRT(SUMXMY2('Tabela Entrada-Saída'!$B$24:$O$24,'Coordenadas dos Polos'!$FN$2:$GA$2)))^2)</f>
        <v>5.1135990506401795E-4</v>
      </c>
      <c r="N24">
        <f>EXP(((-1)/(2*'Cálculos Diversos'!$B$5))*(SQRT(SUMXMY2('Tabela Entrada-Saída'!$B$24:$O$24,'Coordenadas dos Polos'!$GB$2:$GO$2)))^2)</f>
        <v>3.2890193490970189E-3</v>
      </c>
      <c r="O24">
        <f>EXP(((-1)/(2*'Cálculos Diversos'!$B$5))*(SQRT(SUMXMY2('Tabela Entrada-Saída'!$B$24:$O$24,'Coordenadas dos Polos'!$GP$2:$HC$2)))^2)</f>
        <v>1.4276048647168137E-4</v>
      </c>
      <c r="P24">
        <v>1</v>
      </c>
    </row>
    <row r="25" spans="1:16" x14ac:dyDescent="0.25">
      <c r="A25">
        <v>24</v>
      </c>
      <c r="B25">
        <f>EXP(((-1)/(2*'Cálculos Diversos'!$B$5))*(SQRT(SUMXMY2('Tabela Entrada-Saída'!$B$25:$O$25,'Coordenadas dos Polos'!$P$2:$AC$2)))^2)</f>
        <v>0.20540050791827349</v>
      </c>
      <c r="C25">
        <f>EXP(((-1)/(2*'Cálculos Diversos'!$B$5))*(SQRT(SUMXMY2('Tabela Entrada-Saída'!$B$25:$O$25,'Coordenadas dos Polos'!$AD$2:$AQ$2)))^2)</f>
        <v>6.7639743366204593E-6</v>
      </c>
      <c r="D25">
        <f>EXP(((-1)/(2*'Cálculos Diversos'!$B$5))*(SQRT(SUMXMY2('Tabela Entrada-Saída'!$B$25:$O$25,'Coordenadas dos Polos'!$AR$2:$BE$2)))^2)</f>
        <v>9.3640526436566016E-5</v>
      </c>
      <c r="E25">
        <f>EXP(((-1)/(2*'Cálculos Diversos'!$B$5))*(SQRT(SUMXMY2('Tabela Entrada-Saída'!$B$25:$O$25,'Coordenadas dos Polos'!$BF$2:$BS$2)))^2)</f>
        <v>1.2803647225027187E-6</v>
      </c>
      <c r="F25">
        <f>EXP(((-1)/(2*'Cálculos Diversos'!$B$5))*(SQRT(SUMXMY2('Tabela Entrada-Saída'!$B$25:$O$25,'Coordenadas dos Polos'!$BT$2:$CG$2)))^2)</f>
        <v>1.5359570553578956E-4</v>
      </c>
      <c r="G25">
        <f>EXP(((-1)/(2*'Cálculos Diversos'!$B$5))*(SQRT(SUMXMY2('Tabela Entrada-Saída'!$B$25:$O$25,'Coordenadas dos Polos'!$CH$2:$CU$2)))^2)</f>
        <v>3.7763791589368744E-3</v>
      </c>
      <c r="H25">
        <f>EXP(((-1)/(2*'Cálculos Diversos'!$B$5))*(SQRT(SUMXMY2('Tabela Entrada-Saída'!$B$25:$O$25,'Coordenadas dos Polos'!$CV$2:$DI$2)))^2)</f>
        <v>6.6421395016685762E-6</v>
      </c>
      <c r="I25">
        <f>EXP(((-1)/(2*'Cálculos Diversos'!$B$5))*(SQRT(SUMXMY2('Tabela Entrada-Saída'!$B$25:$O$25,'Coordenadas dos Polos'!$DJ$2:$DW$2)))^2)</f>
        <v>4.7004700023363019E-4</v>
      </c>
      <c r="J25">
        <f>EXP(((-1)/(2*'Cálculos Diversos'!$B$5))*(SQRT(SUMXMY2('Tabela Entrada-Saída'!$B$25:$O$25,'Coordenadas dos Polos'!$DX$2:$EK$2)))^2)</f>
        <v>4.2633777338506674E-3</v>
      </c>
      <c r="K25">
        <f>EXP(((-1)/(2*'Cálculos Diversos'!$B$5))*(SQRT(SUMXMY2('Tabela Entrada-Saída'!$B$25:$O$25,'Coordenadas dos Polos'!$EL$2:$EY$2)))^2)</f>
        <v>3.733098017212669E-3</v>
      </c>
      <c r="L25">
        <f>EXP(((-1)/(2*'Cálculos Diversos'!$B$5))*(SQRT(SUMXMY2('Tabela Entrada-Saída'!$B$25:$O$25,'Coordenadas dos Polos'!$EZ$2:$FM$2)))^2)</f>
        <v>3.2482971289585319E-4</v>
      </c>
      <c r="M25">
        <f>EXP(((-1)/(2*'Cálculos Diversos'!$B$5))*(SQRT(SUMXMY2('Tabela Entrada-Saída'!$B$25:$O$25,'Coordenadas dos Polos'!$FN$2:$GA$2)))^2)</f>
        <v>6.6961068770705185E-4</v>
      </c>
      <c r="N25">
        <f>EXP(((-1)/(2*'Cálculos Diversos'!$B$5))*(SQRT(SUMXMY2('Tabela Entrada-Saída'!$B$25:$O$25,'Coordenadas dos Polos'!$GB$2:$GO$2)))^2)</f>
        <v>4.9936945347082498E-3</v>
      </c>
      <c r="O25">
        <f>EXP(((-1)/(2*'Cálculos Diversos'!$B$5))*(SQRT(SUMXMY2('Tabela Entrada-Saída'!$B$25:$O$25,'Coordenadas dos Polos'!$GP$2:$HC$2)))^2)</f>
        <v>1.2475564134191102E-4</v>
      </c>
      <c r="P25">
        <v>1</v>
      </c>
    </row>
    <row r="26" spans="1:16" x14ac:dyDescent="0.25">
      <c r="A26">
        <v>25</v>
      </c>
      <c r="B26">
        <f>EXP(((-1)/(2*'Cálculos Diversos'!$B$5))*(SQRT(SUMXMY2('Tabela Entrada-Saída'!$B$26:$O$26,'Coordenadas dos Polos'!$P$2:$AC$2)))^2)</f>
        <v>0.19571268999711008</v>
      </c>
      <c r="C26">
        <f>EXP(((-1)/(2*'Cálculos Diversos'!$B$5))*(SQRT(SUMXMY2('Tabela Entrada-Saída'!$B$26:$O$26,'Coordenadas dos Polos'!$AD$2:$AQ$2)))^2)</f>
        <v>6.4697497982201173E-6</v>
      </c>
      <c r="D26">
        <f>EXP(((-1)/(2*'Cálculos Diversos'!$B$5))*(SQRT(SUMXMY2('Tabela Entrada-Saída'!$B$26:$O$26,'Coordenadas dos Polos'!$AR$2:$BE$2)))^2)</f>
        <v>9.2249713894488586E-5</v>
      </c>
      <c r="E26">
        <f>EXP(((-1)/(2*'Cálculos Diversos'!$B$5))*(SQRT(SUMXMY2('Tabela Entrada-Saída'!$B$26:$O$26,'Coordenadas dos Polos'!$BF$2:$BS$2)))^2)</f>
        <v>1.2409470946563442E-6</v>
      </c>
      <c r="F26">
        <f>EXP(((-1)/(2*'Cálculos Diversos'!$B$5))*(SQRT(SUMXMY2('Tabela Entrada-Saída'!$B$26:$O$26,'Coordenadas dos Polos'!$BT$2:$CG$2)))^2)</f>
        <v>1.4943328898371866E-4</v>
      </c>
      <c r="G26">
        <f>EXP(((-1)/(2*'Cálculos Diversos'!$B$5))*(SQRT(SUMXMY2('Tabela Entrada-Saída'!$B$26:$O$26,'Coordenadas dos Polos'!$CH$2:$CU$2)))^2)</f>
        <v>3.6449373853830692E-3</v>
      </c>
      <c r="H26">
        <f>EXP(((-1)/(2*'Cálculos Diversos'!$B$5))*(SQRT(SUMXMY2('Tabela Entrada-Saída'!$B$26:$O$26,'Coordenadas dos Polos'!$CV$2:$DI$2)))^2)</f>
        <v>6.5824451206116917E-6</v>
      </c>
      <c r="I26">
        <f>EXP(((-1)/(2*'Cálculos Diversos'!$B$5))*(SQRT(SUMXMY2('Tabela Entrada-Saída'!$B$26:$O$26,'Coordenadas dos Polos'!$DJ$2:$DW$2)))^2)</f>
        <v>4.5658286801490174E-4</v>
      </c>
      <c r="J26">
        <f>EXP(((-1)/(2*'Cálculos Diversos'!$B$5))*(SQRT(SUMXMY2('Tabela Entrada-Saída'!$B$26:$O$26,'Coordenadas dos Polos'!$DX$2:$EK$2)))^2)</f>
        <v>4.3348722383177943E-3</v>
      </c>
      <c r="K26">
        <f>EXP(((-1)/(2*'Cálculos Diversos'!$B$5))*(SQRT(SUMXMY2('Tabela Entrada-Saída'!$B$26:$O$26,'Coordenadas dos Polos'!$EL$2:$EY$2)))^2)</f>
        <v>3.6402667271710444E-3</v>
      </c>
      <c r="L26">
        <f>EXP(((-1)/(2*'Cálculos Diversos'!$B$5))*(SQRT(SUMXMY2('Tabela Entrada-Saída'!$B$26:$O$26,'Coordenadas dos Polos'!$EZ$2:$FM$2)))^2)</f>
        <v>3.3008311217997408E-4</v>
      </c>
      <c r="M26">
        <f>EXP(((-1)/(2*'Cálculos Diversos'!$B$5))*(SQRT(SUMXMY2('Tabela Entrada-Saída'!$B$26:$O$26,'Coordenadas dos Polos'!$FN$2:$GA$2)))^2)</f>
        <v>6.577638742251633E-4</v>
      </c>
      <c r="N26">
        <f>EXP(((-1)/(2*'Cálculos Diversos'!$B$5))*(SQRT(SUMXMY2('Tabela Entrada-Saída'!$B$26:$O$26,'Coordenadas dos Polos'!$GB$2:$GO$2)))^2)</f>
        <v>4.8434891584892004E-3</v>
      </c>
      <c r="O26">
        <f>EXP(((-1)/(2*'Cálculos Diversos'!$B$5))*(SQRT(SUMXMY2('Tabela Entrada-Saída'!$B$26:$O$26,'Coordenadas dos Polos'!$GP$2:$HC$2)))^2)</f>
        <v>1.269772319101902E-4</v>
      </c>
      <c r="P26">
        <v>1</v>
      </c>
    </row>
    <row r="27" spans="1:16" x14ac:dyDescent="0.25">
      <c r="A27">
        <v>26</v>
      </c>
      <c r="B27">
        <f>EXP(((-1)/(2*'Cálculos Diversos'!$B$5))*(SQRT(SUMXMY2('Tabela Entrada-Saída'!$B$27:$O$27,'Coordenadas dos Polos'!$P$2:$AC$2)))^2)</f>
        <v>0.12123801758532084</v>
      </c>
      <c r="C27">
        <f>EXP(((-1)/(2*'Cálculos Diversos'!$B$5))*(SQRT(SUMXMY2('Tabela Entrada-Saída'!$B$27:$O$27,'Coordenadas dos Polos'!$AD$2:$AQ$2)))^2)</f>
        <v>4.113041658672171E-6</v>
      </c>
      <c r="D27">
        <f>EXP(((-1)/(2*'Cálculos Diversos'!$B$5))*(SQRT(SUMXMY2('Tabela Entrada-Saída'!$B$27:$O$27,'Coordenadas dos Polos'!$AR$2:$BE$2)))^2)</f>
        <v>7.6009190922687799E-5</v>
      </c>
      <c r="E27">
        <f>EXP(((-1)/(2*'Cálculos Diversos'!$B$5))*(SQRT(SUMXMY2('Tabela Entrada-Saída'!$B$27:$O$27,'Coordenadas dos Polos'!$BF$2:$BS$2)))^2)</f>
        <v>8.9107592674598663E-7</v>
      </c>
      <c r="F27">
        <f>EXP(((-1)/(2*'Cálculos Diversos'!$B$5))*(SQRT(SUMXMY2('Tabela Entrada-Saída'!$B$27:$O$27,'Coordenadas dos Polos'!$BT$2:$CG$2)))^2)</f>
        <v>1.1119413960713753E-4</v>
      </c>
      <c r="G27">
        <f>EXP(((-1)/(2*'Cálculos Diversos'!$B$5))*(SQRT(SUMXMY2('Tabela Entrada-Saída'!$B$27:$O$27,'Coordenadas dos Polos'!$CH$2:$CU$2)))^2)</f>
        <v>2.526935447562848E-3</v>
      </c>
      <c r="H27">
        <f>EXP(((-1)/(2*'Cálculos Diversos'!$B$5))*(SQRT(SUMXMY2('Tabela Entrada-Saída'!$B$27:$O$27,'Coordenadas dos Polos'!$CV$2:$DI$2)))^2)</f>
        <v>5.7368003919975932E-6</v>
      </c>
      <c r="I27">
        <f>EXP(((-1)/(2*'Cálculos Diversos'!$B$5))*(SQRT(SUMXMY2('Tabela Entrada-Saída'!$B$27:$O$27,'Coordenadas dos Polos'!$DJ$2:$DW$2)))^2)</f>
        <v>3.3309923248231991E-4</v>
      </c>
      <c r="J27">
        <f>EXP(((-1)/(2*'Cálculos Diversos'!$B$5))*(SQRT(SUMXMY2('Tabela Entrada-Saída'!$B$27:$O$27,'Coordenadas dos Polos'!$DX$2:$EK$2)))^2)</f>
        <v>4.7582226014549383E-3</v>
      </c>
      <c r="K27">
        <f>EXP(((-1)/(2*'Cálculos Diversos'!$B$5))*(SQRT(SUMXMY2('Tabela Entrada-Saída'!$B$27:$O$27,'Coordenadas dos Polos'!$EL$2:$EY$2)))^2)</f>
        <v>2.7601648556399025E-3</v>
      </c>
      <c r="L27">
        <f>EXP(((-1)/(2*'Cálculos Diversos'!$B$5))*(SQRT(SUMXMY2('Tabela Entrada-Saída'!$B$27:$O$27,'Coordenadas dos Polos'!$EZ$2:$FM$2)))^2)</f>
        <v>3.6031849445158258E-4</v>
      </c>
      <c r="M27">
        <f>EXP(((-1)/(2*'Cálculos Diversos'!$B$5))*(SQRT(SUMXMY2('Tabela Entrada-Saída'!$B$27:$O$27,'Coordenadas dos Polos'!$FN$2:$GA$2)))^2)</f>
        <v>5.3362636671475388E-4</v>
      </c>
      <c r="N27">
        <f>EXP(((-1)/(2*'Cálculos Diversos'!$B$5))*(SQRT(SUMXMY2('Tabela Entrada-Saída'!$B$27:$O$27,'Coordenadas dos Polos'!$GB$2:$GO$2)))^2)</f>
        <v>3.502862562526173E-3</v>
      </c>
      <c r="O27">
        <f>EXP(((-1)/(2*'Cálculos Diversos'!$B$5))*(SQRT(SUMXMY2('Tabela Entrada-Saída'!$B$27:$O$27,'Coordenadas dos Polos'!$GP$2:$HC$2)))^2)</f>
        <v>1.412871207152384E-4</v>
      </c>
      <c r="P27">
        <v>1</v>
      </c>
    </row>
    <row r="28" spans="1:16" x14ac:dyDescent="0.25">
      <c r="A28">
        <v>27</v>
      </c>
      <c r="B28">
        <f>EXP(((-1)/(2*'Cálculos Diversos'!$B$5))*(SQRT(SUMXMY2('Tabela Entrada-Saída'!$B$28:$O$28,'Coordenadas dos Polos'!$P$2:$AC$2)))^2)</f>
        <v>0.19576640662349057</v>
      </c>
      <c r="C28">
        <f>EXP(((-1)/(2*'Cálculos Diversos'!$B$5))*(SQRT(SUMXMY2('Tabela Entrada-Saída'!$B$28:$O$28,'Coordenadas dos Polos'!$AD$2:$AQ$2)))^2)</f>
        <v>6.4827712065348166E-6</v>
      </c>
      <c r="D28">
        <f>EXP(((-1)/(2*'Cálculos Diversos'!$B$5))*(SQRT(SUMXMY2('Tabela Entrada-Saída'!$B$28:$O$28,'Coordenadas dos Polos'!$AR$2:$BE$2)))^2)</f>
        <v>9.22630682350671E-5</v>
      </c>
      <c r="E28">
        <f>EXP(((-1)/(2*'Cálculos Diversos'!$B$5))*(SQRT(SUMXMY2('Tabela Entrada-Saída'!$B$28:$O$28,'Coordenadas dos Polos'!$BF$2:$BS$2)))^2)</f>
        <v>1.2428724828023163E-6</v>
      </c>
      <c r="F28">
        <f>EXP(((-1)/(2*'Cálculos Diversos'!$B$5))*(SQRT(SUMXMY2('Tabela Entrada-Saída'!$B$28:$O$28,'Coordenadas dos Polos'!$BT$2:$CG$2)))^2)</f>
        <v>1.4953942223622127E-4</v>
      </c>
      <c r="G28">
        <f>EXP(((-1)/(2*'Cálculos Diversos'!$B$5))*(SQRT(SUMXMY2('Tabela Entrada-Saída'!$B$28:$O$28,'Coordenadas dos Polos'!$CH$2:$CU$2)))^2)</f>
        <v>3.6507013019406848E-3</v>
      </c>
      <c r="H28">
        <f>EXP(((-1)/(2*'Cálculos Diversos'!$B$5))*(SQRT(SUMXMY2('Tabela Entrada-Saída'!$B$28:$O$28,'Coordenadas dos Polos'!$CV$2:$DI$2)))^2)</f>
        <v>6.5883749104358765E-6</v>
      </c>
      <c r="I28">
        <f>EXP(((-1)/(2*'Cálculos Diversos'!$B$5))*(SQRT(SUMXMY2('Tabela Entrada-Saída'!$B$28:$O$28,'Coordenadas dos Polos'!$DJ$2:$DW$2)))^2)</f>
        <v>4.5695002542805107E-4</v>
      </c>
      <c r="J28">
        <f>EXP(((-1)/(2*'Cálculos Diversos'!$B$5))*(SQRT(SUMXMY2('Tabela Entrada-Saída'!$B$28:$O$28,'Coordenadas dos Polos'!$DX$2:$EK$2)))^2)</f>
        <v>4.339673189132128E-3</v>
      </c>
      <c r="K28">
        <f>EXP(((-1)/(2*'Cálculos Diversos'!$B$5))*(SQRT(SUMXMY2('Tabela Entrada-Saída'!$B$28:$O$28,'Coordenadas dos Polos'!$EL$2:$EY$2)))^2)</f>
        <v>3.6411365203689885E-3</v>
      </c>
      <c r="L28">
        <f>EXP(((-1)/(2*'Cálculos Diversos'!$B$5))*(SQRT(SUMXMY2('Tabela Entrada-Saída'!$B$28:$O$28,'Coordenadas dos Polos'!$EZ$2:$FM$2)))^2)</f>
        <v>3.3012208513868952E-4</v>
      </c>
      <c r="M28">
        <f>EXP(((-1)/(2*'Cálculos Diversos'!$B$5))*(SQRT(SUMXMY2('Tabela Entrada-Saída'!$B$28:$O$28,'Coordenadas dos Polos'!$FN$2:$GA$2)))^2)</f>
        <v>6.5911499393071923E-4</v>
      </c>
      <c r="N28">
        <f>EXP(((-1)/(2*'Cálculos Diversos'!$B$5))*(SQRT(SUMXMY2('Tabela Entrada-Saída'!$B$28:$O$28,'Coordenadas dos Polos'!$GB$2:$GO$2)))^2)</f>
        <v>4.8467030167585936E-3</v>
      </c>
      <c r="O28">
        <f>EXP(((-1)/(2*'Cálculos Diversos'!$B$5))*(SQRT(SUMXMY2('Tabela Entrada-Saída'!$B$28:$O$28,'Coordenadas dos Polos'!$GP$2:$HC$2)))^2)</f>
        <v>1.2712987447855792E-4</v>
      </c>
      <c r="P28">
        <v>1</v>
      </c>
    </row>
    <row r="29" spans="1:16" x14ac:dyDescent="0.25">
      <c r="A29">
        <v>28</v>
      </c>
      <c r="B29">
        <f>EXP(((-1)/(2*'Cálculos Diversos'!$B$5))*(SQRT(SUMXMY2('Tabela Entrada-Saída'!$B$29:$O$29,'Coordenadas dos Polos'!$P$2:$AC$2)))^2)</f>
        <v>0.14768422339499288</v>
      </c>
      <c r="C29">
        <f>EXP(((-1)/(2*'Cálculos Diversos'!$B$5))*(SQRT(SUMXMY2('Tabela Entrada-Saída'!$B$29:$O$29,'Coordenadas dos Polos'!$AD$2:$AQ$2)))^2)</f>
        <v>4.9695566109607384E-6</v>
      </c>
      <c r="D29">
        <f>EXP(((-1)/(2*'Cálculos Diversos'!$B$5))*(SQRT(SUMXMY2('Tabela Entrada-Saída'!$B$29:$O$29,'Coordenadas dos Polos'!$AR$2:$BE$2)))^2)</f>
        <v>8.2892138826260863E-5</v>
      </c>
      <c r="E29">
        <f>EXP(((-1)/(2*'Cálculos Diversos'!$B$5))*(SQRT(SUMXMY2('Tabela Entrada-Saída'!$B$29:$O$29,'Coordenadas dos Polos'!$BF$2:$BS$2)))^2)</f>
        <v>1.026253265787916E-6</v>
      </c>
      <c r="F29">
        <f>EXP(((-1)/(2*'Cálculos Diversos'!$B$5))*(SQRT(SUMXMY2('Tabela Entrada-Saída'!$B$29:$O$29,'Coordenadas dos Polos'!$BT$2:$CG$2)))^2)</f>
        <v>1.2617998169143208E-4</v>
      </c>
      <c r="G29">
        <f>EXP(((-1)/(2*'Cálculos Diversos'!$B$5))*(SQRT(SUMXMY2('Tabela Entrada-Saída'!$B$29:$O$29,'Coordenadas dos Polos'!$CH$2:$CU$2)))^2)</f>
        <v>2.9496628696768739E-3</v>
      </c>
      <c r="H29">
        <f>EXP(((-1)/(2*'Cálculos Diversos'!$B$5))*(SQRT(SUMXMY2('Tabela Entrada-Saída'!$B$29:$O$29,'Coordenadas dos Polos'!$CV$2:$DI$2)))^2)</f>
        <v>6.1241845151025465E-6</v>
      </c>
      <c r="I29">
        <f>EXP(((-1)/(2*'Cálculos Diversos'!$B$5))*(SQRT(SUMXMY2('Tabela Entrada-Saída'!$B$29:$O$29,'Coordenadas dos Polos'!$DJ$2:$DW$2)))^2)</f>
        <v>3.8108922032696483E-4</v>
      </c>
      <c r="J29">
        <f>EXP(((-1)/(2*'Cálculos Diversos'!$B$5))*(SQRT(SUMXMY2('Tabela Entrada-Saída'!$B$29:$O$29,'Coordenadas dos Polos'!$DX$2:$EK$2)))^2)</f>
        <v>4.6420410502077082E-3</v>
      </c>
      <c r="K29">
        <f>EXP(((-1)/(2*'Cálculos Diversos'!$B$5))*(SQRT(SUMXMY2('Tabela Entrada-Saída'!$B$29:$O$29,'Coordenadas dos Polos'!$EL$2:$EY$2)))^2)</f>
        <v>3.1085857202530413E-3</v>
      </c>
      <c r="L29">
        <f>EXP(((-1)/(2*'Cálculos Diversos'!$B$5))*(SQRT(SUMXMY2('Tabela Entrada-Saída'!$B$29:$O$29,'Coordenadas dos Polos'!$EZ$2:$FM$2)))^2)</f>
        <v>3.5206685156624222E-4</v>
      </c>
      <c r="M29">
        <f>EXP(((-1)/(2*'Cálculos Diversos'!$B$5))*(SQRT(SUMXMY2('Tabela Entrada-Saída'!$B$29:$O$29,'Coordenadas dos Polos'!$FN$2:$GA$2)))^2)</f>
        <v>5.860804682191233E-4</v>
      </c>
      <c r="N29">
        <f>EXP(((-1)/(2*'Cálculos Diversos'!$B$5))*(SQRT(SUMXMY2('Tabela Entrada-Saída'!$B$29:$O$29,'Coordenadas dos Polos'!$GB$2:$GO$2)))^2)</f>
        <v>4.0194315362182681E-3</v>
      </c>
      <c r="O29">
        <f>EXP(((-1)/(2*'Cálculos Diversos'!$B$5))*(SQRT(SUMXMY2('Tabela Entrada-Saída'!$B$29:$O$29,'Coordenadas dos Polos'!$GP$2:$HC$2)))^2)</f>
        <v>1.370987304935043E-4</v>
      </c>
      <c r="P29">
        <v>1</v>
      </c>
    </row>
    <row r="30" spans="1:16" x14ac:dyDescent="0.25">
      <c r="A30">
        <v>29</v>
      </c>
      <c r="B30">
        <f>EXP(((-1)/(2*'Cálculos Diversos'!$B$5))*(SQRT(SUMXMY2('Tabela Entrada-Saída'!$B$30:$O$30,'Coordenadas dos Polos'!$P$2:$AC$2)))^2)</f>
        <v>0.15872624260801244</v>
      </c>
      <c r="C30">
        <f>EXP(((-1)/(2*'Cálculos Diversos'!$B$5))*(SQRT(SUMXMY2('Tabela Entrada-Saída'!$B$30:$O$30,'Coordenadas dos Polos'!$AD$2:$AQ$2)))^2)</f>
        <v>5.3115881972551665E-6</v>
      </c>
      <c r="D30">
        <f>EXP(((-1)/(2*'Cálculos Diversos'!$B$5))*(SQRT(SUMXMY2('Tabela Entrada-Saída'!$B$30:$O$30,'Coordenadas dos Polos'!$AR$2:$BE$2)))^2)</f>
        <v>8.5254341446269283E-5</v>
      </c>
      <c r="E30">
        <f>EXP(((-1)/(2*'Cálculos Diversos'!$B$5))*(SQRT(SUMXMY2('Tabela Entrada-Saída'!$B$30:$O$30,'Coordenadas dos Polos'!$BF$2:$BS$2)))^2)</f>
        <v>1.077803172590938E-6</v>
      </c>
      <c r="F30">
        <f>EXP(((-1)/(2*'Cálculos Diversos'!$B$5))*(SQRT(SUMXMY2('Tabela Entrada-Saída'!$B$30:$O$30,'Coordenadas dos Polos'!$BT$2:$CG$2)))^2)</f>
        <v>1.3188570229393361E-4</v>
      </c>
      <c r="G30">
        <f>EXP(((-1)/(2*'Cálculos Diversos'!$B$5))*(SQRT(SUMXMY2('Tabela Entrada-Saída'!$B$30:$O$30,'Coordenadas dos Polos'!$CH$2:$CU$2)))^2)</f>
        <v>3.1146194372100723E-3</v>
      </c>
      <c r="H30">
        <f>EXP(((-1)/(2*'Cálculos Diversos'!$B$5))*(SQRT(SUMXMY2('Tabela Entrada-Saída'!$B$30:$O$30,'Coordenadas dos Polos'!$CV$2:$DI$2)))^2)</f>
        <v>6.2459393154795835E-6</v>
      </c>
      <c r="I30">
        <f>EXP(((-1)/(2*'Cálculos Diversos'!$B$5))*(SQRT(SUMXMY2('Tabela Entrada-Saída'!$B$30:$O$30,'Coordenadas dos Polos'!$DJ$2:$DW$2)))^2)</f>
        <v>3.9923454555297773E-4</v>
      </c>
      <c r="J30">
        <f>EXP(((-1)/(2*'Cálculos Diversos'!$B$5))*(SQRT(SUMXMY2('Tabela Entrada-Saída'!$B$30:$O$30,'Coordenadas dos Polos'!$DX$2:$EK$2)))^2)</f>
        <v>4.5740784589733095E-3</v>
      </c>
      <c r="K30">
        <f>EXP(((-1)/(2*'Cálculos Diversos'!$B$5))*(SQRT(SUMXMY2('Tabela Entrada-Saída'!$B$30:$O$30,'Coordenadas dos Polos'!$EL$2:$EY$2)))^2)</f>
        <v>3.2398869393188041E-3</v>
      </c>
      <c r="L30">
        <f>EXP(((-1)/(2*'Cálculos Diversos'!$B$5))*(SQRT(SUMXMY2('Tabela Entrada-Saída'!$B$30:$O$30,'Coordenadas dos Polos'!$EZ$2:$FM$2)))^2)</f>
        <v>3.473456245065503E-4</v>
      </c>
      <c r="M30">
        <f>EXP(((-1)/(2*'Cálculos Diversos'!$B$5))*(SQRT(SUMXMY2('Tabela Entrada-Saída'!$B$30:$O$30,'Coordenadas dos Polos'!$FN$2:$GA$2)))^2)</f>
        <v>6.0443114459456278E-4</v>
      </c>
      <c r="N30">
        <f>EXP(((-1)/(2*'Cálculos Diversos'!$B$5))*(SQRT(SUMXMY2('Tabela Entrada-Saída'!$B$30:$O$30,'Coordenadas dos Polos'!$GB$2:$GO$2)))^2)</f>
        <v>4.2184578166552184E-3</v>
      </c>
      <c r="O30">
        <f>EXP(((-1)/(2*'Cálculos Diversos'!$B$5))*(SQRT(SUMXMY2('Tabela Entrada-Saída'!$B$30:$O$30,'Coordenadas dos Polos'!$GP$2:$HC$2)))^2)</f>
        <v>1.3489538702618413E-4</v>
      </c>
      <c r="P30">
        <v>1</v>
      </c>
    </row>
    <row r="31" spans="1:16" x14ac:dyDescent="0.25">
      <c r="A31">
        <v>30</v>
      </c>
      <c r="B31">
        <f>EXP(((-1)/(2*'Cálculos Diversos'!$B$5))*(SQRT(SUMXMY2('Tabela Entrada-Saída'!$B$31:$O$31,'Coordenadas dos Polos'!$P$2:$AC$2)))^2)</f>
        <v>0.18859774399749724</v>
      </c>
      <c r="C31">
        <f>EXP(((-1)/(2*'Cálculos Diversos'!$B$5))*(SQRT(SUMXMY2('Tabela Entrada-Saída'!$B$31:$O$31,'Coordenadas dos Polos'!$AD$2:$AQ$2)))^2)</f>
        <v>6.2462767970672462E-6</v>
      </c>
      <c r="D31">
        <f>EXP(((-1)/(2*'Cálculos Diversos'!$B$5))*(SQRT(SUMXMY2('Tabela Entrada-Saída'!$B$31:$O$31,'Coordenadas dos Polos'!$AR$2:$BE$2)))^2)</f>
        <v>9.1016069328374229E-5</v>
      </c>
      <c r="E31">
        <f>EXP(((-1)/(2*'Cálculos Diversos'!$B$5))*(SQRT(SUMXMY2('Tabela Entrada-Saída'!$B$31:$O$31,'Coordenadas dos Polos'!$BF$2:$BS$2)))^2)</f>
        <v>1.2109761786481629E-6</v>
      </c>
      <c r="F31">
        <f>EXP(((-1)/(2*'Cálculos Diversos'!$B$5))*(SQRT(SUMXMY2('Tabela Entrada-Saída'!$B$31:$O$31,'Coordenadas dos Polos'!$BT$2:$CG$2)))^2)</f>
        <v>1.4625591740015549E-4</v>
      </c>
      <c r="G31">
        <f>EXP(((-1)/(2*'Cálculos Diversos'!$B$5))*(SQRT(SUMXMY2('Tabela Entrada-Saída'!$B$31:$O$31,'Coordenadas dos Polos'!$CH$2:$CU$2)))^2)</f>
        <v>3.5457365763083217E-3</v>
      </c>
      <c r="H31">
        <f>EXP(((-1)/(2*'Cálculos Diversos'!$B$5))*(SQRT(SUMXMY2('Tabela Entrada-Saída'!$B$31:$O$31,'Coordenadas dos Polos'!$CV$2:$DI$2)))^2)</f>
        <v>6.5268115006067167E-6</v>
      </c>
      <c r="I31">
        <f>EXP(((-1)/(2*'Cálculos Diversos'!$B$5))*(SQRT(SUMXMY2('Tabela Entrada-Saída'!$B$31:$O$31,'Coordenadas dos Polos'!$DJ$2:$DW$2)))^2)</f>
        <v>4.4603988263532357E-4</v>
      </c>
      <c r="J31">
        <f>EXP(((-1)/(2*'Cálculos Diversos'!$B$5))*(SQRT(SUMXMY2('Tabela Entrada-Saída'!$B$31:$O$31,'Coordenadas dos Polos'!$DX$2:$EK$2)))^2)</f>
        <v>4.3822883036068166E-3</v>
      </c>
      <c r="K31">
        <f>EXP(((-1)/(2*'Cálculos Diversos'!$B$5))*(SQRT(SUMXMY2('Tabela Entrada-Saída'!$B$31:$O$31,'Coordenadas dos Polos'!$EL$2:$EY$2)))^2)</f>
        <v>3.5681123327099178E-3</v>
      </c>
      <c r="L31">
        <f>EXP(((-1)/(2*'Cálculos Diversos'!$B$5))*(SQRT(SUMXMY2('Tabela Entrada-Saída'!$B$31:$O$31,'Coordenadas dos Polos'!$EZ$2:$FM$2)))^2)</f>
        <v>3.33611743843362E-4</v>
      </c>
      <c r="M31">
        <f>EXP(((-1)/(2*'Cálculos Diversos'!$B$5))*(SQRT(SUMXMY2('Tabela Entrada-Saída'!$B$31:$O$31,'Coordenadas dos Polos'!$FN$2:$GA$2)))^2)</f>
        <v>6.4851822455664959E-4</v>
      </c>
      <c r="N31">
        <f>EXP(((-1)/(2*'Cálculos Diversos'!$B$5))*(SQRT(SUMXMY2('Tabela Entrada-Saída'!$B$31:$O$31,'Coordenadas dos Polos'!$GB$2:$GO$2)))^2)</f>
        <v>4.7283190119222843E-3</v>
      </c>
      <c r="O31">
        <f>EXP(((-1)/(2*'Cálculos Diversos'!$B$5))*(SQRT(SUMXMY2('Tabela Entrada-Saída'!$B$31:$O$31,'Coordenadas dos Polos'!$GP$2:$HC$2)))^2)</f>
        <v>1.2857138571206316E-4</v>
      </c>
      <c r="P31">
        <v>1</v>
      </c>
    </row>
    <row r="32" spans="1:16" x14ac:dyDescent="0.25">
      <c r="A32">
        <v>31</v>
      </c>
      <c r="B32">
        <f>EXP(((-1)/(2*'Cálculos Diversos'!$B$5))*(SQRT(SUMXMY2('Tabela Entrada-Saída'!$B$32:$O$32,'Coordenadas dos Polos'!$P$2:$AC$2)))^2)</f>
        <v>0.1325907203904659</v>
      </c>
      <c r="C32">
        <f>EXP(((-1)/(2*'Cálculos Diversos'!$B$5))*(SQRT(SUMXMY2('Tabela Entrada-Saída'!$B$32:$O$32,'Coordenadas dos Polos'!$AD$2:$AQ$2)))^2)</f>
        <v>4.4887737977064439E-6</v>
      </c>
      <c r="D32">
        <f>EXP(((-1)/(2*'Cálculos Diversos'!$B$5))*(SQRT(SUMXMY2('Tabela Entrada-Saída'!$B$32:$O$32,'Coordenadas dos Polos'!$AR$2:$BE$2)))^2)</f>
        <v>7.9110736527850394E-5</v>
      </c>
      <c r="E32">
        <f>EXP(((-1)/(2*'Cálculos Diversos'!$B$5))*(SQRT(SUMXMY2('Tabela Entrada-Saída'!$B$32:$O$32,'Coordenadas dos Polos'!$BF$2:$BS$2)))^2)</f>
        <v>9.5169905220919361E-7</v>
      </c>
      <c r="F32">
        <f>EXP(((-1)/(2*'Cálculos Diversos'!$B$5))*(SQRT(SUMXMY2('Tabela Entrada-Saída'!$B$32:$O$32,'Coordenadas dos Polos'!$BT$2:$CG$2)))^2)</f>
        <v>1.1788570068849098E-4</v>
      </c>
      <c r="G32">
        <f>EXP(((-1)/(2*'Cálculos Diversos'!$B$5))*(SQRT(SUMXMY2('Tabela Entrada-Saída'!$B$32:$O$32,'Coordenadas dos Polos'!$CH$2:$CU$2)))^2)</f>
        <v>2.7151444423029105E-3</v>
      </c>
      <c r="H32">
        <f>EXP(((-1)/(2*'Cálculos Diversos'!$B$5))*(SQRT(SUMXMY2('Tabela Entrada-Saída'!$B$32:$O$32,'Coordenadas dos Polos'!$CV$2:$DI$2)))^2)</f>
        <v>5.9196219395076312E-6</v>
      </c>
      <c r="I32">
        <f>EXP(((-1)/(2*'Cálculos Diversos'!$B$5))*(SQRT(SUMXMY2('Tabela Entrada-Saída'!$B$32:$O$32,'Coordenadas dos Polos'!$DJ$2:$DW$2)))^2)</f>
        <v>3.5441714698413693E-4</v>
      </c>
      <c r="J32">
        <f>EXP(((-1)/(2*'Cálculos Diversos'!$B$5))*(SQRT(SUMXMY2('Tabela Entrada-Saída'!$B$32:$O$32,'Coordenadas dos Polos'!$DX$2:$EK$2)))^2)</f>
        <v>4.7185827417804381E-3</v>
      </c>
      <c r="K32">
        <f>EXP(((-1)/(2*'Cálculos Diversos'!$B$5))*(SQRT(SUMXMY2('Tabela Entrada-Saída'!$B$32:$O$32,'Coordenadas dos Polos'!$EL$2:$EY$2)))^2)</f>
        <v>2.914974734339795E-3</v>
      </c>
      <c r="L32">
        <f>EXP(((-1)/(2*'Cálculos Diversos'!$B$5))*(SQRT(SUMXMY2('Tabela Entrada-Saída'!$B$32:$O$32,'Coordenadas dos Polos'!$EZ$2:$FM$2)))^2)</f>
        <v>3.5721867910463008E-4</v>
      </c>
      <c r="M32">
        <f>EXP(((-1)/(2*'Cálculos Diversos'!$B$5))*(SQRT(SUMXMY2('Tabela Entrada-Saída'!$B$32:$O$32,'Coordenadas dos Polos'!$FN$2:$GA$2)))^2)</f>
        <v>5.5835772713720027E-4</v>
      </c>
      <c r="N32">
        <f>EXP(((-1)/(2*'Cálculos Diversos'!$B$5))*(SQRT(SUMXMY2('Tabela Entrada-Saída'!$B$32:$O$32,'Coordenadas dos Polos'!$GB$2:$GO$2)))^2)</f>
        <v>3.7317494270193352E-3</v>
      </c>
      <c r="O32">
        <f>EXP(((-1)/(2*'Cálculos Diversos'!$B$5))*(SQRT(SUMXMY2('Tabela Entrada-Saída'!$B$32:$O$32,'Coordenadas dos Polos'!$GP$2:$HC$2)))^2)</f>
        <v>1.3980786175546471E-4</v>
      </c>
      <c r="P32">
        <v>1</v>
      </c>
    </row>
    <row r="33" spans="1:16" x14ac:dyDescent="0.25">
      <c r="A33">
        <v>32</v>
      </c>
      <c r="B33">
        <f>EXP(((-1)/(2*'Cálculos Diversos'!$B$5))*(SQRT(SUMXMY2('Tabela Entrada-Saída'!$B$33:$O$33,'Coordenadas dos Polos'!$P$2:$AC$2)))^2)</f>
        <v>0.1441484968805882</v>
      </c>
      <c r="C33">
        <f>EXP(((-1)/(2*'Cálculos Diversos'!$B$5))*(SQRT(SUMXMY2('Tabela Entrada-Saída'!$B$33:$O$33,'Coordenadas dos Polos'!$AD$2:$AQ$2)))^2)</f>
        <v>4.8549718245217337E-6</v>
      </c>
      <c r="D33">
        <f>EXP(((-1)/(2*'Cálculos Diversos'!$B$5))*(SQRT(SUMXMY2('Tabela Entrada-Saída'!$B$33:$O$33,'Coordenadas dos Polos'!$AR$2:$BE$2)))^2)</f>
        <v>8.2009489211615222E-5</v>
      </c>
      <c r="E33">
        <f>EXP(((-1)/(2*'Cálculos Diversos'!$B$5))*(SQRT(SUMXMY2('Tabela Entrada-Saída'!$B$33:$O$33,'Coordenadas dos Polos'!$BF$2:$BS$2)))^2)</f>
        <v>1.0088104289149223E-6</v>
      </c>
      <c r="F33">
        <f>EXP(((-1)/(2*'Cálculos Diversos'!$B$5))*(SQRT(SUMXMY2('Tabela Entrada-Saída'!$B$33:$O$33,'Coordenadas dos Polos'!$BT$2:$CG$2)))^2)</f>
        <v>1.2426819537502995E-4</v>
      </c>
      <c r="G33">
        <f>EXP(((-1)/(2*'Cálculos Diversos'!$B$5))*(SQRT(SUMXMY2('Tabela Entrada-Saída'!$B$33:$O$33,'Coordenadas dos Polos'!$CH$2:$CU$2)))^2)</f>
        <v>2.8948035325055501E-3</v>
      </c>
      <c r="H33">
        <f>EXP(((-1)/(2*'Cálculos Diversos'!$B$5))*(SQRT(SUMXMY2('Tabela Entrada-Saída'!$B$33:$O$33,'Coordenadas dos Polos'!$CV$2:$DI$2)))^2)</f>
        <v>6.0765139238905772E-6</v>
      </c>
      <c r="I33">
        <f>EXP(((-1)/(2*'Cálculos Diversos'!$B$5))*(SQRT(SUMXMY2('Tabela Entrada-Saída'!$B$33:$O$33,'Coordenadas dos Polos'!$DJ$2:$DW$2)))^2)</f>
        <v>3.7483593950883267E-4</v>
      </c>
      <c r="J33">
        <f>EXP(((-1)/(2*'Cálculos Diversos'!$B$5))*(SQRT(SUMXMY2('Tabela Entrada-Saída'!$B$33:$O$33,'Coordenadas dos Polos'!$DX$2:$EK$2)))^2)</f>
        <v>4.6594693887426599E-3</v>
      </c>
      <c r="K33">
        <f>EXP(((-1)/(2*'Cálculos Diversos'!$B$5))*(SQRT(SUMXMY2('Tabela Entrada-Saída'!$B$33:$O$33,'Coordenadas dos Polos'!$EL$2:$EY$2)))^2)</f>
        <v>3.0637548070926173E-3</v>
      </c>
      <c r="L33">
        <f>EXP(((-1)/(2*'Cálculos Diversos'!$B$5))*(SQRT(SUMXMY2('Tabela Entrada-Saída'!$B$33:$O$33,'Coordenadas dos Polos'!$EZ$2:$FM$2)))^2)</f>
        <v>3.5326123060761406E-4</v>
      </c>
      <c r="M33">
        <f>EXP(((-1)/(2*'Cálculos Diversos'!$B$5))*(SQRT(SUMXMY2('Tabela Entrada-Saída'!$B$33:$O$33,'Coordenadas dos Polos'!$FN$2:$GA$2)))^2)</f>
        <v>5.797338490083412E-4</v>
      </c>
      <c r="N33">
        <f>EXP(((-1)/(2*'Cálculos Diversos'!$B$5))*(SQRT(SUMXMY2('Tabela Entrada-Saída'!$B$33:$O$33,'Coordenadas dos Polos'!$GB$2:$GO$2)))^2)</f>
        <v>3.9524732488690258E-3</v>
      </c>
      <c r="O33">
        <f>EXP(((-1)/(2*'Cálculos Diversos'!$B$5))*(SQRT(SUMXMY2('Tabela Entrada-Saída'!$B$33:$O$33,'Coordenadas dos Polos'!$GP$2:$HC$2)))^2)</f>
        <v>1.3774105930131243E-4</v>
      </c>
      <c r="P33">
        <v>1</v>
      </c>
    </row>
    <row r="34" spans="1:16" x14ac:dyDescent="0.25">
      <c r="A34">
        <v>33</v>
      </c>
      <c r="B34">
        <f>EXP(((-1)/(2*'Cálculos Diversos'!$B$5))*(SQRT(SUMXMY2('Tabela Entrada-Saída'!$B$34:$O$34,'Coordenadas dos Polos'!$P$2:$AC$2)))^2)</f>
        <v>0.17855028923051486</v>
      </c>
      <c r="C34">
        <f>EXP(((-1)/(2*'Cálculos Diversos'!$B$5))*(SQRT(SUMXMY2('Tabela Entrada-Saída'!$B$34:$O$34,'Coordenadas dos Polos'!$AD$2:$AQ$2)))^2)</f>
        <v>5.9262773636086597E-6</v>
      </c>
      <c r="D34">
        <f>EXP(((-1)/(2*'Cálculos Diversos'!$B$5))*(SQRT(SUMXMY2('Tabela Entrada-Saída'!$B$34:$O$34,'Coordenadas dos Polos'!$AR$2:$BE$2)))^2)</f>
        <v>8.9196482496563839E-5</v>
      </c>
      <c r="E34">
        <f>EXP(((-1)/(2*'Cálculos Diversos'!$B$5))*(SQRT(SUMXMY2('Tabela Entrada-Saída'!$B$34:$O$34,'Coordenadas dos Polos'!$BF$2:$BS$2)))^2)</f>
        <v>1.1660559662583856E-6</v>
      </c>
      <c r="F34">
        <f>EXP(((-1)/(2*'Cálculos Diversos'!$B$5))*(SQRT(SUMXMY2('Tabela Entrada-Saída'!$B$34:$O$34,'Coordenadas dos Polos'!$BT$2:$CG$2)))^2)</f>
        <v>1.4152856217739519E-4</v>
      </c>
      <c r="G34">
        <f>EXP(((-1)/(2*'Cálculos Diversos'!$B$5))*(SQRT(SUMXMY2('Tabela Entrada-Saída'!$B$34:$O$34,'Coordenadas dos Polos'!$CH$2:$CU$2)))^2)</f>
        <v>3.4008630901877323E-3</v>
      </c>
      <c r="H34">
        <f>EXP(((-1)/(2*'Cálculos Diversos'!$B$5))*(SQRT(SUMXMY2('Tabela Entrada-Saída'!$B$34:$O$34,'Coordenadas dos Polos'!$CV$2:$DI$2)))^2)</f>
        <v>6.4375710156583271E-6</v>
      </c>
      <c r="I34">
        <f>EXP(((-1)/(2*'Cálculos Diversos'!$B$5))*(SQRT(SUMXMY2('Tabela Entrada-Saída'!$B$34:$O$34,'Coordenadas dos Polos'!$DJ$2:$DW$2)))^2)</f>
        <v>4.3048080813895578E-4</v>
      </c>
      <c r="J34">
        <f>EXP(((-1)/(2*'Cálculos Diversos'!$B$5))*(SQRT(SUMXMY2('Tabela Entrada-Saída'!$B$34:$O$34,'Coordenadas dos Polos'!$DX$2:$EK$2)))^2)</f>
        <v>4.4465080976493132E-3</v>
      </c>
      <c r="K34">
        <f>EXP(((-1)/(2*'Cálculos Diversos'!$B$5))*(SQRT(SUMXMY2('Tabela Entrada-Saída'!$B$34:$O$34,'Coordenadas dos Polos'!$EL$2:$EY$2)))^2)</f>
        <v>3.4613432655336081E-3</v>
      </c>
      <c r="L34">
        <f>EXP(((-1)/(2*'Cálculos Diversos'!$B$5))*(SQRT(SUMXMY2('Tabela Entrada-Saída'!$B$34:$O$34,'Coordenadas dos Polos'!$EZ$2:$FM$2)))^2)</f>
        <v>3.3830794471372721E-4</v>
      </c>
      <c r="M34">
        <f>EXP(((-1)/(2*'Cálculos Diversos'!$B$5))*(SQRT(SUMXMY2('Tabela Entrada-Saída'!$B$34:$O$34,'Coordenadas dos Polos'!$FN$2:$GA$2)))^2)</f>
        <v>6.3381213705612728E-4</v>
      </c>
      <c r="N34">
        <f>EXP(((-1)/(2*'Cálculos Diversos'!$B$5))*(SQRT(SUMXMY2('Tabela Entrada-Saída'!$B$34:$O$34,'Coordenadas dos Polos'!$GB$2:$GO$2)))^2)</f>
        <v>4.5601144032007017E-3</v>
      </c>
      <c r="O34">
        <f>EXP(((-1)/(2*'Cálculos Diversos'!$B$5))*(SQRT(SUMXMY2('Tabela Entrada-Saída'!$B$34:$O$34,'Coordenadas dos Polos'!$GP$2:$HC$2)))^2)</f>
        <v>1.3063648493368799E-4</v>
      </c>
      <c r="P34">
        <v>1</v>
      </c>
    </row>
    <row r="35" spans="1:16" x14ac:dyDescent="0.25">
      <c r="A35">
        <v>34</v>
      </c>
      <c r="B35">
        <f>EXP(((-1)/(2*'Cálculos Diversos'!$B$5))*(SQRT(SUMXMY2('Tabela Entrada-Saída'!$B$35:$O$35,'Coordenadas dos Polos'!$P$2:$AC$2)))^2)</f>
        <v>0.14875699775670409</v>
      </c>
      <c r="C35">
        <f>EXP(((-1)/(2*'Cálculos Diversos'!$B$5))*(SQRT(SUMXMY2('Tabela Entrada-Saída'!$B$35:$O$35,'Coordenadas dos Polos'!$AD$2:$AQ$2)))^2)</f>
        <v>5.003535143136112E-6</v>
      </c>
      <c r="D35">
        <f>EXP(((-1)/(2*'Cálculos Diversos'!$B$5))*(SQRT(SUMXMY2('Tabela Entrada-Saída'!$B$35:$O$35,'Coordenadas dos Polos'!$AR$2:$BE$2)))^2)</f>
        <v>8.3047177164563882E-5</v>
      </c>
      <c r="E35">
        <f>EXP(((-1)/(2*'Cálculos Diversos'!$B$5))*(SQRT(SUMXMY2('Tabela Entrada-Saída'!$B$35:$O$35,'Coordenadas dos Polos'!$BF$2:$BS$2)))^2)</f>
        <v>1.0315362410283863E-6</v>
      </c>
      <c r="F35">
        <f>EXP(((-1)/(2*'Cálculos Diversos'!$B$5))*(SQRT(SUMXMY2('Tabela Entrada-Saída'!$B$35:$O$35,'Coordenadas dos Polos'!$BT$2:$CG$2)))^2)</f>
        <v>1.267386026461624E-4</v>
      </c>
      <c r="G35">
        <f>EXP(((-1)/(2*'Cálculos Diversos'!$B$5))*(SQRT(SUMXMY2('Tabela Entrada-Saída'!$B$35:$O$35,'Coordenadas dos Polos'!$CH$2:$CU$2)))^2)</f>
        <v>2.9672706665368159E-3</v>
      </c>
      <c r="H35">
        <f>EXP(((-1)/(2*'Cálculos Diversos'!$B$5))*(SQRT(SUMXMY2('Tabela Entrada-Saída'!$B$35:$O$35,'Coordenadas dos Polos'!$CV$2:$DI$2)))^2)</f>
        <v>6.1342647560293771E-6</v>
      </c>
      <c r="I35">
        <f>EXP(((-1)/(2*'Cálculos Diversos'!$B$5))*(SQRT(SUMXMY2('Tabela Entrada-Saída'!$B$35:$O$35,'Coordenadas dos Polos'!$DJ$2:$DW$2)))^2)</f>
        <v>3.8272475183715018E-4</v>
      </c>
      <c r="J35">
        <f>EXP(((-1)/(2*'Cálculos Diversos'!$B$5))*(SQRT(SUMXMY2('Tabela Entrada-Saída'!$B$35:$O$35,'Coordenadas dos Polos'!$DX$2:$EK$2)))^2)</f>
        <v>4.6356893737740457E-3</v>
      </c>
      <c r="K35">
        <f>EXP(((-1)/(2*'Cálculos Diversos'!$B$5))*(SQRT(SUMXMY2('Tabela Entrada-Saída'!$B$35:$O$35,'Coordenadas dos Polos'!$EL$2:$EY$2)))^2)</f>
        <v>3.1203562699284259E-3</v>
      </c>
      <c r="L35">
        <f>EXP(((-1)/(2*'Cálculos Diversos'!$B$5))*(SQRT(SUMXMY2('Tabela Entrada-Saída'!$B$35:$O$35,'Coordenadas dos Polos'!$EZ$2:$FM$2)))^2)</f>
        <v>3.5142008284866626E-4</v>
      </c>
      <c r="M35">
        <f>EXP(((-1)/(2*'Cálculos Diversos'!$B$5))*(SQRT(SUMXMY2('Tabela Entrada-Saída'!$B$35:$O$35,'Coordenadas dos Polos'!$FN$2:$GA$2)))^2)</f>
        <v>5.8839136188495252E-4</v>
      </c>
      <c r="N35">
        <f>EXP(((-1)/(2*'Cálculos Diversos'!$B$5))*(SQRT(SUMXMY2('Tabela Entrada-Saída'!$B$35:$O$35,'Coordenadas dos Polos'!$GB$2:$GO$2)))^2)</f>
        <v>4.03874550788531E-3</v>
      </c>
      <c r="O35">
        <f>EXP(((-1)/(2*'Cálculos Diversos'!$B$5))*(SQRT(SUMXMY2('Tabela Entrada-Saída'!$B$35:$O$35,'Coordenadas dos Polos'!$GP$2:$HC$2)))^2)</f>
        <v>1.369406213453624E-4</v>
      </c>
      <c r="P35">
        <v>1</v>
      </c>
    </row>
    <row r="36" spans="1:16" x14ac:dyDescent="0.25">
      <c r="A36">
        <v>35</v>
      </c>
      <c r="B36">
        <f>EXP(((-1)/(2*'Cálculos Diversos'!$B$5))*(SQRT(SUMXMY2('Tabela Entrada-Saída'!$B$36:$O$36,'Coordenadas dos Polos'!$P$2:$AC$2)))^2)</f>
        <v>0.12294888373125255</v>
      </c>
      <c r="C36">
        <f>EXP(((-1)/(2*'Cálculos Diversos'!$B$5))*(SQRT(SUMXMY2('Tabela Entrada-Saída'!$B$36:$O$36,'Coordenadas dos Polos'!$AD$2:$AQ$2)))^2)</f>
        <v>4.1790909996305224E-6</v>
      </c>
      <c r="D36">
        <f>EXP(((-1)/(2*'Cálculos Diversos'!$B$5))*(SQRT(SUMXMY2('Tabela Entrada-Saída'!$B$36:$O$36,'Coordenadas dos Polos'!$AR$2:$BE$2)))^2)</f>
        <v>7.6533200685152653E-5</v>
      </c>
      <c r="E36">
        <f>EXP(((-1)/(2*'Cálculos Diversos'!$B$5))*(SQRT(SUMXMY2('Tabela Entrada-Saída'!$B$36:$O$36,'Coordenadas dos Polos'!$BF$2:$BS$2)))^2)</f>
        <v>9.0222205138798129E-7</v>
      </c>
      <c r="F36">
        <f>EXP(((-1)/(2*'Cálculos Diversos'!$B$5))*(SQRT(SUMXMY2('Tabela Entrada-Saída'!$B$36:$O$36,'Coordenadas dos Polos'!$BT$2:$CG$2)))^2)</f>
        <v>1.1232095734390602E-4</v>
      </c>
      <c r="G36">
        <f>EXP(((-1)/(2*'Cálculos Diversos'!$B$5))*(SQRT(SUMXMY2('Tabela Entrada-Saída'!$B$36:$O$36,'Coordenadas dos Polos'!$CH$2:$CU$2)))^2)</f>
        <v>2.5598032135419192E-3</v>
      </c>
      <c r="H36">
        <f>EXP(((-1)/(2*'Cálculos Diversos'!$B$5))*(SQRT(SUMXMY2('Tabela Entrada-Saída'!$B$36:$O$36,'Coordenadas dos Polos'!$CV$2:$DI$2)))^2)</f>
        <v>5.7737723154245788E-6</v>
      </c>
      <c r="I36">
        <f>EXP(((-1)/(2*'Cálculos Diversos'!$B$5))*(SQRT(SUMXMY2('Tabela Entrada-Saída'!$B$36:$O$36,'Coordenadas dos Polos'!$DJ$2:$DW$2)))^2)</f>
        <v>3.3681632334437421E-4</v>
      </c>
      <c r="J36">
        <f>EXP(((-1)/(2*'Cálculos Diversos'!$B$5))*(SQRT(SUMXMY2('Tabela Entrada-Saída'!$B$36:$O$36,'Coordenadas dos Polos'!$DX$2:$EK$2)))^2)</f>
        <v>4.7596451879055209E-3</v>
      </c>
      <c r="K36">
        <f>EXP(((-1)/(2*'Cálculos Diversos'!$B$5))*(SQRT(SUMXMY2('Tabela Entrada-Saída'!$B$36:$O$36,'Coordenadas dos Polos'!$EL$2:$EY$2)))^2)</f>
        <v>2.7853382897222987E-3</v>
      </c>
      <c r="L36">
        <f>EXP(((-1)/(2*'Cálculos Diversos'!$B$5))*(SQRT(SUMXMY2('Tabela Entrada-Saída'!$B$36:$O$36,'Coordenadas dos Polos'!$EZ$2:$FM$2)))^2)</f>
        <v>3.6017270104748744E-4</v>
      </c>
      <c r="M36">
        <f>EXP(((-1)/(2*'Cálculos Diversos'!$B$5))*(SQRT(SUMXMY2('Tabela Entrada-Saída'!$B$36:$O$36,'Coordenadas dos Polos'!$FN$2:$GA$2)))^2)</f>
        <v>5.3880340049759518E-4</v>
      </c>
      <c r="N36">
        <f>EXP(((-1)/(2*'Cálculos Diversos'!$B$5))*(SQRT(SUMXMY2('Tabela Entrada-Saída'!$B$36:$O$36,'Coordenadas dos Polos'!$GB$2:$GO$2)))^2)</f>
        <v>3.5407366163947292E-3</v>
      </c>
      <c r="O36">
        <f>EXP(((-1)/(2*'Cálculos Diversos'!$B$5))*(SQRT(SUMXMY2('Tabela Entrada-Saída'!$B$36:$O$36,'Coordenadas dos Polos'!$GP$2:$HC$2)))^2)</f>
        <v>1.413320130668965E-4</v>
      </c>
      <c r="P36">
        <v>1</v>
      </c>
    </row>
    <row r="37" spans="1:16" x14ac:dyDescent="0.25">
      <c r="A37">
        <v>36</v>
      </c>
      <c r="B37">
        <f>EXP(((-1)/(2*'Cálculos Diversos'!$B$5))*(SQRT(SUMXMY2('Tabela Entrada-Saída'!$B$37:$O$37,'Coordenadas dos Polos'!$P$2:$AC$2)))^2)</f>
        <v>0.17124124809461874</v>
      </c>
      <c r="C37">
        <f>EXP(((-1)/(2*'Cálculos Diversos'!$B$5))*(SQRT(SUMXMY2('Tabela Entrada-Saída'!$B$37:$O$37,'Coordenadas dos Polos'!$AD$2:$AQ$2)))^2)</f>
        <v>5.7000664447398101E-6</v>
      </c>
      <c r="D37">
        <f>EXP(((-1)/(2*'Cálculos Diversos'!$B$5))*(SQRT(SUMXMY2('Tabela Entrada-Saída'!$B$37:$O$37,'Coordenadas dos Polos'!$AR$2:$BE$2)))^2)</f>
        <v>8.7830880345917507E-5</v>
      </c>
      <c r="E37">
        <f>EXP(((-1)/(2*'Cálculos Diversos'!$B$5))*(SQRT(SUMXMY2('Tabela Entrada-Saída'!$B$37:$O$37,'Coordenadas dos Polos'!$BF$2:$BS$2)))^2)</f>
        <v>1.134308844815564E-6</v>
      </c>
      <c r="F37">
        <f>EXP(((-1)/(2*'Cálculos Diversos'!$B$5))*(SQRT(SUMXMY2('Tabela Entrada-Saída'!$B$37:$O$37,'Coordenadas dos Polos'!$BT$2:$CG$2)))^2)</f>
        <v>1.3807486949253065E-4</v>
      </c>
      <c r="G37">
        <f>EXP(((-1)/(2*'Cálculos Diversos'!$B$5))*(SQRT(SUMXMY2('Tabela Entrada-Saída'!$B$37:$O$37,'Coordenadas dos Polos'!$CH$2:$CU$2)))^2)</f>
        <v>3.2964414954325932E-3</v>
      </c>
      <c r="H37">
        <f>EXP(((-1)/(2*'Cálculos Diversos'!$B$5))*(SQRT(SUMXMY2('Tabela Entrada-Saída'!$B$37:$O$37,'Coordenadas dos Polos'!$CV$2:$DI$2)))^2)</f>
        <v>6.372830304996076E-6</v>
      </c>
      <c r="I37">
        <f>EXP(((-1)/(2*'Cálculos Diversos'!$B$5))*(SQRT(SUMXMY2('Tabela Entrada-Saída'!$B$37:$O$37,'Coordenadas dos Polos'!$DJ$2:$DW$2)))^2)</f>
        <v>4.1931000621659955E-4</v>
      </c>
      <c r="J37">
        <f>EXP(((-1)/(2*'Cálculos Diversos'!$B$5))*(SQRT(SUMXMY2('Tabela Entrada-Saída'!$B$37:$O$37,'Coordenadas dos Polos'!$DX$2:$EK$2)))^2)</f>
        <v>4.4945065333942867E-3</v>
      </c>
      <c r="K37">
        <f>EXP(((-1)/(2*'Cálculos Diversos'!$B$5))*(SQRT(SUMXMY2('Tabela Entrada-Saída'!$B$37:$O$37,'Coordenadas dos Polos'!$EL$2:$EY$2)))^2)</f>
        <v>3.3827202985422925E-3</v>
      </c>
      <c r="L37">
        <f>EXP(((-1)/(2*'Cálculos Diversos'!$B$5))*(SQRT(SUMXMY2('Tabela Entrada-Saída'!$B$37:$O$37,'Coordenadas dos Polos'!$EZ$2:$FM$2)))^2)</f>
        <v>3.4185145942093966E-4</v>
      </c>
      <c r="M37">
        <f>EXP(((-1)/(2*'Cálculos Diversos'!$B$5))*(SQRT(SUMXMY2('Tabela Entrada-Saída'!$B$37:$O$37,'Coordenadas dos Polos'!$FN$2:$GA$2)))^2)</f>
        <v>6.2338251639240769E-4</v>
      </c>
      <c r="N37">
        <f>EXP(((-1)/(2*'Cálculos Diversos'!$B$5))*(SQRT(SUMXMY2('Tabela Entrada-Saída'!$B$37:$O$37,'Coordenadas dos Polos'!$GB$2:$GO$2)))^2)</f>
        <v>4.4370167064574839E-3</v>
      </c>
      <c r="O37">
        <f>EXP(((-1)/(2*'Cálculos Diversos'!$B$5))*(SQRT(SUMXMY2('Tabela Entrada-Saída'!$B$37:$O$37,'Coordenadas dos Polos'!$GP$2:$HC$2)))^2)</f>
        <v>1.3224274059332909E-4</v>
      </c>
      <c r="P37">
        <v>1</v>
      </c>
    </row>
    <row r="38" spans="1:16" x14ac:dyDescent="0.25">
      <c r="A38">
        <v>37</v>
      </c>
      <c r="B38">
        <f>EXP(((-1)/(2*'Cálculos Diversos'!$B$5))*(SQRT(SUMXMY2('Tabela Entrada-Saída'!$B$38:$O$38,'Coordenadas dos Polos'!$P$2:$AC$2)))^2)</f>
        <v>0.12148229636254532</v>
      </c>
      <c r="C38">
        <f>EXP(((-1)/(2*'Cálculos Diversos'!$B$5))*(SQRT(SUMXMY2('Tabela Entrada-Saída'!$B$38:$O$38,'Coordenadas dos Polos'!$AD$2:$AQ$2)))^2)</f>
        <v>4.1298561462174749E-6</v>
      </c>
      <c r="D38">
        <f>EXP(((-1)/(2*'Cálculos Diversos'!$B$5))*(SQRT(SUMXMY2('Tabela Entrada-Saída'!$B$38:$O$38,'Coordenadas dos Polos'!$AR$2:$BE$2)))^2)</f>
        <v>7.6079427492099731E-5</v>
      </c>
      <c r="E38">
        <f>EXP(((-1)/(2*'Cálculos Diversos'!$B$5))*(SQRT(SUMXMY2('Tabela Entrada-Saída'!$B$38:$O$38,'Coordenadas dos Polos'!$BF$2:$BS$2)))^2)</f>
        <v>8.939759012843556E-7</v>
      </c>
      <c r="F38">
        <f>EXP(((-1)/(2*'Cálculos Diversos'!$B$5))*(SQRT(SUMXMY2('Tabela Entrada-Saída'!$B$38:$O$38,'Coordenadas dos Polos'!$BT$2:$CG$2)))^2)</f>
        <v>1.1141554778943654E-4</v>
      </c>
      <c r="G38">
        <f>EXP(((-1)/(2*'Cálculos Diversos'!$B$5))*(SQRT(SUMXMY2('Tabela Entrada-Saída'!$B$38:$O$38,'Coordenadas dos Polos'!$CH$2:$CU$2)))^2)</f>
        <v>2.5353369475111034E-3</v>
      </c>
      <c r="H38">
        <f>EXP(((-1)/(2*'Cálculos Diversos'!$B$5))*(SQRT(SUMXMY2('Tabela Entrada-Saída'!$B$38:$O$38,'Coordenadas dos Polos'!$CV$2:$DI$2)))^2)</f>
        <v>5.7470110385209471E-6</v>
      </c>
      <c r="I38">
        <f>EXP(((-1)/(2*'Cálculos Diversos'!$B$5))*(SQRT(SUMXMY2('Tabela Entrada-Saída'!$B$38:$O$38,'Coordenadas dos Polos'!$DJ$2:$DW$2)))^2)</f>
        <v>3.3384641298287311E-4</v>
      </c>
      <c r="J38">
        <f>EXP(((-1)/(2*'Cálculos Diversos'!$B$5))*(SQRT(SUMXMY2('Tabela Entrada-Saída'!$B$38:$O$38,'Coordenadas dos Polos'!$DX$2:$EK$2)))^2)</f>
        <v>4.764010638594351E-3</v>
      </c>
      <c r="K38">
        <f>EXP(((-1)/(2*'Cálculos Diversos'!$B$5))*(SQRT(SUMXMY2('Tabela Entrada-Saída'!$B$38:$O$38,'Coordenadas dos Polos'!$EL$2:$EY$2)))^2)</f>
        <v>2.7641829738727489E-3</v>
      </c>
      <c r="L38">
        <f>EXP(((-1)/(2*'Cálculos Diversos'!$B$5))*(SQRT(SUMXMY2('Tabela Entrada-Saída'!$B$38:$O$38,'Coordenadas dos Polos'!$EZ$2:$FM$2)))^2)</f>
        <v>3.6036793886187111E-4</v>
      </c>
      <c r="M38">
        <f>EXP(((-1)/(2*'Cálculos Diversos'!$B$5))*(SQRT(SUMXMY2('Tabela Entrada-Saída'!$B$38:$O$38,'Coordenadas dos Polos'!$FN$2:$GA$2)))^2)</f>
        <v>5.3545145526652797E-4</v>
      </c>
      <c r="N38">
        <f>EXP(((-1)/(2*'Cálculos Diversos'!$B$5))*(SQRT(SUMXMY2('Tabela Entrada-Saída'!$B$38:$O$38,'Coordenadas dos Polos'!$GB$2:$GO$2)))^2)</f>
        <v>3.5102213264932148E-3</v>
      </c>
      <c r="O38">
        <f>EXP(((-1)/(2*'Cálculos Diversos'!$B$5))*(SQRT(SUMXMY2('Tabela Entrada-Saída'!$B$38:$O$38,'Coordenadas dos Polos'!$GP$2:$HC$2)))^2)</f>
        <v>1.414817713746294E-4</v>
      </c>
      <c r="P38">
        <v>1</v>
      </c>
    </row>
    <row r="39" spans="1:16" x14ac:dyDescent="0.25">
      <c r="A39">
        <v>38</v>
      </c>
      <c r="B39">
        <f>EXP(((-1)/(2*'Cálculos Diversos'!$B$5))*(SQRT(SUMXMY2('Tabela Entrada-Saída'!$B$39:$O$39,'Coordenadas dos Polos'!$P$2:$AC$2)))^2)</f>
        <v>0.13520317846750435</v>
      </c>
      <c r="C39">
        <f>EXP(((-1)/(2*'Cálculos Diversos'!$B$5))*(SQRT(SUMXMY2('Tabela Entrada-Saída'!$B$39:$O$39,'Coordenadas dos Polos'!$AD$2:$AQ$2)))^2)</f>
        <v>4.5689295499855278E-6</v>
      </c>
      <c r="D39">
        <f>EXP(((-1)/(2*'Cálculos Diversos'!$B$5))*(SQRT(SUMXMY2('Tabela Entrada-Saída'!$B$39:$O$39,'Coordenadas dos Polos'!$AR$2:$BE$2)))^2)</f>
        <v>7.9785458446003622E-5</v>
      </c>
      <c r="E39">
        <f>EXP(((-1)/(2*'Cálculos Diversos'!$B$5))*(SQRT(SUMXMY2('Tabela Entrada-Saída'!$B$39:$O$39,'Coordenadas dos Polos'!$BF$2:$BS$2)))^2)</f>
        <v>9.6451244952840392E-7</v>
      </c>
      <c r="F39">
        <f>EXP(((-1)/(2*'Cálculos Diversos'!$B$5))*(SQRT(SUMXMY2('Tabela Entrada-Saída'!$B$39:$O$39,'Coordenadas dos Polos'!$BT$2:$CG$2)))^2)</f>
        <v>1.1934425528463158E-4</v>
      </c>
      <c r="G39">
        <f>EXP(((-1)/(2*'Cálculos Diversos'!$B$5))*(SQRT(SUMXMY2('Tabela Entrada-Saída'!$B$39:$O$39,'Coordenadas dos Polos'!$CH$2:$CU$2)))^2)</f>
        <v>2.7549031424155116E-3</v>
      </c>
      <c r="H39">
        <f>EXP(((-1)/(2*'Cálculos Diversos'!$B$5))*(SQRT(SUMXMY2('Tabela Entrada-Saída'!$B$39:$O$39,'Coordenadas dos Polos'!$CV$2:$DI$2)))^2)</f>
        <v>5.9553333405070676E-6</v>
      </c>
      <c r="I39">
        <f>EXP(((-1)/(2*'Cálculos Diversos'!$B$5))*(SQRT(SUMXMY2('Tabela Entrada-Saída'!$B$39:$O$39,'Coordenadas dos Polos'!$DJ$2:$DW$2)))^2)</f>
        <v>3.5907362081862319E-4</v>
      </c>
      <c r="J39">
        <f>EXP(((-1)/(2*'Cálculos Diversos'!$B$5))*(SQRT(SUMXMY2('Tabela Entrada-Saída'!$B$39:$O$39,'Coordenadas dos Polos'!$DX$2:$EK$2)))^2)</f>
        <v>4.7036165371633762E-3</v>
      </c>
      <c r="K39">
        <f>EXP(((-1)/(2*'Cálculos Diversos'!$B$5))*(SQRT(SUMXMY2('Tabela Entrada-Saída'!$B$39:$O$39,'Coordenadas dos Polos'!$EL$2:$EY$2)))^2)</f>
        <v>2.9494553275999308E-3</v>
      </c>
      <c r="L39">
        <f>EXP(((-1)/(2*'Cálculos Diversos'!$B$5))*(SQRT(SUMXMY2('Tabela Entrada-Saída'!$B$39:$O$39,'Coordenadas dos Polos'!$EZ$2:$FM$2)))^2)</f>
        <v>3.5639199864434675E-4</v>
      </c>
      <c r="M39">
        <f>EXP(((-1)/(2*'Cálculos Diversos'!$B$5))*(SQRT(SUMXMY2('Tabela Entrada-Saída'!$B$39:$O$39,'Coordenadas dos Polos'!$FN$2:$GA$2)))^2)</f>
        <v>5.6302327271994131E-4</v>
      </c>
      <c r="N39">
        <f>EXP(((-1)/(2*'Cálculos Diversos'!$B$5))*(SQRT(SUMXMY2('Tabela Entrada-Saída'!$B$39:$O$39,'Coordenadas dos Polos'!$GB$2:$GO$2)))^2)</f>
        <v>3.7818822489970199E-3</v>
      </c>
      <c r="O39">
        <f>EXP(((-1)/(2*'Cálculos Diversos'!$B$5))*(SQRT(SUMXMY2('Tabela Entrada-Saída'!$B$39:$O$39,'Coordenadas dos Polos'!$GP$2:$HC$2)))^2)</f>
        <v>1.3931154553568835E-4</v>
      </c>
      <c r="P39">
        <v>1</v>
      </c>
    </row>
    <row r="40" spans="1:16" x14ac:dyDescent="0.25">
      <c r="A40">
        <v>39</v>
      </c>
      <c r="B40">
        <f>EXP(((-1)/(2*'Cálculos Diversos'!$B$5))*(SQRT(SUMXMY2('Tabela Entrada-Saída'!$B$40:$O$40,'Coordenadas dos Polos'!$P$2:$AC$2)))^2)</f>
        <v>0.16100501307862508</v>
      </c>
      <c r="C40">
        <f>EXP(((-1)/(2*'Cálculos Diversos'!$B$5))*(SQRT(SUMXMY2('Tabela Entrada-Saída'!$B$40:$O$40,'Coordenadas dos Polos'!$AD$2:$AQ$2)))^2)</f>
        <v>5.3928746693662155E-6</v>
      </c>
      <c r="D40">
        <f>EXP(((-1)/(2*'Cálculos Diversos'!$B$5))*(SQRT(SUMXMY2('Tabela Entrada-Saída'!$B$40:$O$40,'Coordenadas dos Polos'!$AR$2:$BE$2)))^2)</f>
        <v>8.5786224649877702E-5</v>
      </c>
      <c r="E40">
        <f>EXP(((-1)/(2*'Cálculos Diversos'!$B$5))*(SQRT(SUMXMY2('Tabela Entrada-Saída'!$B$40:$O$40,'Coordenadas dos Polos'!$BF$2:$BS$2)))^2)</f>
        <v>1.0898203007004688E-6</v>
      </c>
      <c r="F40">
        <f>EXP(((-1)/(2*'Cálculos Diversos'!$B$5))*(SQRT(SUMXMY2('Tabela Entrada-Saída'!$B$40:$O$40,'Coordenadas dos Polos'!$BT$2:$CG$2)))^2)</f>
        <v>1.3311500459127346E-4</v>
      </c>
      <c r="G40">
        <f>EXP(((-1)/(2*'Cálculos Diversos'!$B$5))*(SQRT(SUMXMY2('Tabela Entrada-Saída'!$B$40:$O$40,'Coordenadas dos Polos'!$CH$2:$CU$2)))^2)</f>
        <v>3.1523471585821719E-3</v>
      </c>
      <c r="H40">
        <f>EXP(((-1)/(2*'Cálculos Diversos'!$B$5))*(SQRT(SUMXMY2('Tabela Entrada-Saída'!$B$40:$O$40,'Coordenadas dos Polos'!$CV$2:$DI$2)))^2)</f>
        <v>6.2776096745176371E-6</v>
      </c>
      <c r="I40">
        <f>EXP(((-1)/(2*'Cálculos Diversos'!$B$5))*(SQRT(SUMXMY2('Tabela Entrada-Saída'!$B$40:$O$40,'Coordenadas dos Polos'!$DJ$2:$DW$2)))^2)</f>
        <v>4.0332899834467451E-4</v>
      </c>
      <c r="J40">
        <f>EXP(((-1)/(2*'Cálculos Diversos'!$B$5))*(SQRT(SUMXMY2('Tabela Entrada-Saída'!$B$40:$O$40,'Coordenadas dos Polos'!$DX$2:$EK$2)))^2)</f>
        <v>4.5660736214701994E-3</v>
      </c>
      <c r="K40">
        <f>EXP(((-1)/(2*'Cálculos Diversos'!$B$5))*(SQRT(SUMXMY2('Tabela Entrada-Saída'!$B$40:$O$40,'Coordenadas dos Polos'!$EL$2:$EY$2)))^2)</f>
        <v>3.2673087043461591E-3</v>
      </c>
      <c r="L40">
        <f>EXP(((-1)/(2*'Cálculos Diversos'!$B$5))*(SQRT(SUMXMY2('Tabela Entrada-Saída'!$B$40:$O$40,'Coordenadas dos Polos'!$EZ$2:$FM$2)))^2)</f>
        <v>3.4654874965516365E-4</v>
      </c>
      <c r="M40">
        <f>EXP(((-1)/(2*'Cálculos Diversos'!$B$5))*(SQRT(SUMXMY2('Tabela Entrada-Saída'!$B$40:$O$40,'Coordenadas dos Polos'!$FN$2:$GA$2)))^2)</f>
        <v>6.0910401170012163E-4</v>
      </c>
      <c r="N40">
        <f>EXP(((-1)/(2*'Cálculos Diversos'!$B$5))*(SQRT(SUMXMY2('Tabela Entrada-Saída'!$B$40:$O$40,'Coordenadas dos Polos'!$GB$2:$GO$2)))^2)</f>
        <v>4.2614058217120337E-3</v>
      </c>
      <c r="O40">
        <f>EXP(((-1)/(2*'Cálculos Diversos'!$B$5))*(SQRT(SUMXMY2('Tabela Entrada-Saída'!$B$40:$O$40,'Coordenadas dos Polos'!$GP$2:$HC$2)))^2)</f>
        <v>1.3458446122742424E-4</v>
      </c>
      <c r="P40">
        <v>1</v>
      </c>
    </row>
    <row r="41" spans="1:16" x14ac:dyDescent="0.25">
      <c r="A41">
        <v>40</v>
      </c>
      <c r="B41">
        <f>EXP(((-1)/(2*'Cálculos Diversos'!$B$5))*(SQRT(SUMXMY2('Tabela Entrada-Saída'!$B$41:$O$41,'Coordenadas dos Polos'!$P$2:$AC$2)))^2)</f>
        <v>0.15023264751038717</v>
      </c>
      <c r="C41">
        <f>EXP(((-1)/(2*'Cálculos Diversos'!$B$5))*(SQRT(SUMXMY2('Tabela Entrada-Saída'!$B$41:$O$41,'Coordenadas dos Polos'!$AD$2:$AQ$2)))^2)</f>
        <v>5.0430805449810918E-6</v>
      </c>
      <c r="D41">
        <f>EXP(((-1)/(2*'Cálculos Diversos'!$B$5))*(SQRT(SUMXMY2('Tabela Entrada-Saída'!$B$41:$O$41,'Coordenadas dos Polos'!$AR$2:$BE$2)))^2)</f>
        <v>8.339184458195254E-5</v>
      </c>
      <c r="E41">
        <f>EXP(((-1)/(2*'Cálculos Diversos'!$B$5))*(SQRT(SUMXMY2('Tabela Entrada-Saída'!$B$41:$O$41,'Coordenadas dos Polos'!$BF$2:$BS$2)))^2)</f>
        <v>1.0373220328424728E-6</v>
      </c>
      <c r="F41">
        <f>EXP(((-1)/(2*'Cálculos Diversos'!$B$5))*(SQRT(SUMXMY2('Tabela Entrada-Saída'!$B$41:$O$41,'Coordenadas dos Polos'!$BT$2:$CG$2)))^2)</f>
        <v>1.2745470589701761E-4</v>
      </c>
      <c r="G41">
        <f>EXP(((-1)/(2*'Cálculos Diversos'!$B$5))*(SQRT(SUMXMY2('Tabela Entrada-Saída'!$B$41:$O$41,'Coordenadas dos Polos'!$CH$2:$CU$2)))^2)</f>
        <v>2.9862710628124557E-3</v>
      </c>
      <c r="H41">
        <f>EXP(((-1)/(2*'Cálculos Diversos'!$B$5))*(SQRT(SUMXMY2('Tabela Entrada-Saída'!$B$41:$O$41,'Coordenadas dos Polos'!$CV$2:$DI$2)))^2)</f>
        <v>6.1479052909681497E-6</v>
      </c>
      <c r="I41">
        <f>EXP(((-1)/(2*'Cálculos Diversos'!$B$5))*(SQRT(SUMXMY2('Tabela Entrada-Saída'!$B$41:$O$41,'Coordenadas dos Polos'!$DJ$2:$DW$2)))^2)</f>
        <v>3.850154150697745E-4</v>
      </c>
      <c r="J41">
        <f>EXP(((-1)/(2*'Cálculos Diversos'!$B$5))*(SQRT(SUMXMY2('Tabela Entrada-Saída'!$B$41:$O$41,'Coordenadas dos Polos'!$DX$2:$EK$2)))^2)</f>
        <v>4.6231962704226656E-3</v>
      </c>
      <c r="K41">
        <f>EXP(((-1)/(2*'Cálculos Diversos'!$B$5))*(SQRT(SUMXMY2('Tabela Entrada-Saída'!$B$41:$O$41,'Coordenadas dos Polos'!$EL$2:$EY$2)))^2)</f>
        <v>3.1381924986701231E-3</v>
      </c>
      <c r="L41">
        <f>EXP(((-1)/(2*'Cálculos Diversos'!$B$5))*(SQRT(SUMXMY2('Tabela Entrada-Saída'!$B$41:$O$41,'Coordenadas dos Polos'!$EZ$2:$FM$2)))^2)</f>
        <v>3.5078305034188568E-4</v>
      </c>
      <c r="M41">
        <f>EXP(((-1)/(2*'Cálculos Diversos'!$B$5))*(SQRT(SUMXMY2('Tabela Entrada-Saída'!$B$41:$O$41,'Coordenadas dos Polos'!$FN$2:$GA$2)))^2)</f>
        <v>5.8994011665236394E-4</v>
      </c>
      <c r="N41">
        <f>EXP(((-1)/(2*'Cálculos Diversos'!$B$5))*(SQRT(SUMXMY2('Tabela Entrada-Saída'!$B$41:$O$41,'Coordenadas dos Polos'!$GB$2:$GO$2)))^2)</f>
        <v>4.0643517860364676E-3</v>
      </c>
      <c r="O41">
        <f>EXP(((-1)/(2*'Cálculos Diversos'!$B$5))*(SQRT(SUMXMY2('Tabela Entrada-Saída'!$B$41:$O$41,'Coordenadas dos Polos'!$GP$2:$HC$2)))^2)</f>
        <v>1.3650578215379308E-4</v>
      </c>
      <c r="P41">
        <v>1</v>
      </c>
    </row>
    <row r="42" spans="1:16" x14ac:dyDescent="0.25">
      <c r="A42">
        <v>41</v>
      </c>
      <c r="B42">
        <f>EXP(((-1)/(2*'Cálculos Diversos'!$B$5))*(SQRT(SUMXMY2('Tabela Entrada-Saída'!$B$42:$O$42,'Coordenadas dos Polos'!$P$2:$AC$2)))^2)</f>
        <v>0.1601345738611066</v>
      </c>
      <c r="C42">
        <f>EXP(((-1)/(2*'Cálculos Diversos'!$B$5))*(SQRT(SUMXMY2('Tabela Entrada-Saída'!$B$42:$O$42,'Coordenadas dos Polos'!$AD$2:$AQ$2)))^2)</f>
        <v>5.3518677936728456E-6</v>
      </c>
      <c r="D42">
        <f>EXP(((-1)/(2*'Cálculos Diversos'!$B$5))*(SQRT(SUMXMY2('Tabela Entrada-Saída'!$B$42:$O$42,'Coordenadas dos Polos'!$AR$2:$BE$2)))^2)</f>
        <v>8.557909150745049E-5</v>
      </c>
      <c r="E42">
        <f>EXP(((-1)/(2*'Cálculos Diversos'!$B$5))*(SQRT(SUMXMY2('Tabela Entrada-Saída'!$B$42:$O$42,'Coordenadas dos Polos'!$BF$2:$BS$2)))^2)</f>
        <v>1.0833342225122981E-6</v>
      </c>
      <c r="F42">
        <f>EXP(((-1)/(2*'Cálculos Diversos'!$B$5))*(SQRT(SUMXMY2('Tabela Entrada-Saída'!$B$42:$O$42,'Coordenadas dos Polos'!$BT$2:$CG$2)))^2)</f>
        <v>1.3254139010247091E-4</v>
      </c>
      <c r="G42">
        <f>EXP(((-1)/(2*'Cálculos Diversos'!$B$5))*(SQRT(SUMXMY2('Tabela Entrada-Saída'!$B$42:$O$42,'Coordenadas dos Polos'!$CH$2:$CU$2)))^2)</f>
        <v>3.1333449860072326E-3</v>
      </c>
      <c r="H42">
        <f>EXP(((-1)/(2*'Cálculos Diversos'!$B$5))*(SQRT(SUMXMY2('Tabela Entrada-Saída'!$B$42:$O$42,'Coordenadas dos Polos'!$CV$2:$DI$2)))^2)</f>
        <v>6.2593209245048177E-6</v>
      </c>
      <c r="I42">
        <f>EXP(((-1)/(2*'Cálculos Diversos'!$B$5))*(SQRT(SUMXMY2('Tabela Entrada-Saída'!$B$42:$O$42,'Coordenadas dos Polos'!$DJ$2:$DW$2)))^2)</f>
        <v>4.0141855487789701E-4</v>
      </c>
      <c r="J42">
        <f>EXP(((-1)/(2*'Cálculos Diversos'!$B$5))*(SQRT(SUMXMY2('Tabela Entrada-Saída'!$B$42:$O$42,'Coordenadas dos Polos'!$DX$2:$EK$2)))^2)</f>
        <v>4.563736386029942E-3</v>
      </c>
      <c r="K42">
        <f>EXP(((-1)/(2*'Cálculos Diversos'!$B$5))*(SQRT(SUMXMY2('Tabela Entrada-Saída'!$B$42:$O$42,'Coordenadas dos Polos'!$EL$2:$EY$2)))^2)</f>
        <v>3.2560894313789722E-3</v>
      </c>
      <c r="L42">
        <f>EXP(((-1)/(2*'Cálculos Diversos'!$B$5))*(SQRT(SUMXMY2('Tabela Entrada-Saída'!$B$42:$O$42,'Coordenadas dos Polos'!$EZ$2:$FM$2)))^2)</f>
        <v>3.4671479404257255E-4</v>
      </c>
      <c r="M42">
        <f>EXP(((-1)/(2*'Cálculos Diversos'!$B$5))*(SQRT(SUMXMY2('Tabela Entrada-Saída'!$B$42:$O$42,'Coordenadas dos Polos'!$FN$2:$GA$2)))^2)</f>
        <v>6.0596789541902312E-4</v>
      </c>
      <c r="N42">
        <f>EXP(((-1)/(2*'Cálculos Diversos'!$B$5))*(SQRT(SUMXMY2('Tabela Entrada-Saída'!$B$42:$O$42,'Coordenadas dos Polos'!$GB$2:$GO$2)))^2)</f>
        <v>4.2426996507518681E-3</v>
      </c>
      <c r="O42">
        <f>EXP(((-1)/(2*'Cálculos Diversos'!$B$5))*(SQRT(SUMXMY2('Tabela Entrada-Saída'!$B$42:$O$42,'Coordenadas dos Polos'!$GP$2:$HC$2)))^2)</f>
        <v>1.3449057842835816E-4</v>
      </c>
      <c r="P42">
        <v>1</v>
      </c>
    </row>
    <row r="43" spans="1:16" x14ac:dyDescent="0.25">
      <c r="A43">
        <v>42</v>
      </c>
      <c r="B43">
        <f>EXP(((-1)/(2*'Cálculos Diversos'!$B$5))*(SQRT(SUMXMY2('Tabela Entrada-Saída'!$B$43:$O$43,'Coordenadas dos Polos'!$P$2:$AC$2)))^2)</f>
        <v>0.17619792954346719</v>
      </c>
      <c r="C43">
        <f>EXP(((-1)/(2*'Cálculos Diversos'!$B$5))*(SQRT(SUMXMY2('Tabela Entrada-Saída'!$B$43:$O$43,'Coordenadas dos Polos'!$AD$2:$AQ$2)))^2)</f>
        <v>5.8573463501510561E-6</v>
      </c>
      <c r="D43">
        <f>EXP(((-1)/(2*'Cálculos Diversos'!$B$5))*(SQRT(SUMXMY2('Tabela Entrada-Saída'!$B$43:$O$43,'Coordenadas dos Polos'!$AR$2:$BE$2)))^2)</f>
        <v>8.873955840321915E-5</v>
      </c>
      <c r="E43">
        <f>EXP(((-1)/(2*'Cálculos Diversos'!$B$5))*(SQRT(SUMXMY2('Tabela Entrada-Saída'!$B$43:$O$43,'Coordenadas dos Polos'!$BF$2:$BS$2)))^2)</f>
        <v>1.1565364913565613E-6</v>
      </c>
      <c r="F43">
        <f>EXP(((-1)/(2*'Cálculos Diversos'!$B$5))*(SQRT(SUMXMY2('Tabela Entrada-Saída'!$B$43:$O$43,'Coordenadas dos Polos'!$BT$2:$CG$2)))^2)</f>
        <v>1.4045287497592757E-4</v>
      </c>
      <c r="G43">
        <f>EXP(((-1)/(2*'Cálculos Diversos'!$B$5))*(SQRT(SUMXMY2('Tabela Entrada-Saída'!$B$43:$O$43,'Coordenadas dos Polos'!$CH$2:$CU$2)))^2)</f>
        <v>3.369518384613818E-3</v>
      </c>
      <c r="H43">
        <f>EXP(((-1)/(2*'Cálculos Diversos'!$B$5))*(SQRT(SUMXMY2('Tabela Entrada-Saída'!$B$43:$O$43,'Coordenadas dos Polos'!$CV$2:$DI$2)))^2)</f>
        <v>6.4186378586593276E-6</v>
      </c>
      <c r="I43">
        <f>EXP(((-1)/(2*'Cálculos Diversos'!$B$5))*(SQRT(SUMXMY2('Tabela Entrada-Saída'!$B$43:$O$43,'Coordenadas dos Polos'!$DJ$2:$DW$2)))^2)</f>
        <v>4.2695340214365978E-4</v>
      </c>
      <c r="J43">
        <f>EXP(((-1)/(2*'Cálculos Diversos'!$B$5))*(SQRT(SUMXMY2('Tabela Entrada-Saída'!$B$43:$O$43,'Coordenadas dos Polos'!$DX$2:$EK$2)))^2)</f>
        <v>4.4639341492332899E-3</v>
      </c>
      <c r="K43">
        <f>EXP(((-1)/(2*'Cálculos Diversos'!$B$5))*(SQRT(SUMXMY2('Tabela Entrada-Saída'!$B$43:$O$43,'Coordenadas dos Polos'!$EL$2:$EY$2)))^2)</f>
        <v>3.4362110016470967E-3</v>
      </c>
      <c r="L43">
        <f>EXP(((-1)/(2*'Cálculos Diversos'!$B$5))*(SQRT(SUMXMY2('Tabela Entrada-Saída'!$B$43:$O$43,'Coordenadas dos Polos'!$EZ$2:$FM$2)))^2)</f>
        <v>3.3943140961611865E-4</v>
      </c>
      <c r="M43">
        <f>EXP(((-1)/(2*'Cálculos Diversos'!$B$5))*(SQRT(SUMXMY2('Tabela Entrada-Saída'!$B$43:$O$43,'Coordenadas dos Polos'!$FN$2:$GA$2)))^2)</f>
        <v>6.3103743277816593E-4</v>
      </c>
      <c r="N43">
        <f>EXP(((-1)/(2*'Cálculos Diversos'!$B$5))*(SQRT(SUMXMY2('Tabela Entrada-Saída'!$B$43:$O$43,'Coordenadas dos Polos'!$GB$2:$GO$2)))^2)</f>
        <v>4.5215507538012255E-3</v>
      </c>
      <c r="O43">
        <f>EXP(((-1)/(2*'Cálculos Diversos'!$B$5))*(SQRT(SUMXMY2('Tabela Entrada-Saída'!$B$43:$O$43,'Coordenadas dos Polos'!$GP$2:$HC$2)))^2)</f>
        <v>1.312230806494892E-4</v>
      </c>
      <c r="P43">
        <v>1</v>
      </c>
    </row>
    <row r="44" spans="1:16" x14ac:dyDescent="0.25">
      <c r="A44">
        <v>43</v>
      </c>
      <c r="B44">
        <f>EXP(((-1)/(2*'Cálculos Diversos'!$B$5))*(SQRT(SUMXMY2('Tabela Entrada-Saída'!$B$44:$O$44,'Coordenadas dos Polos'!$P$2:$AC$2)))^2)</f>
        <v>0.15380058390150828</v>
      </c>
      <c r="C44">
        <f>EXP(((-1)/(2*'Cálculos Diversos'!$B$5))*(SQRT(SUMXMY2('Tabela Entrada-Saída'!$B$44:$O$44,'Coordenadas dos Polos'!$AD$2:$AQ$2)))^2)</f>
        <v>5.157295811098182E-6</v>
      </c>
      <c r="D44">
        <f>EXP(((-1)/(2*'Cálculos Diversos'!$B$5))*(SQRT(SUMXMY2('Tabela Entrada-Saída'!$B$44:$O$44,'Coordenadas dos Polos'!$AR$2:$BE$2)))^2)</f>
        <v>8.420099852504043E-5</v>
      </c>
      <c r="E44">
        <f>EXP(((-1)/(2*'Cálculos Diversos'!$B$5))*(SQRT(SUMXMY2('Tabela Entrada-Saída'!$B$44:$O$44,'Coordenadas dos Polos'!$BF$2:$BS$2)))^2)</f>
        <v>1.0546718839206624E-6</v>
      </c>
      <c r="F44">
        <f>EXP(((-1)/(2*'Cálculos Diversos'!$B$5))*(SQRT(SUMXMY2('Tabela Entrada-Saída'!$B$44:$O$44,'Coordenadas dos Polos'!$BT$2:$CG$2)))^2)</f>
        <v>1.2934656309904601E-4</v>
      </c>
      <c r="G44">
        <f>EXP(((-1)/(2*'Cálculos Diversos'!$B$5))*(SQRT(SUMXMY2('Tabela Entrada-Saída'!$B$44:$O$44,'Coordenadas dos Polos'!$CH$2:$CU$2)))^2)</f>
        <v>3.040932890830645E-3</v>
      </c>
      <c r="H44">
        <f>EXP(((-1)/(2*'Cálculos Diversos'!$B$5))*(SQRT(SUMXMY2('Tabela Entrada-Saída'!$B$44:$O$44,'Coordenadas dos Polos'!$CV$2:$DI$2)))^2)</f>
        <v>6.1914424887329398E-6</v>
      </c>
      <c r="I44">
        <f>EXP(((-1)/(2*'Cálculos Diversos'!$B$5))*(SQRT(SUMXMY2('Tabela Entrada-Saída'!$B$44:$O$44,'Coordenadas dos Polos'!$DJ$2:$DW$2)))^2)</f>
        <v>3.9110834348468339E-4</v>
      </c>
      <c r="J44">
        <f>EXP(((-1)/(2*'Cálculos Diversos'!$B$5))*(SQRT(SUMXMY2('Tabela Entrada-Saída'!$B$44:$O$44,'Coordenadas dos Polos'!$DX$2:$EK$2)))^2)</f>
        <v>4.6036955557877558E-3</v>
      </c>
      <c r="K44">
        <f>EXP(((-1)/(2*'Cálculos Diversos'!$B$5))*(SQRT(SUMXMY2('Tabela Entrada-Saída'!$B$44:$O$44,'Coordenadas dos Polos'!$EL$2:$EY$2)))^2)</f>
        <v>3.1816949112193757E-3</v>
      </c>
      <c r="L44">
        <f>EXP(((-1)/(2*'Cálculos Diversos'!$B$5))*(SQRT(SUMXMY2('Tabela Entrada-Saída'!$B$44:$O$44,'Coordenadas dos Polos'!$EZ$2:$FM$2)))^2)</f>
        <v>3.4941593594335846E-4</v>
      </c>
      <c r="M44">
        <f>EXP(((-1)/(2*'Cálculos Diversos'!$B$5))*(SQRT(SUMXMY2('Tabela Entrada-Saída'!$B$44:$O$44,'Coordenadas dos Polos'!$FN$2:$GA$2)))^2)</f>
        <v>5.9622859163573625E-4</v>
      </c>
      <c r="N44">
        <f>EXP(((-1)/(2*'Cálculos Diversos'!$B$5))*(SQRT(SUMXMY2('Tabela Entrada-Saída'!$B$44:$O$44,'Coordenadas dos Polos'!$GB$2:$GO$2)))^2)</f>
        <v>4.1300172369179546E-3</v>
      </c>
      <c r="O44">
        <f>EXP(((-1)/(2*'Cálculos Diversos'!$B$5))*(SQRT(SUMXMY2('Tabela Entrada-Saída'!$B$44:$O$44,'Coordenadas dos Polos'!$GP$2:$HC$2)))^2)</f>
        <v>1.3585642087214338E-4</v>
      </c>
      <c r="P44">
        <v>1</v>
      </c>
    </row>
    <row r="45" spans="1:16" x14ac:dyDescent="0.25">
      <c r="A45">
        <v>44</v>
      </c>
      <c r="B45">
        <f>EXP(((-1)/(2*'Cálculos Diversos'!$B$5))*(SQRT(SUMXMY2('Tabela Entrada-Saída'!$B$45:$O$45,'Coordenadas dos Polos'!$P$2:$AC$2)))^2)</f>
        <v>0.16050468420221056</v>
      </c>
      <c r="C45">
        <f>EXP(((-1)/(2*'Cálculos Diversos'!$B$5))*(SQRT(SUMXMY2('Tabela Entrada-Saída'!$B$45:$O$45,'Coordenadas dos Polos'!$AD$2:$AQ$2)))^2)</f>
        <v>5.3729687665383526E-6</v>
      </c>
      <c r="D45">
        <f>EXP(((-1)/(2*'Cálculos Diversos'!$B$5))*(SQRT(SUMXMY2('Tabela Entrada-Saída'!$B$45:$O$45,'Coordenadas dos Polos'!$AR$2:$BE$2)))^2)</f>
        <v>8.5675840380930842E-5</v>
      </c>
      <c r="E45">
        <f>EXP(((-1)/(2*'Cálculos Diversos'!$B$5))*(SQRT(SUMXMY2('Tabela Entrada-Saída'!$B$45:$O$45,'Coordenadas dos Polos'!$BF$2:$BS$2)))^2)</f>
        <v>1.0868884068758795E-6</v>
      </c>
      <c r="F45">
        <f>EXP(((-1)/(2*'Cálculos Diversos'!$B$5))*(SQRT(SUMXMY2('Tabela Entrada-Saída'!$B$45:$O$45,'Coordenadas dos Polos'!$BT$2:$CG$2)))^2)</f>
        <v>1.3283261192815774E-4</v>
      </c>
      <c r="G45">
        <f>EXP(((-1)/(2*'Cálculos Diversos'!$B$5))*(SQRT(SUMXMY2('Tabela Entrada-Saída'!$B$45:$O$45,'Coordenadas dos Polos'!$CH$2:$CU$2)))^2)</f>
        <v>3.1430523429156862E-3</v>
      </c>
      <c r="H45">
        <f>EXP(((-1)/(2*'Cálculos Diversos'!$B$5))*(SQRT(SUMXMY2('Tabela Entrada-Saída'!$B$45:$O$45,'Coordenadas dos Polos'!$CV$2:$DI$2)))^2)</f>
        <v>6.269860468614342E-6</v>
      </c>
      <c r="I45">
        <f>EXP(((-1)/(2*'Cálculos Diversos'!$B$5))*(SQRT(SUMXMY2('Tabela Entrada-Saída'!$B$45:$O$45,'Coordenadas dos Polos'!$DJ$2:$DW$2)))^2)</f>
        <v>4.0240198978304528E-4</v>
      </c>
      <c r="J45">
        <f>EXP(((-1)/(2*'Cálculos Diversos'!$B$5))*(SQRT(SUMXMY2('Tabela Entrada-Saída'!$B$45:$O$45,'Coordenadas dos Polos'!$DX$2:$EK$2)))^2)</f>
        <v>4.5666509429655149E-3</v>
      </c>
      <c r="K45">
        <f>EXP(((-1)/(2*'Cálculos Diversos'!$B$5))*(SQRT(SUMXMY2('Tabela Entrada-Saída'!$B$45:$O$45,'Coordenadas dos Polos'!$EL$2:$EY$2)))^2)</f>
        <v>3.2613663518194004E-3</v>
      </c>
      <c r="L45">
        <f>EXP(((-1)/(2*'Cálculos Diversos'!$B$5))*(SQRT(SUMXMY2('Tabela Entrada-Saída'!$B$45:$O$45,'Coordenadas dos Polos'!$EZ$2:$FM$2)))^2)</f>
        <v>3.4673269127894418E-4</v>
      </c>
      <c r="M45">
        <f>EXP(((-1)/(2*'Cálculos Diversos'!$B$5))*(SQRT(SUMXMY2('Tabela Entrada-Saída'!$B$45:$O$45,'Coordenadas dos Polos'!$FN$2:$GA$2)))^2)</f>
        <v>6.0780683337342736E-4</v>
      </c>
      <c r="N45">
        <f>EXP(((-1)/(2*'Cálculos Diversos'!$B$5))*(SQRT(SUMXMY2('Tabela Entrada-Saída'!$B$45:$O$45,'Coordenadas dos Polos'!$GB$2:$GO$2)))^2)</f>
        <v>4.2516012378061409E-3</v>
      </c>
      <c r="O45">
        <f>EXP(((-1)/(2*'Cálculos Diversos'!$B$5))*(SQRT(SUMXMY2('Tabela Entrada-Saída'!$B$45:$O$45,'Coordenadas dos Polos'!$GP$2:$HC$2)))^2)</f>
        <v>1.3461421731591073E-4</v>
      </c>
      <c r="P45">
        <v>1</v>
      </c>
    </row>
    <row r="46" spans="1:16" x14ac:dyDescent="0.25">
      <c r="A46">
        <v>45</v>
      </c>
      <c r="B46">
        <f>EXP(((-1)/(2*'Cálculos Diversos'!$B$5))*(SQRT(SUMXMY2('Tabela Entrada-Saída'!$B$46:$O$46,'Coordenadas dos Polos'!$P$2:$AC$2)))^2)</f>
        <v>0.12750471382247974</v>
      </c>
      <c r="C46">
        <f>EXP(((-1)/(2*'Cálculos Diversos'!$B$5))*(SQRT(SUMXMY2('Tabela Entrada-Saída'!$B$46:$O$46,'Coordenadas dos Polos'!$AD$2:$AQ$2)))^2)</f>
        <v>4.3229220427034904E-6</v>
      </c>
      <c r="D46">
        <f>EXP(((-1)/(2*'Cálculos Diversos'!$B$5))*(SQRT(SUMXMY2('Tabela Entrada-Saída'!$B$46:$O$46,'Coordenadas dos Polos'!$AR$2:$BE$2)))^2)</f>
        <v>7.7744188013907374E-5</v>
      </c>
      <c r="E46">
        <f>EXP(((-1)/(2*'Cálculos Diversos'!$B$5))*(SQRT(SUMXMY2('Tabela Entrada-Saída'!$B$46:$O$46,'Coordenadas dos Polos'!$BF$2:$BS$2)))^2)</f>
        <v>9.2528328514752221E-7</v>
      </c>
      <c r="F46">
        <f>EXP(((-1)/(2*'Cálculos Diversos'!$B$5))*(SQRT(SUMXMY2('Tabela Entrada-Saída'!$B$46:$O$46,'Coordenadas dos Polos'!$BT$2:$CG$2)))^2)</f>
        <v>1.149441799047691E-4</v>
      </c>
      <c r="G46">
        <f>EXP(((-1)/(2*'Cálculos Diversos'!$B$5))*(SQRT(SUMXMY2('Tabela Entrada-Saída'!$B$46:$O$46,'Coordenadas dos Polos'!$CH$2:$CU$2)))^2)</f>
        <v>2.6327175438237483E-3</v>
      </c>
      <c r="H46">
        <f>EXP(((-1)/(2*'Cálculos Diversos'!$B$5))*(SQRT(SUMXMY2('Tabela Entrada-Saída'!$B$46:$O$46,'Coordenadas dos Polos'!$CV$2:$DI$2)))^2)</f>
        <v>5.8415654563679055E-6</v>
      </c>
      <c r="I46">
        <f>EXP(((-1)/(2*'Cálculos Diversos'!$B$5))*(SQRT(SUMXMY2('Tabela Entrada-Saída'!$B$46:$O$46,'Coordenadas dos Polos'!$DJ$2:$DW$2)))^2)</f>
        <v>3.4504887871842927E-4</v>
      </c>
      <c r="J46">
        <f>EXP(((-1)/(2*'Cálculos Diversos'!$B$5))*(SQRT(SUMXMY2('Tabela Entrada-Saída'!$B$46:$O$46,'Coordenadas dos Polos'!$DX$2:$EK$2)))^2)</f>
        <v>4.738998494267066E-3</v>
      </c>
      <c r="K46">
        <f>EXP(((-1)/(2*'Cálculos Diversos'!$B$5))*(SQRT(SUMXMY2('Tabela Entrada-Saída'!$B$46:$O$46,'Coordenadas dos Polos'!$EL$2:$EY$2)))^2)</f>
        <v>2.8467810957388743E-3</v>
      </c>
      <c r="L46">
        <f>EXP(((-1)/(2*'Cálculos Diversos'!$B$5))*(SQRT(SUMXMY2('Tabela Entrada-Saída'!$B$46:$O$46,'Coordenadas dos Polos'!$EZ$2:$FM$2)))^2)</f>
        <v>3.5871190302644963E-4</v>
      </c>
      <c r="M46">
        <f>EXP(((-1)/(2*'Cálculos Diversos'!$B$5))*(SQRT(SUMXMY2('Tabela Entrada-Saída'!$B$46:$O$46,'Coordenadas dos Polos'!$FN$2:$GA$2)))^2)</f>
        <v>5.4791394522481175E-4</v>
      </c>
      <c r="N46">
        <f>EXP(((-1)/(2*'Cálculos Diversos'!$B$5))*(SQRT(SUMXMY2('Tabela Entrada-Saída'!$B$46:$O$46,'Coordenadas dos Polos'!$GB$2:$GO$2)))^2)</f>
        <v>3.6310252066661364E-3</v>
      </c>
      <c r="O46">
        <f>EXP(((-1)/(2*'Cálculos Diversos'!$B$5))*(SQRT(SUMXMY2('Tabela Entrada-Saída'!$B$46:$O$46,'Coordenadas dos Polos'!$GP$2:$HC$2)))^2)</f>
        <v>1.4057207613465863E-4</v>
      </c>
      <c r="P46">
        <v>1</v>
      </c>
    </row>
    <row r="47" spans="1:16" x14ac:dyDescent="0.25">
      <c r="A47">
        <v>46</v>
      </c>
      <c r="B47">
        <f>EXP(((-1)/(2*'Cálculos Diversos'!$B$5))*(SQRT(SUMXMY2('Tabela Entrada-Saída'!$B$47:$O$47,'Coordenadas dos Polos'!$P$2:$AC$2)))^2)</f>
        <v>0.13466457594904968</v>
      </c>
      <c r="C47">
        <f>EXP(((-1)/(2*'Cálculos Diversos'!$B$5))*(SQRT(SUMXMY2('Tabela Entrada-Saída'!$B$47:$O$47,'Coordenadas dos Polos'!$AD$2:$AQ$2)))^2)</f>
        <v>4.5529599368869966E-6</v>
      </c>
      <c r="D47">
        <f>EXP(((-1)/(2*'Cálculos Diversos'!$B$5))*(SQRT(SUMXMY2('Tabela Entrada-Saída'!$B$47:$O$47,'Coordenadas dos Polos'!$AR$2:$BE$2)))^2)</f>
        <v>7.9620226468851173E-5</v>
      </c>
      <c r="E47">
        <f>EXP(((-1)/(2*'Cálculos Diversos'!$B$5))*(SQRT(SUMXMY2('Tabela Entrada-Saída'!$B$47:$O$47,'Coordenadas dos Polos'!$BF$2:$BS$2)))^2)</f>
        <v>9.6194887982760161E-7</v>
      </c>
      <c r="F47">
        <f>EXP(((-1)/(2*'Cálculos Diversos'!$B$5))*(SQRT(SUMXMY2('Tabela Entrada-Saída'!$B$47:$O$47,'Coordenadas dos Polos'!$BT$2:$CG$2)))^2)</f>
        <v>1.1904052286097401E-4</v>
      </c>
      <c r="G47">
        <f>EXP(((-1)/(2*'Cálculos Diversos'!$B$5))*(SQRT(SUMXMY2('Tabela Entrada-Saída'!$B$47:$O$47,'Coordenadas dos Polos'!$CH$2:$CU$2)))^2)</f>
        <v>2.7473291911043326E-3</v>
      </c>
      <c r="H47">
        <f>EXP(((-1)/(2*'Cálculos Diversos'!$B$5))*(SQRT(SUMXMY2('Tabela Entrada-Saída'!$B$47:$O$47,'Coordenadas dos Polos'!$CV$2:$DI$2)))^2)</f>
        <v>5.9474050952111505E-6</v>
      </c>
      <c r="I47">
        <f>EXP(((-1)/(2*'Cálculos Diversos'!$B$5))*(SQRT(SUMXMY2('Tabela Entrada-Saída'!$B$47:$O$47,'Coordenadas dos Polos'!$DJ$2:$DW$2)))^2)</f>
        <v>3.5806416006393667E-4</v>
      </c>
      <c r="J47">
        <f>EXP(((-1)/(2*'Cálculos Diversos'!$B$5))*(SQRT(SUMXMY2('Tabela Entrada-Saída'!$B$47:$O$47,'Coordenadas dos Polos'!$DX$2:$EK$2)))^2)</f>
        <v>4.7070242961554133E-3</v>
      </c>
      <c r="K47">
        <f>EXP(((-1)/(2*'Cálculos Diversos'!$B$5))*(SQRT(SUMXMY2('Tabela Entrada-Saída'!$B$47:$O$47,'Coordenadas dos Polos'!$EL$2:$EY$2)))^2)</f>
        <v>2.9419622745053137E-3</v>
      </c>
      <c r="L47">
        <f>EXP(((-1)/(2*'Cálculos Diversos'!$B$5))*(SQRT(SUMXMY2('Tabela Entrada-Saída'!$B$47:$O$47,'Coordenadas dos Polos'!$EZ$2:$FM$2)))^2)</f>
        <v>3.5648709939258645E-4</v>
      </c>
      <c r="M47">
        <f>EXP(((-1)/(2*'Cálculos Diversos'!$B$5))*(SQRT(SUMXMY2('Tabela Entrada-Saída'!$B$47:$O$47,'Coordenadas dos Polos'!$FN$2:$GA$2)))^2)</f>
        <v>5.6223884378908771E-4</v>
      </c>
      <c r="N47">
        <f>EXP(((-1)/(2*'Cálculos Diversos'!$B$5))*(SQRT(SUMXMY2('Tabela Entrada-Saída'!$B$47:$O$47,'Coordenadas dos Polos'!$GB$2:$GO$2)))^2)</f>
        <v>3.7715695109046816E-3</v>
      </c>
      <c r="O47">
        <f>EXP(((-1)/(2*'Cálculos Diversos'!$B$5))*(SQRT(SUMXMY2('Tabela Entrada-Saída'!$B$47:$O$47,'Coordenadas dos Polos'!$GP$2:$HC$2)))^2)</f>
        <v>1.3943230584242765E-4</v>
      </c>
      <c r="P47">
        <v>1</v>
      </c>
    </row>
    <row r="48" spans="1:16" x14ac:dyDescent="0.25">
      <c r="A48">
        <v>47</v>
      </c>
      <c r="B48">
        <f>EXP(((-1)/(2*'Cálculos Diversos'!$B$5))*(SQRT(SUMXMY2('Tabela Entrada-Saída'!$B$48:$O$48,'Coordenadas dos Polos'!$P$2:$AC$2)))^2)</f>
        <v>0.12621360411905297</v>
      </c>
      <c r="C48">
        <f>EXP(((-1)/(2*'Cálculos Diversos'!$B$5))*(SQRT(SUMXMY2('Tabela Entrada-Saída'!$B$48:$O$48,'Coordenadas dos Polos'!$AD$2:$AQ$2)))^2)</f>
        <v>4.2835858326061853E-6</v>
      </c>
      <c r="D48">
        <f>EXP(((-1)/(2*'Cálculos Diversos'!$B$5))*(SQRT(SUMXMY2('Tabela Entrada-Saída'!$B$48:$O$48,'Coordenadas dos Polos'!$AR$2:$BE$2)))^2)</f>
        <v>7.7427484602437255E-5</v>
      </c>
      <c r="E48">
        <f>EXP(((-1)/(2*'Cálculos Diversos'!$B$5))*(SQRT(SUMXMY2('Tabela Entrada-Saída'!$B$48:$O$48,'Coordenadas dos Polos'!$BF$2:$BS$2)))^2)</f>
        <v>9.1896804935790439E-7</v>
      </c>
      <c r="F48">
        <f>EXP(((-1)/(2*'Cálculos Diversos'!$B$5))*(SQRT(SUMXMY2('Tabela Entrada-Saída'!$B$48:$O$48,'Coordenadas dos Polos'!$BT$2:$CG$2)))^2)</f>
        <v>1.1421884749342843E-4</v>
      </c>
      <c r="G48">
        <f>EXP(((-1)/(2*'Cálculos Diversos'!$B$5))*(SQRT(SUMXMY2('Tabela Entrada-Saída'!$B$48:$O$48,'Coordenadas dos Polos'!$CH$2:$CU$2)))^2)</f>
        <v>2.6125231092209017E-3</v>
      </c>
      <c r="H48">
        <f>EXP(((-1)/(2*'Cálculos Diversos'!$B$5))*(SQRT(SUMXMY2('Tabela Entrada-Saída'!$B$48:$O$48,'Coordenadas dos Polos'!$CV$2:$DI$2)))^2)</f>
        <v>5.824440544890436E-6</v>
      </c>
      <c r="I48">
        <f>EXP(((-1)/(2*'Cálculos Diversos'!$B$5))*(SQRT(SUMXMY2('Tabela Entrada-Saída'!$B$48:$O$48,'Coordenadas dos Polos'!$DJ$2:$DW$2)))^2)</f>
        <v>3.4280997224264806E-4</v>
      </c>
      <c r="J48">
        <f>EXP(((-1)/(2*'Cálculos Diversos'!$B$5))*(SQRT(SUMXMY2('Tabela Entrada-Saída'!$B$48:$O$48,'Coordenadas dos Polos'!$DX$2:$EK$2)))^2)</f>
        <v>4.7461599966812729E-3</v>
      </c>
      <c r="K48">
        <f>EXP(((-1)/(2*'Cálculos Diversos'!$B$5))*(SQRT(SUMXMY2('Tabela Entrada-Saída'!$B$48:$O$48,'Coordenadas dos Polos'!$EL$2:$EY$2)))^2)</f>
        <v>2.8298146714356839E-3</v>
      </c>
      <c r="L48">
        <f>EXP(((-1)/(2*'Cálculos Diversos'!$B$5))*(SQRT(SUMXMY2('Tabela Entrada-Saída'!$B$48:$O$48,'Coordenadas dos Polos'!$EZ$2:$FM$2)))^2)</f>
        <v>3.5920575396162851E-4</v>
      </c>
      <c r="M48">
        <f>EXP(((-1)/(2*'Cálculos Diversos'!$B$5))*(SQRT(SUMXMY2('Tabela Entrada-Saída'!$B$48:$O$48,'Coordenadas dos Polos'!$FN$2:$GA$2)))^2)</f>
        <v>5.4542641570116414E-4</v>
      </c>
      <c r="N48">
        <f>EXP(((-1)/(2*'Cálculos Diversos'!$B$5))*(SQRT(SUMXMY2('Tabela Entrada-Saída'!$B$48:$O$48,'Coordenadas dos Polos'!$GB$2:$GO$2)))^2)</f>
        <v>3.6059662643275498E-3</v>
      </c>
      <c r="O48">
        <f>EXP(((-1)/(2*'Cálculos Diversos'!$B$5))*(SQRT(SUMXMY2('Tabela Entrada-Saída'!$B$48:$O$48,'Coordenadas dos Polos'!$GP$2:$HC$2)))^2)</f>
        <v>1.4080278115452424E-4</v>
      </c>
      <c r="P48">
        <v>1</v>
      </c>
    </row>
    <row r="49" spans="1:16" x14ac:dyDescent="0.25">
      <c r="A49">
        <v>48</v>
      </c>
      <c r="B49">
        <f>EXP(((-1)/(2*'Cálculos Diversos'!$B$5))*(SQRT(SUMXMY2('Tabela Entrada-Saída'!$B$49:$O$49,'Coordenadas dos Polos'!$P$2:$AC$2)))^2)</f>
        <v>0.15836100041499082</v>
      </c>
      <c r="C49">
        <f>EXP(((-1)/(2*'Cálculos Diversos'!$B$5))*(SQRT(SUMXMY2('Tabela Entrada-Saída'!$B$49:$O$49,'Coordenadas dos Polos'!$AD$2:$AQ$2)))^2)</f>
        <v>5.3028950261888384E-6</v>
      </c>
      <c r="D49">
        <f>EXP(((-1)/(2*'Cálculos Diversos'!$B$5))*(SQRT(SUMXMY2('Tabela Entrada-Saída'!$B$49:$O$49,'Coordenadas dos Polos'!$AR$2:$BE$2)))^2)</f>
        <v>8.5196015317985394E-5</v>
      </c>
      <c r="E49">
        <f>EXP(((-1)/(2*'Cálculos Diversos'!$B$5))*(SQRT(SUMXMY2('Tabela Entrada-Saída'!$B$49:$O$49,'Coordenadas dos Polos'!$BF$2:$BS$2)))^2)</f>
        <v>1.0764558646883116E-6</v>
      </c>
      <c r="F49">
        <f>EXP(((-1)/(2*'Cálculos Diversos'!$B$5))*(SQRT(SUMXMY2('Tabela Entrada-Saída'!$B$49:$O$49,'Coordenadas dos Polos'!$BT$2:$CG$2)))^2)</f>
        <v>1.3171542553626494E-4</v>
      </c>
      <c r="G49">
        <f>EXP(((-1)/(2*'Cálculos Diversos'!$B$5))*(SQRT(SUMXMY2('Tabela Entrada-Saída'!$B$49:$O$49,'Coordenadas dos Polos'!$CH$2:$CU$2)))^2)</f>
        <v>3.1102191939580176E-3</v>
      </c>
      <c r="H49">
        <f>EXP(((-1)/(2*'Cálculos Diversos'!$B$5))*(SQRT(SUMXMY2('Tabela Entrada-Saída'!$B$49:$O$49,'Coordenadas dos Polos'!$CV$2:$DI$2)))^2)</f>
        <v>6.2440669580247146E-6</v>
      </c>
      <c r="I49">
        <f>EXP(((-1)/(2*'Cálculos Diversos'!$B$5))*(SQRT(SUMXMY2('Tabela Entrada-Saída'!$B$49:$O$49,'Coordenadas dos Polos'!$DJ$2:$DW$2)))^2)</f>
        <v>3.9874394017154886E-4</v>
      </c>
      <c r="J49">
        <f>EXP(((-1)/(2*'Cálculos Diversos'!$B$5))*(SQRT(SUMXMY2('Tabela Entrada-Saída'!$B$49:$O$49,'Coordenadas dos Polos'!$DX$2:$EK$2)))^2)</f>
        <v>4.5780254606201743E-3</v>
      </c>
      <c r="K49">
        <f>EXP(((-1)/(2*'Cálculos Diversos'!$B$5))*(SQRT(SUMXMY2('Tabela Entrada-Saída'!$B$49:$O$49,'Coordenadas dos Polos'!$EL$2:$EY$2)))^2)</f>
        <v>3.2357337186108824E-3</v>
      </c>
      <c r="L49">
        <f>EXP(((-1)/(2*'Cálculos Diversos'!$B$5))*(SQRT(SUMXMY2('Tabela Entrada-Saída'!$B$49:$O$49,'Coordenadas dos Polos'!$EZ$2:$FM$2)))^2)</f>
        <v>3.475513283675019E-4</v>
      </c>
      <c r="M49">
        <f>EXP(((-1)/(2*'Cálculos Diversos'!$B$5))*(SQRT(SUMXMY2('Tabela Entrada-Saída'!$B$49:$O$49,'Coordenadas dos Polos'!$FN$2:$GA$2)))^2)</f>
        <v>6.0409011834513518E-4</v>
      </c>
      <c r="N49">
        <f>EXP(((-1)/(2*'Cálculos Diversos'!$B$5))*(SQRT(SUMXMY2('Tabela Entrada-Saída'!$B$49:$O$49,'Coordenadas dos Polos'!$GB$2:$GO$2)))^2)</f>
        <v>4.2125629380972704E-3</v>
      </c>
      <c r="O49">
        <f>EXP(((-1)/(2*'Cálculos Diversos'!$B$5))*(SQRT(SUMXMY2('Tabela Entrada-Saída'!$B$49:$O$49,'Coordenadas dos Polos'!$GP$2:$HC$2)))^2)</f>
        <v>1.350022275700549E-4</v>
      </c>
      <c r="P49">
        <v>1</v>
      </c>
    </row>
    <row r="50" spans="1:16" x14ac:dyDescent="0.25">
      <c r="A50">
        <v>49</v>
      </c>
      <c r="B50">
        <f>EXP(((-1)/(2*'Cálculos Diversos'!$B$5))*(SQRT(SUMXMY2('Tabela Entrada-Saída'!$B$50:$O$50,'Coordenadas dos Polos'!$P$2:$AC$2)))^2)</f>
        <v>0.13863266060369206</v>
      </c>
      <c r="C50">
        <f>EXP(((-1)/(2*'Cálculos Diversos'!$B$5))*(SQRT(SUMXMY2('Tabela Entrada-Saída'!$B$50:$O$50,'Coordenadas dos Polos'!$AD$2:$AQ$2)))^2)</f>
        <v>4.6758917370792674E-6</v>
      </c>
      <c r="D50">
        <f>EXP(((-1)/(2*'Cálculos Diversos'!$B$5))*(SQRT(SUMXMY2('Tabela Entrada-Saída'!$B$50:$O$50,'Coordenadas dos Polos'!$AR$2:$BE$2)))^2)</f>
        <v>8.0659973690991375E-5</v>
      </c>
      <c r="E50">
        <f>EXP(((-1)/(2*'Cálculos Diversos'!$B$5))*(SQRT(SUMXMY2('Tabela Entrada-Saída'!$B$50:$O$50,'Coordenadas dos Polos'!$BF$2:$BS$2)))^2)</f>
        <v>9.810594380479959E-7</v>
      </c>
      <c r="F50">
        <f>EXP(((-1)/(2*'Cálculos Diversos'!$B$5))*(SQRT(SUMXMY2('Tabela Entrada-Saída'!$B$50:$O$50,'Coordenadas dos Polos'!$BT$2:$CG$2)))^2)</f>
        <v>1.2121730527064515E-4</v>
      </c>
      <c r="G50">
        <f>EXP(((-1)/(2*'Cálculos Diversos'!$B$5))*(SQRT(SUMXMY2('Tabela Entrada-Saída'!$B$50:$O$50,'Coordenadas dos Polos'!$CH$2:$CU$2)))^2)</f>
        <v>2.807472447932171E-3</v>
      </c>
      <c r="H50">
        <f>EXP(((-1)/(2*'Cálculos Diversos'!$B$5))*(SQRT(SUMXMY2('Tabela Entrada-Saída'!$B$50:$O$50,'Coordenadas dos Polos'!$CV$2:$DI$2)))^2)</f>
        <v>6.0014417187412493E-6</v>
      </c>
      <c r="I50">
        <f>EXP(((-1)/(2*'Cálculos Diversos'!$B$5))*(SQRT(SUMXMY2('Tabela Entrada-Saída'!$B$50:$O$50,'Coordenadas dos Polos'!$DJ$2:$DW$2)))^2)</f>
        <v>3.6508717988082789E-4</v>
      </c>
      <c r="J50">
        <f>EXP(((-1)/(2*'Cálculos Diversos'!$B$5))*(SQRT(SUMXMY2('Tabela Entrada-Saída'!$B$50:$O$50,'Coordenadas dos Polos'!$DX$2:$EK$2)))^2)</f>
        <v>4.6853414233127026E-3</v>
      </c>
      <c r="K50">
        <f>EXP(((-1)/(2*'Cálculos Diversos'!$B$5))*(SQRT(SUMXMY2('Tabela Entrada-Saída'!$B$50:$O$50,'Coordenadas dos Polos'!$EL$2:$EY$2)))^2)</f>
        <v>2.99378037676569E-3</v>
      </c>
      <c r="L50">
        <f>EXP(((-1)/(2*'Cálculos Diversos'!$B$5))*(SQRT(SUMXMY2('Tabela Entrada-Saída'!$B$50:$O$50,'Coordenadas dos Polos'!$EZ$2:$FM$2)))^2)</f>
        <v>3.5520310240847239E-4</v>
      </c>
      <c r="M50">
        <f>EXP(((-1)/(2*'Cálculos Diversos'!$B$5))*(SQRT(SUMXMY2('Tabela Entrada-Saída'!$B$50:$O$50,'Coordenadas dos Polos'!$FN$2:$GA$2)))^2)</f>
        <v>5.6907676716453281E-4</v>
      </c>
      <c r="N50">
        <f>EXP(((-1)/(2*'Cálculos Diversos'!$B$5))*(SQRT(SUMXMY2('Tabela Entrada-Saída'!$B$50:$O$50,'Coordenadas dos Polos'!$GB$2:$GO$2)))^2)</f>
        <v>3.8473536934504038E-3</v>
      </c>
      <c r="O50">
        <f>EXP(((-1)/(2*'Cálculos Diversos'!$B$5))*(SQRT(SUMXMY2('Tabela Entrada-Saída'!$B$50:$O$50,'Coordenadas dos Polos'!$GP$2:$HC$2)))^2)</f>
        <v>1.3863951903437058E-4</v>
      </c>
      <c r="P50">
        <v>1</v>
      </c>
    </row>
    <row r="51" spans="1:16" x14ac:dyDescent="0.25">
      <c r="A51">
        <v>50</v>
      </c>
      <c r="B51">
        <f>EXP(((-1)/(2*'Cálculos Diversos'!$B$5))*(SQRT(SUMXMY2('Tabela Entrada-Saída'!$B$51:$O$51,'Coordenadas dos Polos'!$P$2:$AC$2)))^2)</f>
        <v>0.15931114022034013</v>
      </c>
      <c r="C51">
        <f>EXP(((-1)/(2*'Cálculos Diversos'!$B$5))*(SQRT(SUMXMY2('Tabela Entrada-Saída'!$B$51:$O$51,'Coordenadas dos Polos'!$AD$2:$AQ$2)))^2)</f>
        <v>5.3369688761689679E-6</v>
      </c>
      <c r="D51">
        <f>EXP(((-1)/(2*'Cálculos Diversos'!$B$5))*(SQRT(SUMXMY2('Tabela Entrada-Saída'!$B$51:$O$51,'Coordenadas dos Polos'!$AR$2:$BE$2)))^2)</f>
        <v>8.5407384772784561E-5</v>
      </c>
      <c r="E51">
        <f>EXP(((-1)/(2*'Cálculos Diversos'!$B$5))*(SQRT(SUMXMY2('Tabela Entrada-Saída'!$B$51:$O$51,'Coordenadas dos Polos'!$BF$2:$BS$2)))^2)</f>
        <v>1.0816375589195447E-6</v>
      </c>
      <c r="F51">
        <f>EXP(((-1)/(2*'Cálculos Diversos'!$B$5))*(SQRT(SUMXMY2('Tabela Entrada-Saída'!$B$51:$O$51,'Coordenadas dos Polos'!$BT$2:$CG$2)))^2)</f>
        <v>1.3224054212614153E-4</v>
      </c>
      <c r="G51">
        <f>EXP(((-1)/(2*'Cálculos Diversos'!$B$5))*(SQRT(SUMXMY2('Tabela Entrada-Saída'!$B$51:$O$51,'Coordenadas dos Polos'!$CH$2:$CU$2)))^2)</f>
        <v>3.1262324010284501E-3</v>
      </c>
      <c r="H51">
        <f>EXP(((-1)/(2*'Cálculos Diversos'!$B$5))*(SQRT(SUMXMY2('Tabela Entrada-Saída'!$B$51:$O$51,'Coordenadas dos Polos'!$CV$2:$DI$2)))^2)</f>
        <v>6.2572447043411039E-6</v>
      </c>
      <c r="I51">
        <f>EXP(((-1)/(2*'Cálculos Diversos'!$B$5))*(SQRT(SUMXMY2('Tabela Entrada-Saída'!$B$51:$O$51,'Coordenadas dos Polos'!$DJ$2:$DW$2)))^2)</f>
        <v>4.0045705642970233E-4</v>
      </c>
      <c r="J51">
        <f>EXP(((-1)/(2*'Cálculos Diversos'!$B$5))*(SQRT(SUMXMY2('Tabela Entrada-Saída'!$B$51:$O$51,'Coordenadas dos Polos'!$DX$2:$EK$2)))^2)</f>
        <v>4.5746765238358833E-3</v>
      </c>
      <c r="K51">
        <f>EXP(((-1)/(2*'Cálculos Diversos'!$B$5))*(SQRT(SUMXMY2('Tabela Entrada-Saída'!$B$51:$O$51,'Coordenadas dos Polos'!$EL$2:$EY$2)))^2)</f>
        <v>3.2473044866575744E-3</v>
      </c>
      <c r="L51">
        <f>EXP(((-1)/(2*'Cálculos Diversos'!$B$5))*(SQRT(SUMXMY2('Tabela Entrada-Saída'!$B$51:$O$51,'Coordenadas dos Polos'!$EZ$2:$FM$2)))^2)</f>
        <v>3.4721817169038201E-4</v>
      </c>
      <c r="M51">
        <f>EXP(((-1)/(2*'Cálculos Diversos'!$B$5))*(SQRT(SUMXMY2('Tabela Entrada-Saída'!$B$51:$O$51,'Coordenadas dos Polos'!$FN$2:$GA$2)))^2)</f>
        <v>6.0616387799539628E-4</v>
      </c>
      <c r="N51">
        <f>EXP(((-1)/(2*'Cálculos Diversos'!$B$5))*(SQRT(SUMXMY2('Tabela Entrada-Saída'!$B$51:$O$51,'Coordenadas dos Polos'!$GB$2:$GO$2)))^2)</f>
        <v>4.2306036833710771E-3</v>
      </c>
      <c r="O51">
        <f>EXP(((-1)/(2*'Cálculos Diversos'!$B$5))*(SQRT(SUMXMY2('Tabela Entrada-Saída'!$B$51:$O$51,'Coordenadas dos Polos'!$GP$2:$HC$2)))^2)</f>
        <v>1.3489653315982742E-4</v>
      </c>
      <c r="P51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X16"/>
  <sheetViews>
    <sheetView workbookViewId="0">
      <selection activeCell="A2" sqref="A2:AX16"/>
    </sheetView>
  </sheetViews>
  <sheetFormatPr defaultRowHeight="15" x14ac:dyDescent="0.25"/>
  <sheetData>
    <row r="1" spans="1:50" x14ac:dyDescent="0.25">
      <c r="A1" t="s">
        <v>7</v>
      </c>
    </row>
    <row r="2" spans="1:50" x14ac:dyDescent="0.25">
      <c r="A2">
        <f t="array" ref="A2:AX16">TRANSPOSE('Matrix (R)'!$B$2:$P$51)</f>
        <v>7.9022477283026804E-2</v>
      </c>
      <c r="B2">
        <v>0.21098087594032366</v>
      </c>
      <c r="C2">
        <v>9.1322780449429139E-2</v>
      </c>
      <c r="D2">
        <v>0.22155583795728828</v>
      </c>
      <c r="E2">
        <v>0.13055007638414851</v>
      </c>
      <c r="F2">
        <v>0.16256059077466567</v>
      </c>
      <c r="G2">
        <v>0.26909246147646138</v>
      </c>
      <c r="H2">
        <v>6.802838109917983E-2</v>
      </c>
      <c r="I2">
        <v>0.15659218585797535</v>
      </c>
      <c r="J2">
        <v>0.18588129971502926</v>
      </c>
      <c r="K2">
        <v>0.27459780349085128</v>
      </c>
      <c r="L2">
        <v>0.14282673920811445</v>
      </c>
      <c r="M2">
        <v>0.24504585640531051</v>
      </c>
      <c r="N2">
        <v>0.14132887770341593</v>
      </c>
      <c r="O2">
        <v>0.11213098183022785</v>
      </c>
      <c r="P2">
        <v>0.11669819281532366</v>
      </c>
      <c r="Q2">
        <v>0.1884211181878622</v>
      </c>
      <c r="R2">
        <v>0.10681808775112286</v>
      </c>
      <c r="S2">
        <v>0.16500034335286112</v>
      </c>
      <c r="T2">
        <v>0.17216918157971906</v>
      </c>
      <c r="U2">
        <v>0.16470251933093907</v>
      </c>
      <c r="V2">
        <v>0.19379736049488683</v>
      </c>
      <c r="W2">
        <v>0.11084008754916465</v>
      </c>
      <c r="X2">
        <v>0.20540050791827349</v>
      </c>
      <c r="Y2">
        <v>0.19571268999711008</v>
      </c>
      <c r="Z2">
        <v>0.12123801758532084</v>
      </c>
      <c r="AA2">
        <v>0.19576640662349057</v>
      </c>
      <c r="AB2">
        <v>0.14768422339499288</v>
      </c>
      <c r="AC2">
        <v>0.15872624260801244</v>
      </c>
      <c r="AD2">
        <v>0.18859774399749724</v>
      </c>
      <c r="AE2">
        <v>0.1325907203904659</v>
      </c>
      <c r="AF2">
        <v>0.1441484968805882</v>
      </c>
      <c r="AG2">
        <v>0.17855028923051486</v>
      </c>
      <c r="AH2">
        <v>0.14875699775670409</v>
      </c>
      <c r="AI2">
        <v>0.12294888373125255</v>
      </c>
      <c r="AJ2">
        <v>0.17124124809461874</v>
      </c>
      <c r="AK2">
        <v>0.12148229636254532</v>
      </c>
      <c r="AL2">
        <v>0.13520317846750435</v>
      </c>
      <c r="AM2">
        <v>0.16100501307862508</v>
      </c>
      <c r="AN2">
        <v>0.15023264751038717</v>
      </c>
      <c r="AO2">
        <v>0.1601345738611066</v>
      </c>
      <c r="AP2">
        <v>0.17619792954346719</v>
      </c>
      <c r="AQ2">
        <v>0.15380058390150828</v>
      </c>
      <c r="AR2">
        <v>0.16050468420221056</v>
      </c>
      <c r="AS2">
        <v>0.12750471382247974</v>
      </c>
      <c r="AT2">
        <v>0.13466457594904968</v>
      </c>
      <c r="AU2">
        <v>0.12621360411905297</v>
      </c>
      <c r="AV2">
        <v>0.15836100041499082</v>
      </c>
      <c r="AW2">
        <v>0.13863266060369206</v>
      </c>
      <c r="AX2">
        <v>0.15931114022034013</v>
      </c>
    </row>
    <row r="3" spans="1:50" x14ac:dyDescent="0.25">
      <c r="A3">
        <v>2.7586048390259633E-6</v>
      </c>
      <c r="B3">
        <v>6.9627102904613197E-6</v>
      </c>
      <c r="C3">
        <v>3.1620551329594601E-6</v>
      </c>
      <c r="D3">
        <v>7.239962795427993E-6</v>
      </c>
      <c r="E3">
        <v>4.3993644764785246E-6</v>
      </c>
      <c r="F3">
        <v>5.4375739680979389E-6</v>
      </c>
      <c r="G3">
        <v>8.692023175027553E-6</v>
      </c>
      <c r="H3">
        <v>2.3682674102653208E-6</v>
      </c>
      <c r="I3">
        <v>5.2395892720544471E-6</v>
      </c>
      <c r="J3">
        <v>6.130590041939623E-6</v>
      </c>
      <c r="K3">
        <v>8.9007427355235306E-6</v>
      </c>
      <c r="L3">
        <v>4.8039966202852224E-6</v>
      </c>
      <c r="M3">
        <v>7.9947717884041972E-6</v>
      </c>
      <c r="N3">
        <v>4.7488380199022478E-6</v>
      </c>
      <c r="O3">
        <v>3.81506645829321E-6</v>
      </c>
      <c r="P3">
        <v>3.9769017578732574E-6</v>
      </c>
      <c r="Q3">
        <v>6.2601932530630419E-6</v>
      </c>
      <c r="R3">
        <v>3.6463455537945797E-6</v>
      </c>
      <c r="S3">
        <v>5.5029811979781799E-6</v>
      </c>
      <c r="T3">
        <v>5.7243698707545852E-6</v>
      </c>
      <c r="U3">
        <v>5.5078783944484798E-6</v>
      </c>
      <c r="V3">
        <v>6.4264209097445093E-6</v>
      </c>
      <c r="W3">
        <v>3.7817427562291447E-6</v>
      </c>
      <c r="X3">
        <v>6.7639743366204593E-6</v>
      </c>
      <c r="Y3">
        <v>6.4697497982201173E-6</v>
      </c>
      <c r="Z3">
        <v>4.113041658672171E-6</v>
      </c>
      <c r="AA3">
        <v>6.4827712065348166E-6</v>
      </c>
      <c r="AB3">
        <v>4.9695566109607384E-6</v>
      </c>
      <c r="AC3">
        <v>5.3115881972551665E-6</v>
      </c>
      <c r="AD3">
        <v>6.2462767970672462E-6</v>
      </c>
      <c r="AE3">
        <v>4.4887737977064439E-6</v>
      </c>
      <c r="AF3">
        <v>4.8549718245217337E-6</v>
      </c>
      <c r="AG3">
        <v>5.9262773636086597E-6</v>
      </c>
      <c r="AH3">
        <v>5.003535143136112E-6</v>
      </c>
      <c r="AI3">
        <v>4.1790909996305224E-6</v>
      </c>
      <c r="AJ3">
        <v>5.7000664447398101E-6</v>
      </c>
      <c r="AK3">
        <v>4.1298561462174749E-6</v>
      </c>
      <c r="AL3">
        <v>4.5689295499855278E-6</v>
      </c>
      <c r="AM3">
        <v>5.3928746693662155E-6</v>
      </c>
      <c r="AN3">
        <v>5.0430805449810918E-6</v>
      </c>
      <c r="AO3">
        <v>5.3518677936728456E-6</v>
      </c>
      <c r="AP3">
        <v>5.8573463501510561E-6</v>
      </c>
      <c r="AQ3">
        <v>5.157295811098182E-6</v>
      </c>
      <c r="AR3">
        <v>5.3729687665383526E-6</v>
      </c>
      <c r="AS3">
        <v>4.3229220427034904E-6</v>
      </c>
      <c r="AT3">
        <v>4.5529599368869966E-6</v>
      </c>
      <c r="AU3">
        <v>4.2835858326061853E-6</v>
      </c>
      <c r="AV3">
        <v>5.3028950261888384E-6</v>
      </c>
      <c r="AW3">
        <v>4.6758917370792674E-6</v>
      </c>
      <c r="AX3">
        <v>5.3369688761689679E-6</v>
      </c>
    </row>
    <row r="4" spans="1:50" x14ac:dyDescent="0.25">
      <c r="A4">
        <v>6.1783839395643475E-5</v>
      </c>
      <c r="B4">
        <v>9.4468421844593332E-5</v>
      </c>
      <c r="C4">
        <v>6.6524607689394101E-5</v>
      </c>
      <c r="D4">
        <v>9.5777536969303198E-5</v>
      </c>
      <c r="E4">
        <v>7.8531332259825038E-5</v>
      </c>
      <c r="F4">
        <v>8.6144233093159636E-5</v>
      </c>
      <c r="G4">
        <v>1.0082392408477386E-4</v>
      </c>
      <c r="H4">
        <v>5.7128609690551124E-5</v>
      </c>
      <c r="I4">
        <v>8.4932688459419688E-5</v>
      </c>
      <c r="J4">
        <v>9.0485965055810491E-5</v>
      </c>
      <c r="K4">
        <v>1.0146605768464233E-4</v>
      </c>
      <c r="L4">
        <v>8.166749555183011E-5</v>
      </c>
      <c r="M4">
        <v>9.8643197737650036E-5</v>
      </c>
      <c r="N4">
        <v>8.1250938208507028E-5</v>
      </c>
      <c r="O4">
        <v>7.336612069874477E-5</v>
      </c>
      <c r="P4">
        <v>7.4670779096541352E-5</v>
      </c>
      <c r="Q4">
        <v>9.1015893060476937E-5</v>
      </c>
      <c r="R4">
        <v>7.1674895035761358E-5</v>
      </c>
      <c r="S4">
        <v>8.6613268562706381E-5</v>
      </c>
      <c r="T4">
        <v>8.7986759526816774E-5</v>
      </c>
      <c r="U4">
        <v>8.6476404831833804E-5</v>
      </c>
      <c r="V4">
        <v>9.1929459201204046E-5</v>
      </c>
      <c r="W4">
        <v>7.2935906400193703E-5</v>
      </c>
      <c r="X4">
        <v>9.3640526436566016E-5</v>
      </c>
      <c r="Y4">
        <v>9.2249713894488586E-5</v>
      </c>
      <c r="Z4">
        <v>7.6009190922687799E-5</v>
      </c>
      <c r="AA4">
        <v>9.22630682350671E-5</v>
      </c>
      <c r="AB4">
        <v>8.2892138826260863E-5</v>
      </c>
      <c r="AC4">
        <v>8.5254341446269283E-5</v>
      </c>
      <c r="AD4">
        <v>9.1016069328374229E-5</v>
      </c>
      <c r="AE4">
        <v>7.9110736527850394E-5</v>
      </c>
      <c r="AF4">
        <v>8.2009489211615222E-5</v>
      </c>
      <c r="AG4">
        <v>8.9196482496563839E-5</v>
      </c>
      <c r="AH4">
        <v>8.3047177164563882E-5</v>
      </c>
      <c r="AI4">
        <v>7.6533200685152653E-5</v>
      </c>
      <c r="AJ4">
        <v>8.7830880345917507E-5</v>
      </c>
      <c r="AK4">
        <v>7.6079427492099731E-5</v>
      </c>
      <c r="AL4">
        <v>7.9785458446003622E-5</v>
      </c>
      <c r="AM4">
        <v>8.5786224649877702E-5</v>
      </c>
      <c r="AN4">
        <v>8.339184458195254E-5</v>
      </c>
      <c r="AO4">
        <v>8.557909150745049E-5</v>
      </c>
      <c r="AP4">
        <v>8.873955840321915E-5</v>
      </c>
      <c r="AQ4">
        <v>8.420099852504043E-5</v>
      </c>
      <c r="AR4">
        <v>8.5675840380930842E-5</v>
      </c>
      <c r="AS4">
        <v>7.7744188013907374E-5</v>
      </c>
      <c r="AT4">
        <v>7.9620226468851173E-5</v>
      </c>
      <c r="AU4">
        <v>7.7427484602437255E-5</v>
      </c>
      <c r="AV4">
        <v>8.5196015317985394E-5</v>
      </c>
      <c r="AW4">
        <v>8.0659973690991375E-5</v>
      </c>
      <c r="AX4">
        <v>8.5407384772784561E-5</v>
      </c>
    </row>
    <row r="5" spans="1:50" x14ac:dyDescent="0.25">
      <c r="A5">
        <v>6.5581220856539265E-7</v>
      </c>
      <c r="B5">
        <v>1.3075828622674501E-6</v>
      </c>
      <c r="C5">
        <v>7.2856656296616722E-7</v>
      </c>
      <c r="D5">
        <v>1.3414640768510196E-6</v>
      </c>
      <c r="E5">
        <v>9.3677948450903735E-7</v>
      </c>
      <c r="F5">
        <v>1.0959150756055042E-6</v>
      </c>
      <c r="G5">
        <v>1.5148146593835632E-6</v>
      </c>
      <c r="H5">
        <v>5.801631829673052E-7</v>
      </c>
      <c r="I5">
        <v>1.066275289241683E-6</v>
      </c>
      <c r="J5">
        <v>1.1938250175282874E-6</v>
      </c>
      <c r="K5">
        <v>1.5378133234058417E-6</v>
      </c>
      <c r="L5">
        <v>1.0014789220819619E-6</v>
      </c>
      <c r="M5">
        <v>1.4346313927085777E-6</v>
      </c>
      <c r="N5">
        <v>9.9235417990522298E-7</v>
      </c>
      <c r="O5">
        <v>8.4101163461190775E-7</v>
      </c>
      <c r="P5">
        <v>8.6901615486398251E-7</v>
      </c>
      <c r="Q5">
        <v>1.2134644508586969E-6</v>
      </c>
      <c r="R5">
        <v>8.1347609400288449E-7</v>
      </c>
      <c r="S5">
        <v>1.1046894595511931E-6</v>
      </c>
      <c r="T5">
        <v>1.1374243222750801E-6</v>
      </c>
      <c r="U5">
        <v>1.1067898578548357E-6</v>
      </c>
      <c r="V5">
        <v>1.2359730518762408E-6</v>
      </c>
      <c r="W5">
        <v>8.3614264900352254E-7</v>
      </c>
      <c r="X5">
        <v>1.2803647225027187E-6</v>
      </c>
      <c r="Y5">
        <v>1.2409470946563442E-6</v>
      </c>
      <c r="Z5">
        <v>8.9107592674598663E-7</v>
      </c>
      <c r="AA5">
        <v>1.2428724828023163E-6</v>
      </c>
      <c r="AB5">
        <v>1.026253265787916E-6</v>
      </c>
      <c r="AC5">
        <v>1.077803172590938E-6</v>
      </c>
      <c r="AD5">
        <v>1.2109761786481629E-6</v>
      </c>
      <c r="AE5">
        <v>9.5169905220919361E-7</v>
      </c>
      <c r="AF5">
        <v>1.0088104289149223E-6</v>
      </c>
      <c r="AG5">
        <v>1.1660559662583856E-6</v>
      </c>
      <c r="AH5">
        <v>1.0315362410283863E-6</v>
      </c>
      <c r="AI5">
        <v>9.0222205138798129E-7</v>
      </c>
      <c r="AJ5">
        <v>1.134308844815564E-6</v>
      </c>
      <c r="AK5">
        <v>8.939759012843556E-7</v>
      </c>
      <c r="AL5">
        <v>9.6451244952840392E-7</v>
      </c>
      <c r="AM5">
        <v>1.0898203007004688E-6</v>
      </c>
      <c r="AN5">
        <v>1.0373220328424728E-6</v>
      </c>
      <c r="AO5">
        <v>1.0833342225122981E-6</v>
      </c>
      <c r="AP5">
        <v>1.1565364913565613E-6</v>
      </c>
      <c r="AQ5">
        <v>1.0546718839206624E-6</v>
      </c>
      <c r="AR5">
        <v>1.0868884068758795E-6</v>
      </c>
      <c r="AS5">
        <v>9.2528328514752221E-7</v>
      </c>
      <c r="AT5">
        <v>9.6194887982760161E-7</v>
      </c>
      <c r="AU5">
        <v>9.1896804935790439E-7</v>
      </c>
      <c r="AV5">
        <v>1.0764558646883116E-6</v>
      </c>
      <c r="AW5">
        <v>9.810594380479959E-7</v>
      </c>
      <c r="AX5">
        <v>1.0816375589195447E-6</v>
      </c>
    </row>
    <row r="6" spans="1:50" x14ac:dyDescent="0.25">
      <c r="A6">
        <v>8.3741117655955803E-5</v>
      </c>
      <c r="B6">
        <v>1.5623859785308407E-4</v>
      </c>
      <c r="C6">
        <v>9.2315943375691E-5</v>
      </c>
      <c r="D6">
        <v>1.6010047872996234E-4</v>
      </c>
      <c r="E6">
        <v>1.1649084703302937E-4</v>
      </c>
      <c r="F6">
        <v>1.3381934318349529E-4</v>
      </c>
      <c r="G6">
        <v>1.775090570329511E-4</v>
      </c>
      <c r="H6">
        <v>7.5137801368931807E-5</v>
      </c>
      <c r="I6">
        <v>1.307024495651872E-4</v>
      </c>
      <c r="J6">
        <v>1.4468853378105987E-4</v>
      </c>
      <c r="K6">
        <v>1.7948666803133166E-4</v>
      </c>
      <c r="L6">
        <v>1.2351667454844588E-4</v>
      </c>
      <c r="M6">
        <v>1.6932421291200624E-4</v>
      </c>
      <c r="N6">
        <v>1.2260133773499358E-4</v>
      </c>
      <c r="O6">
        <v>1.0557528007767785E-4</v>
      </c>
      <c r="P6">
        <v>1.0856966189292487E-4</v>
      </c>
      <c r="Q6">
        <v>1.4635045732693387E-4</v>
      </c>
      <c r="R6">
        <v>1.0235764226270189E-4</v>
      </c>
      <c r="S6">
        <v>1.3490542048506311E-4</v>
      </c>
      <c r="T6">
        <v>1.3847714536040248E-4</v>
      </c>
      <c r="U6">
        <v>1.3495837842157515E-4</v>
      </c>
      <c r="V6">
        <v>1.487462174516838E-4</v>
      </c>
      <c r="W6">
        <v>1.0489695297793918E-4</v>
      </c>
      <c r="X6">
        <v>1.5359570553578956E-4</v>
      </c>
      <c r="Y6">
        <v>1.4943328898371866E-4</v>
      </c>
      <c r="Z6">
        <v>1.1119413960713753E-4</v>
      </c>
      <c r="AA6">
        <v>1.4953942223622127E-4</v>
      </c>
      <c r="AB6">
        <v>1.2617998169143208E-4</v>
      </c>
      <c r="AC6">
        <v>1.3188570229393361E-4</v>
      </c>
      <c r="AD6">
        <v>1.4625591740015549E-4</v>
      </c>
      <c r="AE6">
        <v>1.1788570068849098E-4</v>
      </c>
      <c r="AF6">
        <v>1.2426819537502995E-4</v>
      </c>
      <c r="AG6">
        <v>1.4152856217739519E-4</v>
      </c>
      <c r="AH6">
        <v>1.267386026461624E-4</v>
      </c>
      <c r="AI6">
        <v>1.1232095734390602E-4</v>
      </c>
      <c r="AJ6">
        <v>1.3807486949253065E-4</v>
      </c>
      <c r="AK6">
        <v>1.1141554778943654E-4</v>
      </c>
      <c r="AL6">
        <v>1.1934425528463158E-4</v>
      </c>
      <c r="AM6">
        <v>1.3311500459127346E-4</v>
      </c>
      <c r="AN6">
        <v>1.2745470589701761E-4</v>
      </c>
      <c r="AO6">
        <v>1.3254139010247091E-4</v>
      </c>
      <c r="AP6">
        <v>1.4045287497592757E-4</v>
      </c>
      <c r="AQ6">
        <v>1.2934656309904601E-4</v>
      </c>
      <c r="AR6">
        <v>1.3283261192815774E-4</v>
      </c>
      <c r="AS6">
        <v>1.149441799047691E-4</v>
      </c>
      <c r="AT6">
        <v>1.1904052286097401E-4</v>
      </c>
      <c r="AU6">
        <v>1.1421884749342843E-4</v>
      </c>
      <c r="AV6">
        <v>1.3171542553626494E-4</v>
      </c>
      <c r="AW6">
        <v>1.2121730527064515E-4</v>
      </c>
      <c r="AX6">
        <v>1.3224054212614153E-4</v>
      </c>
    </row>
    <row r="7" spans="1:50" x14ac:dyDescent="0.25">
      <c r="A7">
        <v>1.808010095699353E-3</v>
      </c>
      <c r="B7">
        <v>3.8628036942120968E-3</v>
      </c>
      <c r="C7">
        <v>2.0281812359046586E-3</v>
      </c>
      <c r="D7">
        <v>3.9835945073974106E-3</v>
      </c>
      <c r="E7">
        <v>2.6714120333044549E-3</v>
      </c>
      <c r="F7">
        <v>3.1730484589161164E-3</v>
      </c>
      <c r="G7">
        <v>4.5784175391154255E-3</v>
      </c>
      <c r="H7">
        <v>1.5887724240721168E-3</v>
      </c>
      <c r="I7">
        <v>3.0786615787157176E-3</v>
      </c>
      <c r="J7">
        <v>3.4943823496971118E-3</v>
      </c>
      <c r="K7">
        <v>4.6579165924582602E-3</v>
      </c>
      <c r="L7">
        <v>2.8705491020313157E-3</v>
      </c>
      <c r="M7">
        <v>4.2981594794808961E-3</v>
      </c>
      <c r="N7">
        <v>2.844234962005184E-3</v>
      </c>
      <c r="O7">
        <v>2.3739758245613029E-3</v>
      </c>
      <c r="P7">
        <v>2.4577303316125777E-3</v>
      </c>
      <c r="Q7">
        <v>3.5516447337638666E-3</v>
      </c>
      <c r="R7">
        <v>2.2867985795838835E-3</v>
      </c>
      <c r="S7">
        <v>3.2041080139205962E-3</v>
      </c>
      <c r="T7">
        <v>3.3078953420358466E-3</v>
      </c>
      <c r="U7">
        <v>3.2074413126564577E-3</v>
      </c>
      <c r="V7">
        <v>3.6259179875322719E-3</v>
      </c>
      <c r="W7">
        <v>2.3570665926180923E-3</v>
      </c>
      <c r="X7">
        <v>3.7763791589368744E-3</v>
      </c>
      <c r="Y7">
        <v>3.6449373853830692E-3</v>
      </c>
      <c r="Z7">
        <v>2.526935447562848E-3</v>
      </c>
      <c r="AA7">
        <v>3.6507013019406848E-3</v>
      </c>
      <c r="AB7">
        <v>2.9496628696768739E-3</v>
      </c>
      <c r="AC7">
        <v>3.1146194372100723E-3</v>
      </c>
      <c r="AD7">
        <v>3.5457365763083217E-3</v>
      </c>
      <c r="AE7">
        <v>2.7151444423029105E-3</v>
      </c>
      <c r="AF7">
        <v>2.8948035325055501E-3</v>
      </c>
      <c r="AG7">
        <v>3.4008630901877323E-3</v>
      </c>
      <c r="AH7">
        <v>2.9672706665368159E-3</v>
      </c>
      <c r="AI7">
        <v>2.5598032135419192E-3</v>
      </c>
      <c r="AJ7">
        <v>3.2964414954325932E-3</v>
      </c>
      <c r="AK7">
        <v>2.5353369475111034E-3</v>
      </c>
      <c r="AL7">
        <v>2.7549031424155116E-3</v>
      </c>
      <c r="AM7">
        <v>3.1523471585821719E-3</v>
      </c>
      <c r="AN7">
        <v>2.9862710628124557E-3</v>
      </c>
      <c r="AO7">
        <v>3.1333449860072326E-3</v>
      </c>
      <c r="AP7">
        <v>3.369518384613818E-3</v>
      </c>
      <c r="AQ7">
        <v>3.040932890830645E-3</v>
      </c>
      <c r="AR7">
        <v>3.1430523429156862E-3</v>
      </c>
      <c r="AS7">
        <v>2.6327175438237483E-3</v>
      </c>
      <c r="AT7">
        <v>2.7473291911043326E-3</v>
      </c>
      <c r="AU7">
        <v>2.6125231092209017E-3</v>
      </c>
      <c r="AV7">
        <v>3.1102191939580176E-3</v>
      </c>
      <c r="AW7">
        <v>2.807472447932171E-3</v>
      </c>
      <c r="AX7">
        <v>3.1262324010284501E-3</v>
      </c>
    </row>
    <row r="8" spans="1:50" x14ac:dyDescent="0.25">
      <c r="A8">
        <v>4.8878787083274245E-6</v>
      </c>
      <c r="B8">
        <v>6.6898845889731279E-6</v>
      </c>
      <c r="C8">
        <v>5.181915353732811E-6</v>
      </c>
      <c r="D8">
        <v>6.7207138413076716E-6</v>
      </c>
      <c r="E8">
        <v>5.8715932565096452E-6</v>
      </c>
      <c r="F8">
        <v>6.2922098184026984E-6</v>
      </c>
      <c r="G8">
        <v>6.8836039933843743E-6</v>
      </c>
      <c r="H8">
        <v>4.5592577520584315E-6</v>
      </c>
      <c r="I8">
        <v>6.2232440732672474E-6</v>
      </c>
      <c r="J8">
        <v>6.4857668704311018E-6</v>
      </c>
      <c r="K8">
        <v>6.913239126751541E-6</v>
      </c>
      <c r="L8">
        <v>6.0541240781407045E-6</v>
      </c>
      <c r="M8">
        <v>6.8369334244286375E-6</v>
      </c>
      <c r="N8">
        <v>6.0268137010862052E-6</v>
      </c>
      <c r="O8">
        <v>5.5782161100767933E-6</v>
      </c>
      <c r="P8">
        <v>5.6673988201646646E-6</v>
      </c>
      <c r="Q8">
        <v>6.5363371709880253E-6</v>
      </c>
      <c r="R8">
        <v>5.482833617513942E-6</v>
      </c>
      <c r="S8">
        <v>6.3090676765902714E-6</v>
      </c>
      <c r="T8">
        <v>6.3777764953961591E-6</v>
      </c>
      <c r="U8">
        <v>6.3134057881575767E-6</v>
      </c>
      <c r="V8">
        <v>6.5771361549626256E-6</v>
      </c>
      <c r="W8">
        <v>5.5606543947368987E-6</v>
      </c>
      <c r="X8">
        <v>6.6421395016685762E-6</v>
      </c>
      <c r="Y8">
        <v>6.5824451206116917E-6</v>
      </c>
      <c r="Z8">
        <v>5.7368003919975932E-6</v>
      </c>
      <c r="AA8">
        <v>6.5883749104358765E-6</v>
      </c>
      <c r="AB8">
        <v>6.1241845151025465E-6</v>
      </c>
      <c r="AC8">
        <v>6.2459393154795835E-6</v>
      </c>
      <c r="AD8">
        <v>6.5268115006067167E-6</v>
      </c>
      <c r="AE8">
        <v>5.9196219395076312E-6</v>
      </c>
      <c r="AF8">
        <v>6.0765139238905772E-6</v>
      </c>
      <c r="AG8">
        <v>6.4375710156583271E-6</v>
      </c>
      <c r="AH8">
        <v>6.1342647560293771E-6</v>
      </c>
      <c r="AI8">
        <v>5.7737723154245788E-6</v>
      </c>
      <c r="AJ8">
        <v>6.372830304996076E-6</v>
      </c>
      <c r="AK8">
        <v>5.7470110385209471E-6</v>
      </c>
      <c r="AL8">
        <v>5.9553333405070676E-6</v>
      </c>
      <c r="AM8">
        <v>6.2776096745176371E-6</v>
      </c>
      <c r="AN8">
        <v>6.1479052909681497E-6</v>
      </c>
      <c r="AO8">
        <v>6.2593209245048177E-6</v>
      </c>
      <c r="AP8">
        <v>6.4186378586593276E-6</v>
      </c>
      <c r="AQ8">
        <v>6.1914424887329398E-6</v>
      </c>
      <c r="AR8">
        <v>6.269860468614342E-6</v>
      </c>
      <c r="AS8">
        <v>5.8415654563679055E-6</v>
      </c>
      <c r="AT8">
        <v>5.9474050952111505E-6</v>
      </c>
      <c r="AU8">
        <v>5.824440544890436E-6</v>
      </c>
      <c r="AV8">
        <v>6.2440669580247146E-6</v>
      </c>
      <c r="AW8">
        <v>6.0014417187412493E-6</v>
      </c>
      <c r="AX8">
        <v>6.2572447043411039E-6</v>
      </c>
    </row>
    <row r="9" spans="1:50" x14ac:dyDescent="0.25">
      <c r="A9">
        <v>2.4734287400004817E-4</v>
      </c>
      <c r="B9">
        <v>4.7861741513385419E-4</v>
      </c>
      <c r="C9">
        <v>2.740983647270467E-4</v>
      </c>
      <c r="D9">
        <v>4.9128591615218487E-4</v>
      </c>
      <c r="E9">
        <v>3.4977976398270044E-4</v>
      </c>
      <c r="F9">
        <v>4.0574973054761183E-4</v>
      </c>
      <c r="G9">
        <v>5.4991225513884359E-4</v>
      </c>
      <c r="H9">
        <v>2.207468670841948E-4</v>
      </c>
      <c r="I9">
        <v>3.9578249282019124E-4</v>
      </c>
      <c r="J9">
        <v>4.4087562673361181E-4</v>
      </c>
      <c r="K9">
        <v>5.5739378599602857E-4</v>
      </c>
      <c r="L9">
        <v>3.7239656414539098E-4</v>
      </c>
      <c r="M9">
        <v>5.2240864031118214E-4</v>
      </c>
      <c r="N9">
        <v>3.692820565676526E-4</v>
      </c>
      <c r="O9">
        <v>3.1544298313818456E-4</v>
      </c>
      <c r="P9">
        <v>3.2477200027840363E-4</v>
      </c>
      <c r="Q9">
        <v>4.4641101121557677E-4</v>
      </c>
      <c r="R9">
        <v>3.0522047114422279E-4</v>
      </c>
      <c r="S9">
        <v>4.0913795649304521E-4</v>
      </c>
      <c r="T9">
        <v>4.2048237543247619E-4</v>
      </c>
      <c r="U9">
        <v>4.0912323609512978E-4</v>
      </c>
      <c r="V9">
        <v>4.5432449913747439E-4</v>
      </c>
      <c r="W9">
        <v>3.1325853130024454E-4</v>
      </c>
      <c r="X9">
        <v>4.7004700023363019E-4</v>
      </c>
      <c r="Y9">
        <v>4.5658286801490174E-4</v>
      </c>
      <c r="Z9">
        <v>3.3309923248231991E-4</v>
      </c>
      <c r="AA9">
        <v>4.5695002542805107E-4</v>
      </c>
      <c r="AB9">
        <v>3.8108922032696483E-4</v>
      </c>
      <c r="AC9">
        <v>3.9923454555297773E-4</v>
      </c>
      <c r="AD9">
        <v>4.4603988263532357E-4</v>
      </c>
      <c r="AE9">
        <v>3.5441714698413693E-4</v>
      </c>
      <c r="AF9">
        <v>3.7483593950883267E-4</v>
      </c>
      <c r="AG9">
        <v>4.3048080813895578E-4</v>
      </c>
      <c r="AH9">
        <v>3.8272475183715018E-4</v>
      </c>
      <c r="AI9">
        <v>3.3681632334437421E-4</v>
      </c>
      <c r="AJ9">
        <v>4.1931000621659955E-4</v>
      </c>
      <c r="AK9">
        <v>3.3384641298287311E-4</v>
      </c>
      <c r="AL9">
        <v>3.5907362081862319E-4</v>
      </c>
      <c r="AM9">
        <v>4.0332899834467451E-4</v>
      </c>
      <c r="AN9">
        <v>3.850154150697745E-4</v>
      </c>
      <c r="AO9">
        <v>4.0141855487789701E-4</v>
      </c>
      <c r="AP9">
        <v>4.2695340214365978E-4</v>
      </c>
      <c r="AQ9">
        <v>3.9110834348468339E-4</v>
      </c>
      <c r="AR9">
        <v>4.0240198978304528E-4</v>
      </c>
      <c r="AS9">
        <v>3.4504887871842927E-4</v>
      </c>
      <c r="AT9">
        <v>3.5806416006393667E-4</v>
      </c>
      <c r="AU9">
        <v>3.4280997224264806E-4</v>
      </c>
      <c r="AV9">
        <v>3.9874394017154886E-4</v>
      </c>
      <c r="AW9">
        <v>3.6508717988082789E-4</v>
      </c>
      <c r="AX9">
        <v>4.0045705642970233E-4</v>
      </c>
    </row>
    <row r="10" spans="1:50" x14ac:dyDescent="0.25">
      <c r="A10">
        <v>4.8454308650789889E-3</v>
      </c>
      <c r="B10">
        <v>4.2340184085041289E-3</v>
      </c>
      <c r="C10">
        <v>4.8488296107563403E-3</v>
      </c>
      <c r="D10">
        <v>4.1372686278239954E-3</v>
      </c>
      <c r="E10">
        <v>4.7112820509623071E-3</v>
      </c>
      <c r="F10">
        <v>4.5543764485921345E-3</v>
      </c>
      <c r="G10">
        <v>3.7774259594491539E-3</v>
      </c>
      <c r="H10">
        <v>4.784704937160239E-3</v>
      </c>
      <c r="I10">
        <v>4.5848120737798266E-3</v>
      </c>
      <c r="J10">
        <v>4.3858120851081274E-3</v>
      </c>
      <c r="K10">
        <v>3.7471937683288886E-3</v>
      </c>
      <c r="L10">
        <v>4.6596718687267899E-3</v>
      </c>
      <c r="M10">
        <v>3.9740918199908659E-3</v>
      </c>
      <c r="N10">
        <v>4.6631026564271944E-3</v>
      </c>
      <c r="O10">
        <v>4.7865474369382707E-3</v>
      </c>
      <c r="P10">
        <v>4.7823581201551233E-3</v>
      </c>
      <c r="Q10">
        <v>4.3926284278482984E-3</v>
      </c>
      <c r="R10">
        <v>4.8026408532606014E-3</v>
      </c>
      <c r="S10">
        <v>4.5338662568625166E-3</v>
      </c>
      <c r="T10">
        <v>4.4865887072273267E-3</v>
      </c>
      <c r="U10">
        <v>4.5423543013029385E-3</v>
      </c>
      <c r="V10">
        <v>4.3549793175596766E-3</v>
      </c>
      <c r="W10">
        <v>4.7965318904023401E-3</v>
      </c>
      <c r="X10">
        <v>4.2633777338506674E-3</v>
      </c>
      <c r="Y10">
        <v>4.3348722383177943E-3</v>
      </c>
      <c r="Z10">
        <v>4.7582226014549383E-3</v>
      </c>
      <c r="AA10">
        <v>4.339673189132128E-3</v>
      </c>
      <c r="AB10">
        <v>4.6420410502077082E-3</v>
      </c>
      <c r="AC10">
        <v>4.5740784589733095E-3</v>
      </c>
      <c r="AD10">
        <v>4.3822883036068166E-3</v>
      </c>
      <c r="AE10">
        <v>4.7185827417804381E-3</v>
      </c>
      <c r="AF10">
        <v>4.6594693887426599E-3</v>
      </c>
      <c r="AG10">
        <v>4.4465080976493132E-3</v>
      </c>
      <c r="AH10">
        <v>4.6356893737740457E-3</v>
      </c>
      <c r="AI10">
        <v>4.7596451879055209E-3</v>
      </c>
      <c r="AJ10">
        <v>4.4945065333942867E-3</v>
      </c>
      <c r="AK10">
        <v>4.764010638594351E-3</v>
      </c>
      <c r="AL10">
        <v>4.7036165371633762E-3</v>
      </c>
      <c r="AM10">
        <v>4.5660736214701994E-3</v>
      </c>
      <c r="AN10">
        <v>4.6231962704226656E-3</v>
      </c>
      <c r="AO10">
        <v>4.563736386029942E-3</v>
      </c>
      <c r="AP10">
        <v>4.4639341492332899E-3</v>
      </c>
      <c r="AQ10">
        <v>4.6036955557877558E-3</v>
      </c>
      <c r="AR10">
        <v>4.5666509429655149E-3</v>
      </c>
      <c r="AS10">
        <v>4.738998494267066E-3</v>
      </c>
      <c r="AT10">
        <v>4.7070242961554133E-3</v>
      </c>
      <c r="AU10">
        <v>4.7461599966812729E-3</v>
      </c>
      <c r="AV10">
        <v>4.5780254606201743E-3</v>
      </c>
      <c r="AW10">
        <v>4.6853414233127026E-3</v>
      </c>
      <c r="AX10">
        <v>4.5746765238358833E-3</v>
      </c>
    </row>
    <row r="11" spans="1:50" x14ac:dyDescent="0.25">
      <c r="A11">
        <v>2.1045864690190106E-3</v>
      </c>
      <c r="B11">
        <v>3.786952606276121E-3</v>
      </c>
      <c r="C11">
        <v>2.3119936293311549E-3</v>
      </c>
      <c r="D11">
        <v>3.8791807208431381E-3</v>
      </c>
      <c r="E11">
        <v>2.8858809026920057E-3</v>
      </c>
      <c r="F11">
        <v>3.2857669706045835E-3</v>
      </c>
      <c r="G11">
        <v>4.2576076963672192E-3</v>
      </c>
      <c r="H11">
        <v>1.9036387024218833E-3</v>
      </c>
      <c r="I11">
        <v>3.2156866806717184E-3</v>
      </c>
      <c r="J11">
        <v>3.5381350927201792E-3</v>
      </c>
      <c r="K11">
        <v>4.2992898830801632E-3</v>
      </c>
      <c r="L11">
        <v>3.0472958716888628E-3</v>
      </c>
      <c r="M11">
        <v>4.0787876585930078E-3</v>
      </c>
      <c r="N11">
        <v>3.0267449873010947E-3</v>
      </c>
      <c r="O11">
        <v>2.630251607458175E-3</v>
      </c>
      <c r="P11">
        <v>2.6963885291157708E-3</v>
      </c>
      <c r="Q11">
        <v>3.5672943295716165E-3</v>
      </c>
      <c r="R11">
        <v>2.5521266538084037E-3</v>
      </c>
      <c r="S11">
        <v>3.311830213681078E-3</v>
      </c>
      <c r="T11">
        <v>3.3918477656880138E-3</v>
      </c>
      <c r="U11">
        <v>3.3089295235249629E-3</v>
      </c>
      <c r="V11">
        <v>3.6222430422351397E-3</v>
      </c>
      <c r="W11">
        <v>2.6117456401731506E-3</v>
      </c>
      <c r="X11">
        <v>3.733098017212669E-3</v>
      </c>
      <c r="Y11">
        <v>3.6402667271710444E-3</v>
      </c>
      <c r="Z11">
        <v>2.7601648556399025E-3</v>
      </c>
      <c r="AA11">
        <v>3.6411365203689885E-3</v>
      </c>
      <c r="AB11">
        <v>3.1085857202530413E-3</v>
      </c>
      <c r="AC11">
        <v>3.2398869393188041E-3</v>
      </c>
      <c r="AD11">
        <v>3.5681123327099178E-3</v>
      </c>
      <c r="AE11">
        <v>2.914974734339795E-3</v>
      </c>
      <c r="AF11">
        <v>3.0637548070926173E-3</v>
      </c>
      <c r="AG11">
        <v>3.4613432655336081E-3</v>
      </c>
      <c r="AH11">
        <v>3.1203562699284259E-3</v>
      </c>
      <c r="AI11">
        <v>2.7853382897222987E-3</v>
      </c>
      <c r="AJ11">
        <v>3.3827202985422925E-3</v>
      </c>
      <c r="AK11">
        <v>2.7641829738727489E-3</v>
      </c>
      <c r="AL11">
        <v>2.9494553275999308E-3</v>
      </c>
      <c r="AM11">
        <v>3.2673087043461591E-3</v>
      </c>
      <c r="AN11">
        <v>3.1381924986701231E-3</v>
      </c>
      <c r="AO11">
        <v>3.2560894313789722E-3</v>
      </c>
      <c r="AP11">
        <v>3.4362110016470967E-3</v>
      </c>
      <c r="AQ11">
        <v>3.1816949112193757E-3</v>
      </c>
      <c r="AR11">
        <v>3.2613663518194004E-3</v>
      </c>
      <c r="AS11">
        <v>2.8467810957388743E-3</v>
      </c>
      <c r="AT11">
        <v>2.9419622745053137E-3</v>
      </c>
      <c r="AU11">
        <v>2.8298146714356839E-3</v>
      </c>
      <c r="AV11">
        <v>3.2357337186108824E-3</v>
      </c>
      <c r="AW11">
        <v>2.99378037676569E-3</v>
      </c>
      <c r="AX11">
        <v>3.2473044866575744E-3</v>
      </c>
    </row>
    <row r="12" spans="1:50" x14ac:dyDescent="0.25">
      <c r="A12">
        <v>3.641163855473943E-4</v>
      </c>
      <c r="B12">
        <v>3.2213131510820751E-4</v>
      </c>
      <c r="C12">
        <v>3.650258131839929E-4</v>
      </c>
      <c r="D12">
        <v>3.1580997263846951E-4</v>
      </c>
      <c r="E12">
        <v>3.5740254035379924E-4</v>
      </c>
      <c r="F12">
        <v>3.4586651041057249E-4</v>
      </c>
      <c r="G12">
        <v>2.8883255769794923E-4</v>
      </c>
      <c r="H12">
        <v>3.6029807418950897E-4</v>
      </c>
      <c r="I12">
        <v>3.4842227017063844E-4</v>
      </c>
      <c r="J12">
        <v>3.3451765519583633E-4</v>
      </c>
      <c r="K12">
        <v>2.8596332516505263E-4</v>
      </c>
      <c r="L12">
        <v>3.537372857932985E-4</v>
      </c>
      <c r="M12">
        <v>3.029824499751777E-4</v>
      </c>
      <c r="N12">
        <v>3.5395387668134514E-4</v>
      </c>
      <c r="O12">
        <v>3.6227368104385768E-4</v>
      </c>
      <c r="P12">
        <v>3.614854293124134E-4</v>
      </c>
      <c r="Q12">
        <v>3.3391426540181049E-4</v>
      </c>
      <c r="R12">
        <v>3.6334499732900208E-4</v>
      </c>
      <c r="S12">
        <v>3.4451100926722429E-4</v>
      </c>
      <c r="T12">
        <v>3.4127441354047668E-4</v>
      </c>
      <c r="U12">
        <v>3.4476512369569005E-4</v>
      </c>
      <c r="V12">
        <v>3.3122512921393018E-4</v>
      </c>
      <c r="W12">
        <v>3.626568628569693E-4</v>
      </c>
      <c r="X12">
        <v>3.2482971289585319E-4</v>
      </c>
      <c r="Y12">
        <v>3.3008311217997408E-4</v>
      </c>
      <c r="Z12">
        <v>3.6031849445158258E-4</v>
      </c>
      <c r="AA12">
        <v>3.3012208513868952E-4</v>
      </c>
      <c r="AB12">
        <v>3.5206685156624222E-4</v>
      </c>
      <c r="AC12">
        <v>3.473456245065503E-4</v>
      </c>
      <c r="AD12">
        <v>3.33611743843362E-4</v>
      </c>
      <c r="AE12">
        <v>3.5721867910463008E-4</v>
      </c>
      <c r="AF12">
        <v>3.5326123060761406E-4</v>
      </c>
      <c r="AG12">
        <v>3.3830794471372721E-4</v>
      </c>
      <c r="AH12">
        <v>3.5142008284866626E-4</v>
      </c>
      <c r="AI12">
        <v>3.6017270104748744E-4</v>
      </c>
      <c r="AJ12">
        <v>3.4185145942093966E-4</v>
      </c>
      <c r="AK12">
        <v>3.6036793886187111E-4</v>
      </c>
      <c r="AL12">
        <v>3.5639199864434675E-4</v>
      </c>
      <c r="AM12">
        <v>3.4654874965516365E-4</v>
      </c>
      <c r="AN12">
        <v>3.5078305034188568E-4</v>
      </c>
      <c r="AO12">
        <v>3.4671479404257255E-4</v>
      </c>
      <c r="AP12">
        <v>3.3943140961611865E-4</v>
      </c>
      <c r="AQ12">
        <v>3.4941593594335846E-4</v>
      </c>
      <c r="AR12">
        <v>3.4673269127894418E-4</v>
      </c>
      <c r="AS12">
        <v>3.5871190302644963E-4</v>
      </c>
      <c r="AT12">
        <v>3.5648709939258645E-4</v>
      </c>
      <c r="AU12">
        <v>3.5920575396162851E-4</v>
      </c>
      <c r="AV12">
        <v>3.475513283675019E-4</v>
      </c>
      <c r="AW12">
        <v>3.5520310240847239E-4</v>
      </c>
      <c r="AX12">
        <v>3.4721817169038201E-4</v>
      </c>
    </row>
    <row r="13" spans="1:50" x14ac:dyDescent="0.25">
      <c r="A13">
        <v>4.3231508769260417E-4</v>
      </c>
      <c r="B13">
        <v>6.7929024249640548E-4</v>
      </c>
      <c r="C13">
        <v>4.6553478981903334E-4</v>
      </c>
      <c r="D13">
        <v>6.8601832161513669E-4</v>
      </c>
      <c r="E13">
        <v>5.509463846671502E-4</v>
      </c>
      <c r="F13">
        <v>6.1073467144457966E-4</v>
      </c>
      <c r="G13">
        <v>7.2924840872391728E-4</v>
      </c>
      <c r="H13">
        <v>3.9326085204796727E-4</v>
      </c>
      <c r="I13">
        <v>5.9947123990835714E-4</v>
      </c>
      <c r="J13">
        <v>6.4118286953646314E-4</v>
      </c>
      <c r="K13">
        <v>7.3593381665118247E-4</v>
      </c>
      <c r="L13">
        <v>5.7650288907566542E-4</v>
      </c>
      <c r="M13">
        <v>7.1237353222606224E-4</v>
      </c>
      <c r="N13">
        <v>5.7273485945551509E-4</v>
      </c>
      <c r="O13">
        <v>5.1253495705660479E-4</v>
      </c>
      <c r="P13">
        <v>5.2554862991778962E-4</v>
      </c>
      <c r="Q13">
        <v>6.5058744093165924E-4</v>
      </c>
      <c r="R13">
        <v>5.0141148588626894E-4</v>
      </c>
      <c r="S13">
        <v>6.1308909319139214E-4</v>
      </c>
      <c r="T13">
        <v>6.2417513956614405E-4</v>
      </c>
      <c r="U13">
        <v>6.1513246068771075E-4</v>
      </c>
      <c r="V13">
        <v>6.5738498385946515E-4</v>
      </c>
      <c r="W13">
        <v>5.1135990506401795E-4</v>
      </c>
      <c r="X13">
        <v>6.6961068770705185E-4</v>
      </c>
      <c r="Y13">
        <v>6.577638742251633E-4</v>
      </c>
      <c r="Z13">
        <v>5.3362636671475388E-4</v>
      </c>
      <c r="AA13">
        <v>6.5911499393071923E-4</v>
      </c>
      <c r="AB13">
        <v>5.860804682191233E-4</v>
      </c>
      <c r="AC13">
        <v>6.0443114459456278E-4</v>
      </c>
      <c r="AD13">
        <v>6.4851822455664959E-4</v>
      </c>
      <c r="AE13">
        <v>5.5835772713720027E-4</v>
      </c>
      <c r="AF13">
        <v>5.797338490083412E-4</v>
      </c>
      <c r="AG13">
        <v>6.3381213705612728E-4</v>
      </c>
      <c r="AH13">
        <v>5.8839136188495252E-4</v>
      </c>
      <c r="AI13">
        <v>5.3880340049759518E-4</v>
      </c>
      <c r="AJ13">
        <v>6.2338251639240769E-4</v>
      </c>
      <c r="AK13">
        <v>5.3545145526652797E-4</v>
      </c>
      <c r="AL13">
        <v>5.6302327271994131E-4</v>
      </c>
      <c r="AM13">
        <v>6.0910401170012163E-4</v>
      </c>
      <c r="AN13">
        <v>5.8994011665236394E-4</v>
      </c>
      <c r="AO13">
        <v>6.0596789541902312E-4</v>
      </c>
      <c r="AP13">
        <v>6.3103743277816593E-4</v>
      </c>
      <c r="AQ13">
        <v>5.9622859163573625E-4</v>
      </c>
      <c r="AR13">
        <v>6.0780683337342736E-4</v>
      </c>
      <c r="AS13">
        <v>5.4791394522481175E-4</v>
      </c>
      <c r="AT13">
        <v>5.6223884378908771E-4</v>
      </c>
      <c r="AU13">
        <v>5.4542641570116414E-4</v>
      </c>
      <c r="AV13">
        <v>6.0409011834513518E-4</v>
      </c>
      <c r="AW13">
        <v>5.6907676716453281E-4</v>
      </c>
      <c r="AX13">
        <v>6.0616387799539628E-4</v>
      </c>
    </row>
    <row r="14" spans="1:50" x14ac:dyDescent="0.25">
      <c r="A14">
        <v>2.579260264589398E-3</v>
      </c>
      <c r="B14">
        <v>5.0838427299967088E-3</v>
      </c>
      <c r="C14">
        <v>2.8664202648406253E-3</v>
      </c>
      <c r="D14">
        <v>5.2318842889924489E-3</v>
      </c>
      <c r="E14">
        <v>3.6855096454110601E-3</v>
      </c>
      <c r="F14">
        <v>4.2888023231624451E-3</v>
      </c>
      <c r="G14">
        <v>5.8816845533742014E-3</v>
      </c>
      <c r="H14">
        <v>2.3018037457065992E-3</v>
      </c>
      <c r="I14">
        <v>4.1798523782816486E-3</v>
      </c>
      <c r="J14">
        <v>4.6777291741096471E-3</v>
      </c>
      <c r="K14">
        <v>5.9604134091289932E-3</v>
      </c>
      <c r="L14">
        <v>3.925906242264029E-3</v>
      </c>
      <c r="M14">
        <v>5.5726204025457332E-3</v>
      </c>
      <c r="N14">
        <v>3.8951272994419699E-3</v>
      </c>
      <c r="O14">
        <v>3.3141569356691866E-3</v>
      </c>
      <c r="P14">
        <v>3.4122953988793762E-3</v>
      </c>
      <c r="Q14">
        <v>4.7295418820890505E-3</v>
      </c>
      <c r="R14">
        <v>3.2022442792564421E-3</v>
      </c>
      <c r="S14">
        <v>4.3284022346962827E-3</v>
      </c>
      <c r="T14">
        <v>4.4511133241708677E-3</v>
      </c>
      <c r="U14">
        <v>4.3259817665219774E-3</v>
      </c>
      <c r="V14">
        <v>4.8165310088513838E-3</v>
      </c>
      <c r="W14">
        <v>3.2890193490970189E-3</v>
      </c>
      <c r="X14">
        <v>4.9936945347082498E-3</v>
      </c>
      <c r="Y14">
        <v>4.8434891584892004E-3</v>
      </c>
      <c r="Z14">
        <v>3.502862562526173E-3</v>
      </c>
      <c r="AA14">
        <v>4.8467030167585936E-3</v>
      </c>
      <c r="AB14">
        <v>4.0194315362182681E-3</v>
      </c>
      <c r="AC14">
        <v>4.2184578166552184E-3</v>
      </c>
      <c r="AD14">
        <v>4.7283190119222843E-3</v>
      </c>
      <c r="AE14">
        <v>3.7317494270193352E-3</v>
      </c>
      <c r="AF14">
        <v>3.9524732488690258E-3</v>
      </c>
      <c r="AG14">
        <v>4.5601144032007017E-3</v>
      </c>
      <c r="AH14">
        <v>4.03874550788531E-3</v>
      </c>
      <c r="AI14">
        <v>3.5407366163947292E-3</v>
      </c>
      <c r="AJ14">
        <v>4.4370167064574839E-3</v>
      </c>
      <c r="AK14">
        <v>3.5102213264932148E-3</v>
      </c>
      <c r="AL14">
        <v>3.7818822489970199E-3</v>
      </c>
      <c r="AM14">
        <v>4.2614058217120337E-3</v>
      </c>
      <c r="AN14">
        <v>4.0643517860364676E-3</v>
      </c>
      <c r="AO14">
        <v>4.2426996507518681E-3</v>
      </c>
      <c r="AP14">
        <v>4.5215507538012255E-3</v>
      </c>
      <c r="AQ14">
        <v>4.1300172369179546E-3</v>
      </c>
      <c r="AR14">
        <v>4.2516012378061409E-3</v>
      </c>
      <c r="AS14">
        <v>3.6310252066661364E-3</v>
      </c>
      <c r="AT14">
        <v>3.7715695109046816E-3</v>
      </c>
      <c r="AU14">
        <v>3.6059662643275498E-3</v>
      </c>
      <c r="AV14">
        <v>4.2125629380972704E-3</v>
      </c>
      <c r="AW14">
        <v>3.8473536934504038E-3</v>
      </c>
      <c r="AX14">
        <v>4.2306036833710771E-3</v>
      </c>
    </row>
    <row r="15" spans="1:50" x14ac:dyDescent="0.25">
      <c r="A15">
        <v>1.4555921273557416E-4</v>
      </c>
      <c r="B15">
        <v>1.2389520114839477E-4</v>
      </c>
      <c r="C15">
        <v>1.4494939426997605E-4</v>
      </c>
      <c r="D15">
        <v>1.2078831233424784E-4</v>
      </c>
      <c r="E15">
        <v>1.3955951321154537E-4</v>
      </c>
      <c r="F15">
        <v>1.3413515994057648E-4</v>
      </c>
      <c r="G15">
        <v>1.0956254126921068E-4</v>
      </c>
      <c r="H15">
        <v>1.4379682938060753E-4</v>
      </c>
      <c r="I15">
        <v>1.3508764562184515E-4</v>
      </c>
      <c r="J15">
        <v>1.2865088049339549E-4</v>
      </c>
      <c r="K15">
        <v>1.0848738967922708E-4</v>
      </c>
      <c r="L15">
        <v>1.3787040121718811E-4</v>
      </c>
      <c r="M15">
        <v>1.1562399373451822E-4</v>
      </c>
      <c r="N15">
        <v>1.3795398847169012E-4</v>
      </c>
      <c r="O15">
        <v>1.422558562289E-4</v>
      </c>
      <c r="P15">
        <v>1.422208508795786E-4</v>
      </c>
      <c r="Q15">
        <v>1.289284390742675E-4</v>
      </c>
      <c r="R15">
        <v>1.4311901135775736E-4</v>
      </c>
      <c r="S15">
        <v>1.3339411969200073E-4</v>
      </c>
      <c r="T15">
        <v>1.3195391091017571E-4</v>
      </c>
      <c r="U15">
        <v>1.3384259707651758E-4</v>
      </c>
      <c r="V15">
        <v>1.2768944763454922E-4</v>
      </c>
      <c r="W15">
        <v>1.4276048647168137E-4</v>
      </c>
      <c r="X15">
        <v>1.2475564134191102E-4</v>
      </c>
      <c r="Y15">
        <v>1.269772319101902E-4</v>
      </c>
      <c r="Z15">
        <v>1.412871207152384E-4</v>
      </c>
      <c r="AA15">
        <v>1.2712987447855792E-4</v>
      </c>
      <c r="AB15">
        <v>1.370987304935043E-4</v>
      </c>
      <c r="AC15">
        <v>1.3489538702618413E-4</v>
      </c>
      <c r="AD15">
        <v>1.2857138571206316E-4</v>
      </c>
      <c r="AE15">
        <v>1.3980786175546471E-4</v>
      </c>
      <c r="AF15">
        <v>1.3774105930131243E-4</v>
      </c>
      <c r="AG15">
        <v>1.3063648493368799E-4</v>
      </c>
      <c r="AH15">
        <v>1.369406213453624E-4</v>
      </c>
      <c r="AI15">
        <v>1.413320130668965E-4</v>
      </c>
      <c r="AJ15">
        <v>1.3224274059332909E-4</v>
      </c>
      <c r="AK15">
        <v>1.414817713746294E-4</v>
      </c>
      <c r="AL15">
        <v>1.3931154553568835E-4</v>
      </c>
      <c r="AM15">
        <v>1.3458446122742424E-4</v>
      </c>
      <c r="AN15">
        <v>1.3650578215379308E-4</v>
      </c>
      <c r="AO15">
        <v>1.3449057842835816E-4</v>
      </c>
      <c r="AP15">
        <v>1.312230806494892E-4</v>
      </c>
      <c r="AQ15">
        <v>1.3585642087214338E-4</v>
      </c>
      <c r="AR15">
        <v>1.3461421731591073E-4</v>
      </c>
      <c r="AS15">
        <v>1.4057207613465863E-4</v>
      </c>
      <c r="AT15">
        <v>1.3943230584242765E-4</v>
      </c>
      <c r="AU15">
        <v>1.4080278115452424E-4</v>
      </c>
      <c r="AV15">
        <v>1.350022275700549E-4</v>
      </c>
      <c r="AW15">
        <v>1.3863951903437058E-4</v>
      </c>
      <c r="AX15">
        <v>1.3489653315982742E-4</v>
      </c>
    </row>
    <row r="16" spans="1:50" x14ac:dyDescent="0.25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6"/>
  <sheetViews>
    <sheetView workbookViewId="0">
      <selection activeCell="A2" sqref="A2:O16"/>
    </sheetView>
  </sheetViews>
  <sheetFormatPr defaultRowHeight="15" x14ac:dyDescent="0.25"/>
  <sheetData>
    <row r="1" spans="1:15" x14ac:dyDescent="0.25">
      <c r="A1" t="s">
        <v>8</v>
      </c>
    </row>
    <row r="2" spans="1:15" x14ac:dyDescent="0.25">
      <c r="A2">
        <f t="array" ref="A2:O16">MMULT('Matrix (R)^t'!$A$2:$AX$16,'Matrix (R)'!$B$2:$P$51)</f>
        <v>1.3310638461928375</v>
      </c>
      <c r="B2">
        <v>4.4283848682188385E-5</v>
      </c>
      <c r="C2">
        <v>6.7765599012951385E-4</v>
      </c>
      <c r="D2">
        <v>8.762010927978127E-6</v>
      </c>
      <c r="E2">
        <v>1.0653237705768031E-3</v>
      </c>
      <c r="F2">
        <v>2.5496492840555079E-2</v>
      </c>
      <c r="G2">
        <v>4.9272712857988817E-5</v>
      </c>
      <c r="H2">
        <v>3.2361642285930236E-3</v>
      </c>
      <c r="I2">
        <v>3.534086268270218E-2</v>
      </c>
      <c r="J2">
        <v>2.6085362008483725E-2</v>
      </c>
      <c r="K2">
        <v>2.6838476516054949E-3</v>
      </c>
      <c r="L2">
        <v>4.8151138757977453E-3</v>
      </c>
      <c r="M2">
        <v>3.4251889588380303E-2</v>
      </c>
      <c r="N2">
        <v>1.041209903113753E-3</v>
      </c>
      <c r="O2">
        <v>7.8845751869031311</v>
      </c>
    </row>
    <row r="3" spans="1:15" x14ac:dyDescent="0.25">
      <c r="A3">
        <v>4.4283848682188385E-5</v>
      </c>
      <c r="B3">
        <v>1.4736456626524802E-9</v>
      </c>
      <c r="C3">
        <v>2.2599829519848597E-8</v>
      </c>
      <c r="D3">
        <v>2.9187614788297737E-10</v>
      </c>
      <c r="E3">
        <v>3.549802002866714E-8</v>
      </c>
      <c r="F3">
        <v>8.4907247143029277E-7</v>
      </c>
      <c r="G3">
        <v>1.6440129411546817E-9</v>
      </c>
      <c r="H3">
        <v>1.0781621192995016E-7</v>
      </c>
      <c r="I3">
        <v>1.1814069968844631E-6</v>
      </c>
      <c r="J3">
        <v>8.693375919151763E-7</v>
      </c>
      <c r="K3">
        <v>8.9713914615585162E-8</v>
      </c>
      <c r="L3">
        <v>1.6056288793235608E-7</v>
      </c>
      <c r="M3">
        <v>1.1410472813495638E-6</v>
      </c>
      <c r="N3">
        <v>3.4810318559749872E-8</v>
      </c>
      <c r="O3">
        <v>2.6334010798035077E-4</v>
      </c>
    </row>
    <row r="4" spans="1:15" x14ac:dyDescent="0.25">
      <c r="A4">
        <v>6.7765599012951385E-4</v>
      </c>
      <c r="B4">
        <v>2.2599829519848597E-8</v>
      </c>
      <c r="C4">
        <v>3.5386135829768922E-7</v>
      </c>
      <c r="D4">
        <v>4.5202659782462125E-9</v>
      </c>
      <c r="E4">
        <v>5.5130182263484194E-7</v>
      </c>
      <c r="F4">
        <v>1.3112124737474218E-5</v>
      </c>
      <c r="G4">
        <v>2.5855212148668355E-8</v>
      </c>
      <c r="H4">
        <v>1.6719069957211023E-6</v>
      </c>
      <c r="I4">
        <v>1.891605503570847E-5</v>
      </c>
      <c r="J4">
        <v>1.3521747985947004E-5</v>
      </c>
      <c r="K4">
        <v>1.4358303358347278E-6</v>
      </c>
      <c r="L4">
        <v>2.5108281685373114E-6</v>
      </c>
      <c r="M4">
        <v>1.7681078765274646E-5</v>
      </c>
      <c r="N4">
        <v>5.57935599299039E-7</v>
      </c>
      <c r="O4">
        <v>4.1826450665142919E-3</v>
      </c>
    </row>
    <row r="5" spans="1:15" x14ac:dyDescent="0.25">
      <c r="A5">
        <v>8.762010927978127E-6</v>
      </c>
      <c r="B5">
        <v>2.9187614788297737E-10</v>
      </c>
      <c r="C5">
        <v>4.5202659782462125E-9</v>
      </c>
      <c r="D5">
        <v>5.8077948718809257E-11</v>
      </c>
      <c r="E5">
        <v>7.072814866967781E-9</v>
      </c>
      <c r="F5">
        <v>1.6872269292366451E-7</v>
      </c>
      <c r="G5">
        <v>3.2950840275355604E-10</v>
      </c>
      <c r="H5">
        <v>2.1466552103739062E-8</v>
      </c>
      <c r="I5">
        <v>2.3879574942482851E-7</v>
      </c>
      <c r="J5">
        <v>1.7333551588792116E-7</v>
      </c>
      <c r="K5">
        <v>1.8130052945001126E-8</v>
      </c>
      <c r="L5">
        <v>3.2095301193568784E-8</v>
      </c>
      <c r="M5">
        <v>2.271063817619127E-7</v>
      </c>
      <c r="N5">
        <v>7.039543645825302E-9</v>
      </c>
      <c r="O5">
        <v>5.302280410624417E-5</v>
      </c>
    </row>
    <row r="6" spans="1:15" x14ac:dyDescent="0.25">
      <c r="A6">
        <v>1.0653237705768031E-3</v>
      </c>
      <c r="B6">
        <v>3.549802002866714E-8</v>
      </c>
      <c r="C6">
        <v>5.5130182263484194E-7</v>
      </c>
      <c r="D6">
        <v>7.072814866967781E-9</v>
      </c>
      <c r="E6">
        <v>8.6166528469449915E-7</v>
      </c>
      <c r="F6">
        <v>2.0539377099716997E-5</v>
      </c>
      <c r="G6">
        <v>4.0211520643454172E-8</v>
      </c>
      <c r="H6">
        <v>2.6146866068186574E-6</v>
      </c>
      <c r="I6">
        <v>2.9212097030854123E-5</v>
      </c>
      <c r="J6">
        <v>2.1121421504835233E-5</v>
      </c>
      <c r="K6">
        <v>2.2177374063108E-6</v>
      </c>
      <c r="L6">
        <v>3.9137323758493849E-6</v>
      </c>
      <c r="M6">
        <v>2.7659424134874727E-5</v>
      </c>
      <c r="N6">
        <v>8.6127268237313074E-7</v>
      </c>
      <c r="O6">
        <v>6.4792910413951164E-3</v>
      </c>
    </row>
    <row r="7" spans="1:15" x14ac:dyDescent="0.25">
      <c r="A7">
        <v>2.5496492840555079E-2</v>
      </c>
      <c r="B7">
        <v>8.4907247143029277E-7</v>
      </c>
      <c r="C7">
        <v>1.3112124737474218E-5</v>
      </c>
      <c r="D7">
        <v>1.6872269292366451E-7</v>
      </c>
      <c r="E7">
        <v>2.0539377099716997E-5</v>
      </c>
      <c r="F7">
        <v>4.9034936723932787E-4</v>
      </c>
      <c r="G7">
        <v>9.5524083026389361E-7</v>
      </c>
      <c r="H7">
        <v>6.235157409946736E-5</v>
      </c>
      <c r="I7">
        <v>6.9056759154179157E-4</v>
      </c>
      <c r="J7">
        <v>5.0325973938621419E-4</v>
      </c>
      <c r="K7">
        <v>5.2432968107360284E-5</v>
      </c>
      <c r="L7">
        <v>9.3116471373855253E-5</v>
      </c>
      <c r="M7">
        <v>6.5971883202812457E-4</v>
      </c>
      <c r="N7">
        <v>2.0354625183245761E-5</v>
      </c>
      <c r="O7">
        <v>0.15350622219157753</v>
      </c>
    </row>
    <row r="8" spans="1:15" x14ac:dyDescent="0.25">
      <c r="A8">
        <v>4.9272712857988817E-5</v>
      </c>
      <c r="B8">
        <v>1.6440129411546817E-9</v>
      </c>
      <c r="C8">
        <v>2.5855212148668355E-8</v>
      </c>
      <c r="D8">
        <v>3.2950840275355604E-10</v>
      </c>
      <c r="E8">
        <v>4.0211520643454172E-8</v>
      </c>
      <c r="F8">
        <v>9.5524083026389361E-7</v>
      </c>
      <c r="G8">
        <v>1.8909184985031661E-9</v>
      </c>
      <c r="H8">
        <v>1.2190832228164029E-7</v>
      </c>
      <c r="I8">
        <v>1.3887580782450743E-6</v>
      </c>
      <c r="J8">
        <v>9.8658282953730739E-7</v>
      </c>
      <c r="K8">
        <v>1.0540408578385501E-7</v>
      </c>
      <c r="L8">
        <v>1.8340687637269195E-7</v>
      </c>
      <c r="M8">
        <v>1.2890248523678353E-6</v>
      </c>
      <c r="N8">
        <v>4.0970955566297164E-8</v>
      </c>
      <c r="O8">
        <v>3.0657455988939938E-4</v>
      </c>
    </row>
    <row r="9" spans="1:15" x14ac:dyDescent="0.25">
      <c r="A9">
        <v>3.2361642285930236E-3</v>
      </c>
      <c r="B9">
        <v>1.0781621192995016E-7</v>
      </c>
      <c r="C9">
        <v>1.6719069957211023E-6</v>
      </c>
      <c r="D9">
        <v>2.1466552103739062E-8</v>
      </c>
      <c r="E9">
        <v>2.6146866068186574E-6</v>
      </c>
      <c r="F9">
        <v>6.235157409946736E-5</v>
      </c>
      <c r="G9">
        <v>1.2190832228164029E-7</v>
      </c>
      <c r="H9">
        <v>7.9350317518842007E-6</v>
      </c>
      <c r="I9">
        <v>8.8445588997305624E-5</v>
      </c>
      <c r="J9">
        <v>6.4084966014776626E-5</v>
      </c>
      <c r="K9">
        <v>6.7148657931644063E-6</v>
      </c>
      <c r="L9">
        <v>1.1870097779393323E-5</v>
      </c>
      <c r="M9">
        <v>8.3945161637089154E-5</v>
      </c>
      <c r="N9">
        <v>2.6074831430652029E-6</v>
      </c>
      <c r="O9">
        <v>1.9628831093291839E-2</v>
      </c>
    </row>
    <row r="10" spans="1:15" x14ac:dyDescent="0.25">
      <c r="A10">
        <v>3.534086268270218E-2</v>
      </c>
      <c r="B10">
        <v>1.1814069968844631E-6</v>
      </c>
      <c r="C10">
        <v>1.891605503570847E-5</v>
      </c>
      <c r="D10">
        <v>2.3879574942482851E-7</v>
      </c>
      <c r="E10">
        <v>2.9212097030854123E-5</v>
      </c>
      <c r="F10">
        <v>6.9056759154179157E-4</v>
      </c>
      <c r="G10">
        <v>1.3887580782450743E-6</v>
      </c>
      <c r="H10">
        <v>8.8445588997305624E-5</v>
      </c>
      <c r="I10">
        <v>1.0361472022877381E-3</v>
      </c>
      <c r="J10">
        <v>7.1765224559401034E-4</v>
      </c>
      <c r="K10">
        <v>7.8610398687553845E-5</v>
      </c>
      <c r="L10">
        <v>1.3403685407364048E-4</v>
      </c>
      <c r="M10">
        <v>9.3459962148765977E-4</v>
      </c>
      <c r="N10">
        <v>3.0595957802905559E-5</v>
      </c>
      <c r="O10">
        <v>0.2272806116875753</v>
      </c>
    </row>
    <row r="11" spans="1:15" x14ac:dyDescent="0.25">
      <c r="A11">
        <v>2.6085362008483725E-2</v>
      </c>
      <c r="B11">
        <v>8.693375919151763E-7</v>
      </c>
      <c r="C11">
        <v>1.3521747985947004E-5</v>
      </c>
      <c r="D11">
        <v>1.7333551588792116E-7</v>
      </c>
      <c r="E11">
        <v>2.1121421504835233E-5</v>
      </c>
      <c r="F11">
        <v>5.0325973938621419E-4</v>
      </c>
      <c r="G11">
        <v>9.8658282953730739E-7</v>
      </c>
      <c r="H11">
        <v>6.4084966014776626E-5</v>
      </c>
      <c r="I11">
        <v>7.1765224559401034E-4</v>
      </c>
      <c r="J11">
        <v>5.1779271754909587E-4</v>
      </c>
      <c r="K11">
        <v>5.4481349334118201E-5</v>
      </c>
      <c r="L11">
        <v>9.5982836699436342E-5</v>
      </c>
      <c r="M11">
        <v>6.778851513766543E-4</v>
      </c>
      <c r="N11">
        <v>2.1160424090513193E-5</v>
      </c>
      <c r="O11">
        <v>0.15908382177896771</v>
      </c>
    </row>
    <row r="12" spans="1:15" x14ac:dyDescent="0.25">
      <c r="A12">
        <v>2.6838476516054949E-3</v>
      </c>
      <c r="B12">
        <v>8.9713914615585162E-8</v>
      </c>
      <c r="C12">
        <v>1.4358303358347278E-6</v>
      </c>
      <c r="D12">
        <v>1.8130052945001126E-8</v>
      </c>
      <c r="E12">
        <v>2.2177374063108E-6</v>
      </c>
      <c r="F12">
        <v>5.2432968107360284E-5</v>
      </c>
      <c r="G12">
        <v>1.0540408578385501E-7</v>
      </c>
      <c r="H12">
        <v>6.7148657931644063E-6</v>
      </c>
      <c r="I12">
        <v>7.8610398687553845E-5</v>
      </c>
      <c r="J12">
        <v>5.4481349334118201E-5</v>
      </c>
      <c r="K12">
        <v>5.9640791533894135E-6</v>
      </c>
      <c r="L12">
        <v>1.0174369355889145E-5</v>
      </c>
      <c r="M12">
        <v>7.0956732682822944E-5</v>
      </c>
      <c r="N12">
        <v>2.3211995166692478E-6</v>
      </c>
      <c r="O12">
        <v>1.7245884593329212E-2</v>
      </c>
    </row>
    <row r="13" spans="1:15" x14ac:dyDescent="0.25">
      <c r="A13">
        <v>4.8151138757977453E-3</v>
      </c>
      <c r="B13">
        <v>1.6056288793235608E-7</v>
      </c>
      <c r="C13">
        <v>2.5108281685373114E-6</v>
      </c>
      <c r="D13">
        <v>3.2095301193568784E-8</v>
      </c>
      <c r="E13">
        <v>3.9137323758493849E-6</v>
      </c>
      <c r="F13">
        <v>9.3116471373855253E-5</v>
      </c>
      <c r="G13">
        <v>1.8340687637269195E-7</v>
      </c>
      <c r="H13">
        <v>1.1870097779393323E-5</v>
      </c>
      <c r="I13">
        <v>1.3403685407364048E-4</v>
      </c>
      <c r="J13">
        <v>9.5982836699436342E-5</v>
      </c>
      <c r="K13">
        <v>1.0174369355889145E-5</v>
      </c>
      <c r="L13">
        <v>1.7817083843478884E-5</v>
      </c>
      <c r="M13">
        <v>1.2553664744205286E-4</v>
      </c>
      <c r="N13">
        <v>3.9532208452318353E-6</v>
      </c>
      <c r="O13">
        <v>2.9651868391211169E-2</v>
      </c>
    </row>
    <row r="14" spans="1:15" x14ac:dyDescent="0.25">
      <c r="A14">
        <v>3.4251889588380303E-2</v>
      </c>
      <c r="B14">
        <v>1.1410472813495638E-6</v>
      </c>
      <c r="C14">
        <v>1.7681078765274646E-5</v>
      </c>
      <c r="D14">
        <v>2.271063817619127E-7</v>
      </c>
      <c r="E14">
        <v>2.7659424134874727E-5</v>
      </c>
      <c r="F14">
        <v>6.5971883202812457E-4</v>
      </c>
      <c r="G14">
        <v>1.2890248523678353E-6</v>
      </c>
      <c r="H14">
        <v>8.3945161637089154E-5</v>
      </c>
      <c r="I14">
        <v>9.3459962148765977E-4</v>
      </c>
      <c r="J14">
        <v>6.778851513766543E-4</v>
      </c>
      <c r="K14">
        <v>7.0956732682822944E-5</v>
      </c>
      <c r="L14">
        <v>1.2553664744205286E-4</v>
      </c>
      <c r="M14">
        <v>8.880845847660788E-4</v>
      </c>
      <c r="N14">
        <v>2.7552117781984439E-5</v>
      </c>
      <c r="O14">
        <v>0.20747674780751471</v>
      </c>
    </row>
    <row r="15" spans="1:15" x14ac:dyDescent="0.25">
      <c r="A15">
        <v>1.041209903113753E-3</v>
      </c>
      <c r="B15">
        <v>3.4810318559749872E-8</v>
      </c>
      <c r="C15">
        <v>5.57935599299039E-7</v>
      </c>
      <c r="D15">
        <v>7.039543645825302E-9</v>
      </c>
      <c r="E15">
        <v>8.6127268237313074E-7</v>
      </c>
      <c r="F15">
        <v>2.0354625183245761E-5</v>
      </c>
      <c r="G15">
        <v>4.0970955566297164E-8</v>
      </c>
      <c r="H15">
        <v>2.6074831430652029E-6</v>
      </c>
      <c r="I15">
        <v>3.0595957802905559E-5</v>
      </c>
      <c r="J15">
        <v>2.1160424090513193E-5</v>
      </c>
      <c r="K15">
        <v>2.3211995166692478E-6</v>
      </c>
      <c r="L15">
        <v>3.9532208452318353E-6</v>
      </c>
      <c r="M15">
        <v>2.7552117781984439E-5</v>
      </c>
      <c r="N15">
        <v>9.035025079375669E-7</v>
      </c>
      <c r="O15">
        <v>6.7089146359604291E-3</v>
      </c>
    </row>
    <row r="16" spans="1:15" x14ac:dyDescent="0.25">
      <c r="A16">
        <v>7.8845751869031311</v>
      </c>
      <c r="B16">
        <v>2.6334010798035077E-4</v>
      </c>
      <c r="C16">
        <v>4.1826450665142919E-3</v>
      </c>
      <c r="D16">
        <v>5.302280410624417E-5</v>
      </c>
      <c r="E16">
        <v>6.4792910413951164E-3</v>
      </c>
      <c r="F16">
        <v>0.15350622219157753</v>
      </c>
      <c r="G16">
        <v>3.0657455988939938E-4</v>
      </c>
      <c r="H16">
        <v>1.9628831093291839E-2</v>
      </c>
      <c r="I16">
        <v>0.2272806116875753</v>
      </c>
      <c r="J16">
        <v>0.15908382177896771</v>
      </c>
      <c r="K16">
        <v>1.7245884593329212E-2</v>
      </c>
      <c r="L16">
        <v>2.9651868391211169E-2</v>
      </c>
      <c r="M16">
        <v>0.20747674780751471</v>
      </c>
      <c r="N16">
        <v>6.7089146359604291E-3</v>
      </c>
      <c r="O16">
        <v>50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O16"/>
  <sheetViews>
    <sheetView workbookViewId="0">
      <selection activeCell="A2" sqref="A2:O16"/>
    </sheetView>
  </sheetViews>
  <sheetFormatPr defaultRowHeight="15" x14ac:dyDescent="0.25"/>
  <sheetData>
    <row r="1" spans="1:15" x14ac:dyDescent="0.25">
      <c r="A1" t="s">
        <v>9</v>
      </c>
    </row>
    <row r="2" spans="1:15" x14ac:dyDescent="0.25">
      <c r="A2">
        <f t="array" ref="A2:O16">MINVERSE('Matrix (R)^t.(R)'!$A$2:$O$16)</f>
        <v>1631176145.7936575</v>
      </c>
      <c r="B2">
        <v>-110650845961473.19</v>
      </c>
      <c r="C2">
        <v>-2174230466998.1621</v>
      </c>
      <c r="D2">
        <v>-2329879252985138.5</v>
      </c>
      <c r="E2">
        <v>-11159301092666.865</v>
      </c>
      <c r="F2">
        <v>1352205660484.2615</v>
      </c>
      <c r="G2">
        <v>-173961791375080.09</v>
      </c>
      <c r="H2">
        <v>7952172318299.126</v>
      </c>
      <c r="I2">
        <v>62590158001.652061</v>
      </c>
      <c r="J2">
        <v>1528140103794.3923</v>
      </c>
      <c r="K2">
        <v>-119575975160.73169</v>
      </c>
      <c r="L2">
        <v>1233212371360.7722</v>
      </c>
      <c r="M2">
        <v>-1803028681432.1353</v>
      </c>
      <c r="N2">
        <v>-832866784449.20898</v>
      </c>
      <c r="O2">
        <v>-25547317.688276276</v>
      </c>
    </row>
    <row r="3" spans="1:15" x14ac:dyDescent="0.25">
      <c r="A3">
        <v>-110650573664304.14</v>
      </c>
      <c r="B3">
        <v>7.6083225050033562E+18</v>
      </c>
      <c r="C3">
        <v>1.3467332548472326E+17</v>
      </c>
      <c r="D3">
        <v>1.5596022535729624E+20</v>
      </c>
      <c r="E3">
        <v>7.5673090505136179E+17</v>
      </c>
      <c r="F3">
        <v>-9.1755493889576288E+16</v>
      </c>
      <c r="G3">
        <v>1.1633819122579511E+19</v>
      </c>
      <c r="H3">
        <v>-5.3363606895245683E+17</v>
      </c>
      <c r="I3">
        <v>-4051647603971703</v>
      </c>
      <c r="J3">
        <v>-1.0274736513065453E+17</v>
      </c>
      <c r="K3">
        <v>8347147964733398</v>
      </c>
      <c r="L3">
        <v>-8.1168414795148592E+16</v>
      </c>
      <c r="M3">
        <v>1.2160177773906032E+17</v>
      </c>
      <c r="N3">
        <v>5.0364575412201592E+16</v>
      </c>
      <c r="O3">
        <v>1756170089497.5383</v>
      </c>
    </row>
    <row r="4" spans="1:15" x14ac:dyDescent="0.25">
      <c r="A4">
        <v>-2174352789188.0215</v>
      </c>
      <c r="B4">
        <v>1.3468215514917189E+17</v>
      </c>
      <c r="C4">
        <v>1.8493217529988132E+16</v>
      </c>
      <c r="D4">
        <v>6.2128473791046973E+18</v>
      </c>
      <c r="E4">
        <v>1.8360632638195176E+16</v>
      </c>
      <c r="F4">
        <v>-2625710014095687</v>
      </c>
      <c r="G4">
        <v>3.5461434088152576E+17</v>
      </c>
      <c r="H4">
        <v>-1.9657431622584276E+16</v>
      </c>
      <c r="I4">
        <v>-212849097441931.69</v>
      </c>
      <c r="J4">
        <v>-3413661622027821</v>
      </c>
      <c r="K4">
        <v>-134508074510714.31</v>
      </c>
      <c r="L4">
        <v>-3385431435199836.5</v>
      </c>
      <c r="M4">
        <v>3828302177138330</v>
      </c>
      <c r="N4">
        <v>4922275913904928</v>
      </c>
      <c r="O4">
        <v>59423319997.789444</v>
      </c>
    </row>
    <row r="5" spans="1:15" x14ac:dyDescent="0.25">
      <c r="A5">
        <v>-2329904456392169</v>
      </c>
      <c r="B5">
        <v>1.5596236052794003E+20</v>
      </c>
      <c r="C5">
        <v>6.2127054640617851E+18</v>
      </c>
      <c r="D5">
        <v>3.9832660831241408E+21</v>
      </c>
      <c r="E5">
        <v>1.6723045704464869E+19</v>
      </c>
      <c r="F5">
        <v>-2.1113272134754358E+18</v>
      </c>
      <c r="G5">
        <v>2.7652615372462073E+20</v>
      </c>
      <c r="H5">
        <v>-1.3264963757242581E+19</v>
      </c>
      <c r="I5">
        <v>-1.1612844455846093E+17</v>
      </c>
      <c r="J5">
        <v>-2.476807370225279E+18</v>
      </c>
      <c r="K5">
        <v>1.1461909389347355E+17</v>
      </c>
      <c r="L5">
        <v>-2.1281604958672509E+18</v>
      </c>
      <c r="M5">
        <v>2.8812982751408451E+18</v>
      </c>
      <c r="N5">
        <v>1.9442661397581427E+18</v>
      </c>
      <c r="O5">
        <v>43051170467427.891</v>
      </c>
    </row>
    <row r="6" spans="1:15" x14ac:dyDescent="0.25">
      <c r="A6">
        <v>-11159334055279.744</v>
      </c>
      <c r="B6">
        <v>7.5673505504113971E+17</v>
      </c>
      <c r="C6">
        <v>1.8359837503016652E+16</v>
      </c>
      <c r="D6">
        <v>1.6722920116902203E+19</v>
      </c>
      <c r="E6">
        <v>7.7860241422975456E+16</v>
      </c>
      <c r="F6">
        <v>-9507336301311800</v>
      </c>
      <c r="G6">
        <v>1.2285323189615324E+18</v>
      </c>
      <c r="H6">
        <v>-5.6721432823203472E+16</v>
      </c>
      <c r="I6">
        <v>-460635323741891.13</v>
      </c>
      <c r="J6">
        <v>-1.0869586689148176E+16</v>
      </c>
      <c r="K6">
        <v>808508498261858.13</v>
      </c>
      <c r="L6">
        <v>-8846506815586749</v>
      </c>
      <c r="M6">
        <v>1.2756601134368978E+16</v>
      </c>
      <c r="N6">
        <v>6431128689975708</v>
      </c>
      <c r="O6">
        <v>186215417675.99673</v>
      </c>
    </row>
    <row r="7" spans="1:15" x14ac:dyDescent="0.25">
      <c r="A7">
        <v>1352211737661.3999</v>
      </c>
      <c r="B7">
        <v>-9.1756142971692992E+16</v>
      </c>
      <c r="C7">
        <v>-2625615521238592.5</v>
      </c>
      <c r="D7">
        <v>-2.1113147947879306E+18</v>
      </c>
      <c r="E7">
        <v>-9507350337840654</v>
      </c>
      <c r="F7">
        <v>1176063927498868.8</v>
      </c>
      <c r="G7">
        <v>-1.5163709232378595E+17</v>
      </c>
      <c r="H7">
        <v>7118028848480714</v>
      </c>
      <c r="I7">
        <v>58649417195230.094</v>
      </c>
      <c r="J7">
        <v>1351571786743953</v>
      </c>
      <c r="K7">
        <v>-89478504761209.906</v>
      </c>
      <c r="L7">
        <v>1113113303611714.8</v>
      </c>
      <c r="M7">
        <v>-1583663154591029.3</v>
      </c>
      <c r="N7">
        <v>-864473960952761.38</v>
      </c>
      <c r="O7">
        <v>-23286334103.666702</v>
      </c>
    </row>
    <row r="8" spans="1:15" x14ac:dyDescent="0.25">
      <c r="A8">
        <v>-173963191284593.31</v>
      </c>
      <c r="B8">
        <v>1.1633944612811176E+19</v>
      </c>
      <c r="C8">
        <v>3.5460335254119187E+17</v>
      </c>
      <c r="D8">
        <v>2.7652551381228798E+20</v>
      </c>
      <c r="E8">
        <v>1.2285384598569731E+18</v>
      </c>
      <c r="F8">
        <v>-1.5163762788923949E+17</v>
      </c>
      <c r="G8">
        <v>2.0208162615148446E+19</v>
      </c>
      <c r="H8">
        <v>-9.3028367996272614E+17</v>
      </c>
      <c r="I8">
        <v>-8053604552117683</v>
      </c>
      <c r="J8">
        <v>-1.7627738829216966E+17</v>
      </c>
      <c r="K8">
        <v>1.017847177863394E+16</v>
      </c>
      <c r="L8">
        <v>-1.498141941628728E+17</v>
      </c>
      <c r="M8">
        <v>2.0572876341667402E+17</v>
      </c>
      <c r="N8">
        <v>1.2562844833317938E+17</v>
      </c>
      <c r="O8">
        <v>3164297089021.4937</v>
      </c>
    </row>
    <row r="9" spans="1:15" x14ac:dyDescent="0.25">
      <c r="A9">
        <v>7952245977525.3799</v>
      </c>
      <c r="B9">
        <v>-5.3364250000889798E+17</v>
      </c>
      <c r="C9">
        <v>-1.9656931095189184E+16</v>
      </c>
      <c r="D9">
        <v>-1.3264946085842483E+19</v>
      </c>
      <c r="E9">
        <v>-5.6721776760640728E+16</v>
      </c>
      <c r="F9">
        <v>7118060882238606</v>
      </c>
      <c r="G9">
        <v>-9.3028456879298573E+17</v>
      </c>
      <c r="H9">
        <v>4.432767120586764E+16</v>
      </c>
      <c r="I9">
        <v>383596981908050.94</v>
      </c>
      <c r="J9">
        <v>8310129562463025</v>
      </c>
      <c r="K9">
        <v>-419109850238852.44</v>
      </c>
      <c r="L9">
        <v>7077852910012400</v>
      </c>
      <c r="M9">
        <v>-9684095904697322</v>
      </c>
      <c r="N9">
        <v>-6266625072602155</v>
      </c>
      <c r="O9">
        <v>-144490428820.29953</v>
      </c>
    </row>
    <row r="10" spans="1:15" x14ac:dyDescent="0.25">
      <c r="A10">
        <v>62591508574.059402</v>
      </c>
      <c r="B10">
        <v>-4051751047634825</v>
      </c>
      <c r="C10">
        <v>-212846415983793.44</v>
      </c>
      <c r="D10">
        <v>-1.1612945897810963E+17</v>
      </c>
      <c r="E10">
        <v>-460643382337891.06</v>
      </c>
      <c r="F10">
        <v>58650327375115.148</v>
      </c>
      <c r="G10">
        <v>-8053695183869038</v>
      </c>
      <c r="H10">
        <v>383600893462233.31</v>
      </c>
      <c r="I10">
        <v>3754909887991.1245</v>
      </c>
      <c r="J10">
        <v>71124108957645.266</v>
      </c>
      <c r="K10">
        <v>-2391391636679.2158</v>
      </c>
      <c r="L10">
        <v>64257153126117.18</v>
      </c>
      <c r="M10">
        <v>-81744144750212.984</v>
      </c>
      <c r="N10">
        <v>-69357518112199.484</v>
      </c>
      <c r="O10">
        <v>-1295367289.3937476</v>
      </c>
    </row>
    <row r="11" spans="1:15" x14ac:dyDescent="0.25">
      <c r="A11">
        <v>1528152340250.6262</v>
      </c>
      <c r="B11">
        <v>-1.027484674108605E+17</v>
      </c>
      <c r="C11">
        <v>-3413563277399198.5</v>
      </c>
      <c r="D11">
        <v>-2.4768013037451628E+18</v>
      </c>
      <c r="E11">
        <v>-1.0869639731670086E+16</v>
      </c>
      <c r="F11">
        <v>1351576354161804.5</v>
      </c>
      <c r="G11">
        <v>-1.7627736167167437E+17</v>
      </c>
      <c r="H11">
        <v>8310120410943001</v>
      </c>
      <c r="I11">
        <v>71123291047573.625</v>
      </c>
      <c r="J11">
        <v>1572353657445973</v>
      </c>
      <c r="K11">
        <v>-96631899195962.906</v>
      </c>
      <c r="L11">
        <v>1318044329959049.8</v>
      </c>
      <c r="M11">
        <v>-1833674918001975.3</v>
      </c>
      <c r="N11">
        <v>-1106411269841226.9</v>
      </c>
      <c r="O11">
        <v>-27184059239.566193</v>
      </c>
    </row>
    <row r="12" spans="1:15" x14ac:dyDescent="0.25">
      <c r="A12">
        <v>-119574417376.59364</v>
      </c>
      <c r="B12">
        <v>8347060168999626</v>
      </c>
      <c r="C12">
        <v>-134519041277877.45</v>
      </c>
      <c r="D12">
        <v>1.146150271488144E+17</v>
      </c>
      <c r="E12">
        <v>808495415100449.63</v>
      </c>
      <c r="F12">
        <v>-89476757819389.141</v>
      </c>
      <c r="G12">
        <v>1.0178205737113594E+16</v>
      </c>
      <c r="H12">
        <v>-419096871065066.81</v>
      </c>
      <c r="I12">
        <v>-2391235854294.4434</v>
      </c>
      <c r="J12">
        <v>-96629548703058.938</v>
      </c>
      <c r="K12">
        <v>34628766172453.703</v>
      </c>
      <c r="L12">
        <v>-48866922651529.469</v>
      </c>
      <c r="M12">
        <v>114936865529149.03</v>
      </c>
      <c r="N12">
        <v>-44642731492241.406</v>
      </c>
      <c r="O12">
        <v>1062525285.2489448</v>
      </c>
    </row>
    <row r="13" spans="1:15" x14ac:dyDescent="0.25">
      <c r="A13">
        <v>1233229432303.418</v>
      </c>
      <c r="B13">
        <v>-8.1169796474016576E+16</v>
      </c>
      <c r="C13">
        <v>-3385363896602103</v>
      </c>
      <c r="D13">
        <v>-2.1281663735294909E+18</v>
      </c>
      <c r="E13">
        <v>-8846599531935560</v>
      </c>
      <c r="F13">
        <v>1113123127880323.8</v>
      </c>
      <c r="G13">
        <v>-1.498149538547239E+17</v>
      </c>
      <c r="H13">
        <v>7077882049289269</v>
      </c>
      <c r="I13">
        <v>64256781512478.961</v>
      </c>
      <c r="J13">
        <v>1318051292920313.8</v>
      </c>
      <c r="K13">
        <v>-48869316993915.477</v>
      </c>
      <c r="L13">
        <v>1165645290347474</v>
      </c>
      <c r="M13">
        <v>-1528825627137094.3</v>
      </c>
      <c r="N13">
        <v>-1125260203715359</v>
      </c>
      <c r="O13">
        <v>-23210273547.413372</v>
      </c>
    </row>
    <row r="14" spans="1:15" x14ac:dyDescent="0.25">
      <c r="A14">
        <v>-1803040672209.585</v>
      </c>
      <c r="B14">
        <v>1.2160291009801064E+17</v>
      </c>
      <c r="C14">
        <v>3828182351078131.5</v>
      </c>
      <c r="D14">
        <v>2.8812874976013537E+18</v>
      </c>
      <c r="E14">
        <v>1.2756646788824822E+16</v>
      </c>
      <c r="F14">
        <v>-1583666464711885</v>
      </c>
      <c r="G14">
        <v>2.0572846898298541E+17</v>
      </c>
      <c r="H14">
        <v>-9684072812902876</v>
      </c>
      <c r="I14">
        <v>-81743084354480.234</v>
      </c>
      <c r="J14">
        <v>-1833672571294006</v>
      </c>
      <c r="K14">
        <v>114939466676940.58</v>
      </c>
      <c r="L14">
        <v>-1528815533222599</v>
      </c>
      <c r="M14">
        <v>2142586058045779.3</v>
      </c>
      <c r="N14">
        <v>1250579444106415.5</v>
      </c>
      <c r="O14">
        <v>31628086787.509399</v>
      </c>
    </row>
    <row r="15" spans="1:15" x14ac:dyDescent="0.25">
      <c r="A15">
        <v>-832903405394.33228</v>
      </c>
      <c r="B15">
        <v>5.0367234599757896E+16</v>
      </c>
      <c r="C15">
        <v>4922268502820061</v>
      </c>
      <c r="D15">
        <v>1.9443070991974723E+18</v>
      </c>
      <c r="E15">
        <v>6431364791614088</v>
      </c>
      <c r="F15">
        <v>-864501882260161.88</v>
      </c>
      <c r="G15">
        <v>1.256316540777285E+17</v>
      </c>
      <c r="H15">
        <v>-6266770456622702</v>
      </c>
      <c r="I15">
        <v>-69358239984311.188</v>
      </c>
      <c r="J15">
        <v>-1106439980246290.5</v>
      </c>
      <c r="K15">
        <v>-44639340322682.383</v>
      </c>
      <c r="L15">
        <v>-1125279394901078.8</v>
      </c>
      <c r="M15">
        <v>1250614597190660</v>
      </c>
      <c r="N15">
        <v>1574527308794306.8</v>
      </c>
      <c r="O15">
        <v>20649001398.304806</v>
      </c>
    </row>
    <row r="16" spans="1:15" x14ac:dyDescent="0.25">
      <c r="A16">
        <v>-25547568.491943419</v>
      </c>
      <c r="B16">
        <v>1756191784843.0364</v>
      </c>
      <c r="C16">
        <v>59421699462.129608</v>
      </c>
      <c r="D16">
        <v>43051127566495.555</v>
      </c>
      <c r="E16">
        <v>186216612101.36639</v>
      </c>
      <c r="F16">
        <v>-23286447306.46883</v>
      </c>
      <c r="G16">
        <v>3164301104930.9033</v>
      </c>
      <c r="H16">
        <v>-144490479310.73535</v>
      </c>
      <c r="I16">
        <v>-1295354921.6823137</v>
      </c>
      <c r="J16">
        <v>-27184098922.383488</v>
      </c>
      <c r="K16">
        <v>1062568545.0231422</v>
      </c>
      <c r="L16">
        <v>-23210186239.243919</v>
      </c>
      <c r="M16">
        <v>31628173700.53244</v>
      </c>
      <c r="N16">
        <v>20648531858.102295</v>
      </c>
      <c r="O16">
        <v>601850.72268624487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AX16"/>
  <sheetViews>
    <sheetView workbookViewId="0">
      <selection activeCell="A2" sqref="A2:AX16"/>
    </sheetView>
  </sheetViews>
  <sheetFormatPr defaultRowHeight="15" x14ac:dyDescent="0.25"/>
  <sheetData>
    <row r="1" spans="1:50" x14ac:dyDescent="0.25">
      <c r="A1" t="s">
        <v>10</v>
      </c>
    </row>
    <row r="2" spans="1:50" x14ac:dyDescent="0.25">
      <c r="A2">
        <f t="array" ref="A2:AX16">MMULT('Matrix ((R)^t.(R))^(-1)'!$A$2:$O$16,'Matrix (R)^t'!$A$2:$AX$16)</f>
        <v>-2758.1162267029285</v>
      </c>
      <c r="B2">
        <v>8427.4311892539263</v>
      </c>
      <c r="C2">
        <v>11744.504394054413</v>
      </c>
      <c r="D2">
        <v>10868.253007650375</v>
      </c>
      <c r="E2">
        <v>-7446.2125762999058</v>
      </c>
      <c r="F2">
        <v>-973.71140259504318</v>
      </c>
      <c r="G2">
        <v>-6963.1030092388391</v>
      </c>
      <c r="H2">
        <v>892.56982220709324</v>
      </c>
      <c r="I2">
        <v>13314.782269731164</v>
      </c>
      <c r="J2">
        <v>1640.7626624703407</v>
      </c>
      <c r="K2">
        <v>3997.6079956293106</v>
      </c>
      <c r="L2">
        <v>8813.6462089568377</v>
      </c>
      <c r="M2">
        <v>3120.3169331997633</v>
      </c>
      <c r="N2">
        <v>13496.594539135695</v>
      </c>
      <c r="O2">
        <v>-6220.4069837778807</v>
      </c>
      <c r="P2">
        <v>-7766.7081022709608</v>
      </c>
      <c r="Q2">
        <v>4831.0904184728861</v>
      </c>
      <c r="R2">
        <v>-6474.2686436772346</v>
      </c>
      <c r="S2">
        <v>-3993.5427570343018</v>
      </c>
      <c r="T2">
        <v>7439.1027217507362</v>
      </c>
      <c r="U2">
        <v>-4391.1875827610493</v>
      </c>
      <c r="V2">
        <v>-12504.436114966869</v>
      </c>
      <c r="W2">
        <v>-2430.1697936207056</v>
      </c>
      <c r="X2">
        <v>-3542.8261259496212</v>
      </c>
      <c r="Y2">
        <v>-6704.3479914665222</v>
      </c>
      <c r="Z2">
        <v>-2454.6564678251743</v>
      </c>
      <c r="AA2">
        <v>-7694.5097856521606</v>
      </c>
      <c r="AB2">
        <v>4889.886489674449</v>
      </c>
      <c r="AC2">
        <v>-632.14629663527012</v>
      </c>
      <c r="AD2">
        <v>-8950.7681282311678</v>
      </c>
      <c r="AE2">
        <v>-1177.8035930991173</v>
      </c>
      <c r="AF2">
        <v>91.846453413367271</v>
      </c>
      <c r="AG2">
        <v>-1880.6976952254772</v>
      </c>
      <c r="AH2">
        <v>1928.0225119441748</v>
      </c>
      <c r="AI2">
        <v>2132.0461440235376</v>
      </c>
      <c r="AJ2">
        <v>-3552.9458075612783</v>
      </c>
      <c r="AK2">
        <v>-1439.6362383365631</v>
      </c>
      <c r="AL2">
        <v>1731.9470317214727</v>
      </c>
      <c r="AM2">
        <v>-1347.1974207758904</v>
      </c>
      <c r="AN2">
        <v>1443.922518029809</v>
      </c>
      <c r="AO2">
        <v>1745.7479825019836</v>
      </c>
      <c r="AP2">
        <v>-4748.9748481065035</v>
      </c>
      <c r="AQ2">
        <v>1320.2176190316677</v>
      </c>
      <c r="AR2">
        <v>2088.2223905771971</v>
      </c>
      <c r="AS2">
        <v>1590.9800970554352</v>
      </c>
      <c r="AT2">
        <v>-301.22994881868362</v>
      </c>
      <c r="AU2">
        <v>-3137.7305590510368</v>
      </c>
      <c r="AV2">
        <v>691.78376500308514</v>
      </c>
      <c r="AW2">
        <v>94.559443324804306</v>
      </c>
      <c r="AX2">
        <v>1151.48182284832</v>
      </c>
    </row>
    <row r="3" spans="1:50" x14ac:dyDescent="0.25">
      <c r="A3">
        <v>119787074.87036133</v>
      </c>
      <c r="B3">
        <v>-583172489.12280273</v>
      </c>
      <c r="C3">
        <v>-753060223.4987793</v>
      </c>
      <c r="D3">
        <v>-813637597.05151367</v>
      </c>
      <c r="E3">
        <v>491572846.37231445</v>
      </c>
      <c r="F3">
        <v>54237533.486572266</v>
      </c>
      <c r="G3">
        <v>583741825.27368164</v>
      </c>
      <c r="H3">
        <v>-2853642.2741699219</v>
      </c>
      <c r="I3">
        <v>-969170400.77807617</v>
      </c>
      <c r="J3">
        <v>-44202479.459716797</v>
      </c>
      <c r="K3">
        <v>-244446811.75366211</v>
      </c>
      <c r="L3">
        <v>-578734650.83862305</v>
      </c>
      <c r="M3">
        <v>-371443950.76928711</v>
      </c>
      <c r="N3">
        <v>-869617591.91088867</v>
      </c>
      <c r="O3">
        <v>356021573.84204102</v>
      </c>
      <c r="P3">
        <v>570125673.98950195</v>
      </c>
      <c r="Q3">
        <v>-286829077.20288086</v>
      </c>
      <c r="R3">
        <v>318998447.98266602</v>
      </c>
      <c r="S3">
        <v>228856981.55395508</v>
      </c>
      <c r="T3">
        <v>-512422859.23608398</v>
      </c>
      <c r="U3">
        <v>306056989.4699707</v>
      </c>
      <c r="V3">
        <v>858295806.78344727</v>
      </c>
      <c r="W3">
        <v>148325231.62036133</v>
      </c>
      <c r="X3">
        <v>206739085.9152832</v>
      </c>
      <c r="Y3">
        <v>461842240.9230957</v>
      </c>
      <c r="Z3">
        <v>137844907.61743164</v>
      </c>
      <c r="AA3">
        <v>507553894.21606445</v>
      </c>
      <c r="AB3">
        <v>-349478896.94995117</v>
      </c>
      <c r="AC3">
        <v>70372766.471923828</v>
      </c>
      <c r="AD3">
        <v>623739745.5012207</v>
      </c>
      <c r="AE3">
        <v>111400266.42114258</v>
      </c>
      <c r="AF3">
        <v>10734223.457275391</v>
      </c>
      <c r="AG3">
        <v>125840102.3918457</v>
      </c>
      <c r="AH3">
        <v>-90942046.589599609</v>
      </c>
      <c r="AI3">
        <v>-156082530.05444336</v>
      </c>
      <c r="AJ3">
        <v>255120161.41137695</v>
      </c>
      <c r="AK3">
        <v>120269010.98754883</v>
      </c>
      <c r="AL3">
        <v>-112792565.99194336</v>
      </c>
      <c r="AM3">
        <v>98113026.104736328</v>
      </c>
      <c r="AN3">
        <v>-76425870.313232422</v>
      </c>
      <c r="AO3">
        <v>-122934276.55444336</v>
      </c>
      <c r="AP3">
        <v>301876646.89868164</v>
      </c>
      <c r="AQ3">
        <v>-79152754.035888672</v>
      </c>
      <c r="AR3">
        <v>-136807192.46948242</v>
      </c>
      <c r="AS3">
        <v>-73663293.515380859</v>
      </c>
      <c r="AT3">
        <v>55351559.017822266</v>
      </c>
      <c r="AU3">
        <v>208699039.47875977</v>
      </c>
      <c r="AV3">
        <v>-30876974.292724609</v>
      </c>
      <c r="AW3">
        <v>-17897660.609130859</v>
      </c>
      <c r="AX3">
        <v>-54870459.468505859</v>
      </c>
    </row>
    <row r="4" spans="1:50" x14ac:dyDescent="0.25">
      <c r="A4">
        <v>23467234.809829712</v>
      </c>
      <c r="B4">
        <v>-24836209.259994507</v>
      </c>
      <c r="C4">
        <v>-34450816.562850952</v>
      </c>
      <c r="D4">
        <v>-36564711.89805603</v>
      </c>
      <c r="E4">
        <v>31238318.63710022</v>
      </c>
      <c r="F4">
        <v>21334654.250015259</v>
      </c>
      <c r="G4">
        <v>35120383.849990845</v>
      </c>
      <c r="H4">
        <v>-1461482.0851898193</v>
      </c>
      <c r="I4">
        <v>-5498962.1874847412</v>
      </c>
      <c r="J4">
        <v>-8292241.1077728271</v>
      </c>
      <c r="K4">
        <v>-47623320.900985718</v>
      </c>
      <c r="L4">
        <v>787879.19789123535</v>
      </c>
      <c r="M4">
        <v>58003109.737930298</v>
      </c>
      <c r="N4">
        <v>-8477957.3941497803</v>
      </c>
      <c r="O4">
        <v>-6840520.3812103271</v>
      </c>
      <c r="P4">
        <v>-18315273.574813843</v>
      </c>
      <c r="Q4">
        <v>-4642134.6706390381</v>
      </c>
      <c r="R4">
        <v>13441817.559951782</v>
      </c>
      <c r="S4">
        <v>34320539.449478149</v>
      </c>
      <c r="T4">
        <v>-32029817.628768921</v>
      </c>
      <c r="U4">
        <v>-7662594.3785247803</v>
      </c>
      <c r="V4">
        <v>15760311.432998657</v>
      </c>
      <c r="W4">
        <v>-13001366.484603882</v>
      </c>
      <c r="X4">
        <v>-8544691.4100189209</v>
      </c>
      <c r="Y4">
        <v>-1021213.3102874756</v>
      </c>
      <c r="Z4">
        <v>4111955.5006256104</v>
      </c>
      <c r="AA4">
        <v>29302086.74647522</v>
      </c>
      <c r="AB4">
        <v>18083612.85987854</v>
      </c>
      <c r="AC4">
        <v>-5934691.5363616943</v>
      </c>
      <c r="AD4">
        <v>-8842006.4590911865</v>
      </c>
      <c r="AE4">
        <v>4430184.9879302979</v>
      </c>
      <c r="AF4">
        <v>21143866.194717407</v>
      </c>
      <c r="AG4">
        <v>-2730801.8204193115</v>
      </c>
      <c r="AH4">
        <v>-4451636.7952728271</v>
      </c>
      <c r="AI4">
        <v>20760644.246841431</v>
      </c>
      <c r="AJ4">
        <v>-11965136.432235718</v>
      </c>
      <c r="AK4">
        <v>-12082604.196273804</v>
      </c>
      <c r="AL4">
        <v>-2975791.4089202881</v>
      </c>
      <c r="AM4">
        <v>7105229.0754547119</v>
      </c>
      <c r="AN4">
        <v>3378665.3711090088</v>
      </c>
      <c r="AO4">
        <v>-3430369.5892181396</v>
      </c>
      <c r="AP4">
        <v>-6642462.8983001709</v>
      </c>
      <c r="AQ4">
        <v>-5068498.9206390381</v>
      </c>
      <c r="AR4">
        <v>-6909018.6230316162</v>
      </c>
      <c r="AS4">
        <v>-6670996.7186126709</v>
      </c>
      <c r="AT4">
        <v>-12821615.520370483</v>
      </c>
      <c r="AU4">
        <v>6525352.8061676025</v>
      </c>
      <c r="AV4">
        <v>-1440989.6058197021</v>
      </c>
      <c r="AW4">
        <v>2651307.8304595947</v>
      </c>
      <c r="AX4">
        <v>262775.99598693848</v>
      </c>
    </row>
    <row r="5" spans="1:50" x14ac:dyDescent="0.25">
      <c r="A5">
        <v>7026929616.953125</v>
      </c>
      <c r="B5">
        <v>-16215885904.015625</v>
      </c>
      <c r="C5">
        <v>-20334686428.734375</v>
      </c>
      <c r="D5">
        <v>-19086424769.203125</v>
      </c>
      <c r="E5">
        <v>12559971278.734375</v>
      </c>
      <c r="F5">
        <v>6224009223.578125</v>
      </c>
      <c r="G5">
        <v>17672818168.328125</v>
      </c>
      <c r="H5">
        <v>-490044704.015625</v>
      </c>
      <c r="I5">
        <v>-15536611793.265625</v>
      </c>
      <c r="J5">
        <v>-4483393337.921875</v>
      </c>
      <c r="K5">
        <v>-15333682355.890625</v>
      </c>
      <c r="L5">
        <v>-9748575955.421875</v>
      </c>
      <c r="M5">
        <v>6915146425.296875</v>
      </c>
      <c r="N5">
        <v>-19258708325.828125</v>
      </c>
      <c r="O5">
        <v>5927329250.640625</v>
      </c>
      <c r="P5">
        <v>4858704884.640625</v>
      </c>
      <c r="Q5">
        <v>-6757406501.140625</v>
      </c>
      <c r="R5">
        <v>9705480432.578125</v>
      </c>
      <c r="S5">
        <v>10773507593.796875</v>
      </c>
      <c r="T5">
        <v>-15838600342.890625</v>
      </c>
      <c r="U5">
        <v>4533490343.203125</v>
      </c>
      <c r="V5">
        <v>17912775286.421875</v>
      </c>
      <c r="W5">
        <v>-181231179.609375</v>
      </c>
      <c r="X5">
        <v>2368065900.609375</v>
      </c>
      <c r="Y5">
        <v>6585469217.859375</v>
      </c>
      <c r="Z5">
        <v>3096881507.171875</v>
      </c>
      <c r="AA5">
        <v>13442239752.921875</v>
      </c>
      <c r="AB5">
        <v>-1477707998.515625</v>
      </c>
      <c r="AC5">
        <v>-139890436.421875</v>
      </c>
      <c r="AD5">
        <v>8926757312.140625</v>
      </c>
      <c r="AE5">
        <v>2288850637.359375</v>
      </c>
      <c r="AF5">
        <v>4104127300.015625</v>
      </c>
      <c r="AG5">
        <v>1051380328.203125</v>
      </c>
      <c r="AH5">
        <v>-2608190380.828125</v>
      </c>
      <c r="AI5">
        <v>2005330696.140625</v>
      </c>
      <c r="AJ5">
        <v>2219729087.296875</v>
      </c>
      <c r="AK5">
        <v>-828670887.328125</v>
      </c>
      <c r="AL5">
        <v>-2085613914.578125</v>
      </c>
      <c r="AM5">
        <v>3755299303.453125</v>
      </c>
      <c r="AN5">
        <v>-928887036.890625</v>
      </c>
      <c r="AO5">
        <v>-2500818038.453125</v>
      </c>
      <c r="AP5">
        <v>4432464061.703125</v>
      </c>
      <c r="AQ5">
        <v>-2050746976.328125</v>
      </c>
      <c r="AR5">
        <v>-2958238708.609375</v>
      </c>
      <c r="AS5">
        <v>-3211126643.640625</v>
      </c>
      <c r="AT5">
        <v>-1800046748.578125</v>
      </c>
      <c r="AU5">
        <v>5595083793.296875</v>
      </c>
      <c r="AV5">
        <v>-575053241.171875</v>
      </c>
      <c r="AW5">
        <v>1148057549.109375</v>
      </c>
      <c r="AX5">
        <v>-699659334.140625</v>
      </c>
    </row>
    <row r="6" spans="1:50" x14ac:dyDescent="0.25">
      <c r="A6">
        <v>20565345.802520752</v>
      </c>
      <c r="B6">
        <v>-68063461.359710693</v>
      </c>
      <c r="C6">
        <v>-86943788.205047607</v>
      </c>
      <c r="D6">
        <v>-75283152.584686279</v>
      </c>
      <c r="E6">
        <v>51554515.825714111</v>
      </c>
      <c r="F6">
        <v>2344552.8418273926</v>
      </c>
      <c r="G6">
        <v>63922648.018218994</v>
      </c>
      <c r="H6">
        <v>-2542718.9887390137</v>
      </c>
      <c r="I6">
        <v>-81644597.825775146</v>
      </c>
      <c r="J6">
        <v>-21394462.924163818</v>
      </c>
      <c r="K6">
        <v>-40986906.648284912</v>
      </c>
      <c r="L6">
        <v>-57380084.409515381</v>
      </c>
      <c r="M6">
        <v>-14304311.590423584</v>
      </c>
      <c r="N6">
        <v>-95108251.646697998</v>
      </c>
      <c r="O6">
        <v>34865239.766265869</v>
      </c>
      <c r="P6">
        <v>48593432.388214111</v>
      </c>
      <c r="Q6">
        <v>-28469393.329193115</v>
      </c>
      <c r="R6">
        <v>42043146.88394165</v>
      </c>
      <c r="S6">
        <v>32258146.182403564</v>
      </c>
      <c r="T6">
        <v>-56784659.565887451</v>
      </c>
      <c r="U6">
        <v>26119216.147735596</v>
      </c>
      <c r="V6">
        <v>82655882.103302002</v>
      </c>
      <c r="W6">
        <v>11108066.743927002</v>
      </c>
      <c r="X6">
        <v>22718567.038116455</v>
      </c>
      <c r="Y6">
        <v>44597876.218414307</v>
      </c>
      <c r="Z6">
        <v>17899353.694732666</v>
      </c>
      <c r="AA6">
        <v>58131583.944000244</v>
      </c>
      <c r="AB6">
        <v>-29324936.370941162</v>
      </c>
      <c r="AC6">
        <v>1438166.5758361816</v>
      </c>
      <c r="AD6">
        <v>56275071.771148682</v>
      </c>
      <c r="AE6">
        <v>11290290.754669189</v>
      </c>
      <c r="AF6">
        <v>7641216.3124084473</v>
      </c>
      <c r="AG6">
        <v>16025839.077789307</v>
      </c>
      <c r="AH6">
        <v>-7092678.2746276855</v>
      </c>
      <c r="AI6">
        <v>-7760563.525970459</v>
      </c>
      <c r="AJ6">
        <v>17095044.0206604</v>
      </c>
      <c r="AK6">
        <v>5066649.8113098145</v>
      </c>
      <c r="AL6">
        <v>-10761082.900970459</v>
      </c>
      <c r="AM6">
        <v>11626336.365875244</v>
      </c>
      <c r="AN6">
        <v>-5860695.5378112793</v>
      </c>
      <c r="AO6">
        <v>-9775791.2579040527</v>
      </c>
      <c r="AP6">
        <v>29143768.97756958</v>
      </c>
      <c r="AQ6">
        <v>-10596693.559906006</v>
      </c>
      <c r="AR6">
        <v>-14717510.923431396</v>
      </c>
      <c r="AS6">
        <v>-10279642.567840576</v>
      </c>
      <c r="AT6">
        <v>2432226.2788391113</v>
      </c>
      <c r="AU6">
        <v>24119263.634796143</v>
      </c>
      <c r="AV6">
        <v>-1159368.5077819824</v>
      </c>
      <c r="AW6">
        <v>1367210.5659484863</v>
      </c>
      <c r="AX6">
        <v>-6663883.3042907715</v>
      </c>
    </row>
    <row r="7" spans="1:50" x14ac:dyDescent="0.25">
      <c r="A7">
        <v>-2590522.4078369141</v>
      </c>
      <c r="B7">
        <v>8763093.3929290771</v>
      </c>
      <c r="C7">
        <v>10537037.801879883</v>
      </c>
      <c r="D7">
        <v>10149140.282714844</v>
      </c>
      <c r="E7">
        <v>-6355003.8657531738</v>
      </c>
      <c r="F7">
        <v>-1657073.601272583</v>
      </c>
      <c r="G7">
        <v>-8816347.6471862793</v>
      </c>
      <c r="H7">
        <v>73265.729629516602</v>
      </c>
      <c r="I7">
        <v>10093902.433486938</v>
      </c>
      <c r="J7">
        <v>1776217.0584869385</v>
      </c>
      <c r="K7">
        <v>6120497.8143310547</v>
      </c>
      <c r="L7">
        <v>6299375.6644744873</v>
      </c>
      <c r="M7">
        <v>297559.54347229004</v>
      </c>
      <c r="N7">
        <v>11177467.530548096</v>
      </c>
      <c r="O7">
        <v>-3736496.8736419678</v>
      </c>
      <c r="P7">
        <v>-5035172.0025634766</v>
      </c>
      <c r="Q7">
        <v>3374065.4675445557</v>
      </c>
      <c r="R7">
        <v>-4808637.6674346924</v>
      </c>
      <c r="S7">
        <v>-4436530.1944580078</v>
      </c>
      <c r="T7">
        <v>7997977.3354034424</v>
      </c>
      <c r="U7">
        <v>-3073208.0614624023</v>
      </c>
      <c r="V7">
        <v>-10385006.304580688</v>
      </c>
      <c r="W7">
        <v>-917422.3597869873</v>
      </c>
      <c r="X7">
        <v>-2223224.4957580566</v>
      </c>
      <c r="Y7">
        <v>-4851676.3285827637</v>
      </c>
      <c r="Z7">
        <v>-1836061.5911102295</v>
      </c>
      <c r="AA7">
        <v>-7225626.8171844482</v>
      </c>
      <c r="AB7">
        <v>2809110.0292510986</v>
      </c>
      <c r="AC7">
        <v>-237141.53280639648</v>
      </c>
      <c r="AD7">
        <v>-6390269.4685821533</v>
      </c>
      <c r="AE7">
        <v>-1411526.2522888184</v>
      </c>
      <c r="AF7">
        <v>-1351319.1887512207</v>
      </c>
      <c r="AG7">
        <v>-1289920.6556549072</v>
      </c>
      <c r="AH7">
        <v>939998.2211151123</v>
      </c>
      <c r="AI7">
        <v>202205.60354614258</v>
      </c>
      <c r="AJ7">
        <v>-1909126.8062133789</v>
      </c>
      <c r="AK7">
        <v>-417256.3522644043</v>
      </c>
      <c r="AL7">
        <v>1290458.281539917</v>
      </c>
      <c r="AM7">
        <v>-1662094.6890869141</v>
      </c>
      <c r="AN7">
        <v>595987.61462402344</v>
      </c>
      <c r="AO7">
        <v>1395202.5884094238</v>
      </c>
      <c r="AP7">
        <v>-3053711.5927581787</v>
      </c>
      <c r="AQ7">
        <v>1207086.1915435791</v>
      </c>
      <c r="AR7">
        <v>1768767.0407867432</v>
      </c>
      <c r="AS7">
        <v>1242968.1076660156</v>
      </c>
      <c r="AT7">
        <v>24486.984268188477</v>
      </c>
      <c r="AU7">
        <v>-2994013.5280151367</v>
      </c>
      <c r="AV7">
        <v>199620.63037109375</v>
      </c>
      <c r="AW7">
        <v>-233640.03443908691</v>
      </c>
      <c r="AX7">
        <v>562538.97602844238</v>
      </c>
    </row>
    <row r="8" spans="1:50" x14ac:dyDescent="0.25">
      <c r="A8">
        <v>569929715.21240234</v>
      </c>
      <c r="B8">
        <v>-1239597425.277832</v>
      </c>
      <c r="C8">
        <v>-1596201215.0493164</v>
      </c>
      <c r="D8">
        <v>-1133768386.1430664</v>
      </c>
      <c r="E8">
        <v>720100362.16162109</v>
      </c>
      <c r="F8">
        <v>293919639.20849609</v>
      </c>
      <c r="G8">
        <v>1067751045.8608398</v>
      </c>
      <c r="H8">
        <v>-58443142.467285156</v>
      </c>
      <c r="I8">
        <v>-1063211092.0629883</v>
      </c>
      <c r="J8">
        <v>-526974784.68603516</v>
      </c>
      <c r="K8">
        <v>-760146995.72900391</v>
      </c>
      <c r="L8">
        <v>-862017509.65283203</v>
      </c>
      <c r="M8">
        <v>90910425.520996094</v>
      </c>
      <c r="N8">
        <v>-1645680646.6352539</v>
      </c>
      <c r="O8">
        <v>547983415.04833984</v>
      </c>
      <c r="P8">
        <v>515834513.44287109</v>
      </c>
      <c r="Q8">
        <v>-643285458.05126953</v>
      </c>
      <c r="R8">
        <v>797950138.47412109</v>
      </c>
      <c r="S8">
        <v>661894902.57763672</v>
      </c>
      <c r="T8">
        <v>-922564595.91650391</v>
      </c>
      <c r="U8">
        <v>503532213.20263672</v>
      </c>
      <c r="V8">
        <v>1243830931.0483398</v>
      </c>
      <c r="W8">
        <v>54301594.294433594</v>
      </c>
      <c r="X8">
        <v>281872550.41943359</v>
      </c>
      <c r="Y8">
        <v>515616075.95849609</v>
      </c>
      <c r="Z8">
        <v>238707044.24755859</v>
      </c>
      <c r="AA8">
        <v>796718971.08740234</v>
      </c>
      <c r="AB8">
        <v>-244539773.69189453</v>
      </c>
      <c r="AC8">
        <v>41128807.202636719</v>
      </c>
      <c r="AD8">
        <v>793375804.19677734</v>
      </c>
      <c r="AE8">
        <v>123850987.55224609</v>
      </c>
      <c r="AF8">
        <v>150550612.19482422</v>
      </c>
      <c r="AG8">
        <v>170846725.35498047</v>
      </c>
      <c r="AH8">
        <v>-170371523.79150391</v>
      </c>
      <c r="AI8">
        <v>-55893327.166503906</v>
      </c>
      <c r="AJ8">
        <v>304161636.82958984</v>
      </c>
      <c r="AK8">
        <v>-17176238.557128906</v>
      </c>
      <c r="AL8">
        <v>-118843940.16650391</v>
      </c>
      <c r="AM8">
        <v>288215851.86669922</v>
      </c>
      <c r="AN8">
        <v>-100933453.84814453</v>
      </c>
      <c r="AO8">
        <v>-105724748.72900391</v>
      </c>
      <c r="AP8">
        <v>522123819.10302734</v>
      </c>
      <c r="AQ8">
        <v>-91781439.645019531</v>
      </c>
      <c r="AR8">
        <v>-131826772.60986328</v>
      </c>
      <c r="AS8">
        <v>-268282505.28759766</v>
      </c>
      <c r="AT8">
        <v>-35295225.645019531</v>
      </c>
      <c r="AU8">
        <v>419463965.23193359</v>
      </c>
      <c r="AV8">
        <v>4252099.7592773438</v>
      </c>
      <c r="AW8">
        <v>128865858.13037109</v>
      </c>
      <c r="AX8">
        <v>-55129509.107910156</v>
      </c>
    </row>
    <row r="9" spans="1:50" x14ac:dyDescent="0.25">
      <c r="A9">
        <v>-22935619.924041748</v>
      </c>
      <c r="B9">
        <v>54016092.371612549</v>
      </c>
      <c r="C9">
        <v>69064728.899200439</v>
      </c>
      <c r="D9">
        <v>63513079.720001221</v>
      </c>
      <c r="E9">
        <v>-42546785.679290771</v>
      </c>
      <c r="F9">
        <v>-18047419.338104248</v>
      </c>
      <c r="G9">
        <v>-56412107.630950928</v>
      </c>
      <c r="H9">
        <v>1602338.8348693848</v>
      </c>
      <c r="I9">
        <v>55223629.652496338</v>
      </c>
      <c r="J9">
        <v>14637288.694854736</v>
      </c>
      <c r="K9">
        <v>46639027.344146729</v>
      </c>
      <c r="L9">
        <v>34975331.811676025</v>
      </c>
      <c r="M9">
        <v>-17652945.519622803</v>
      </c>
      <c r="N9">
        <v>65089003.772857666</v>
      </c>
      <c r="O9">
        <v>-20559870.948455811</v>
      </c>
      <c r="P9">
        <v>-20190424.684539795</v>
      </c>
      <c r="Q9">
        <v>23382713.827056885</v>
      </c>
      <c r="R9">
        <v>-32245155.78793335</v>
      </c>
      <c r="S9">
        <v>-34896627.548187256</v>
      </c>
      <c r="T9">
        <v>50998564.926055908</v>
      </c>
      <c r="U9">
        <v>-16775880.637786865</v>
      </c>
      <c r="V9">
        <v>-60109703.599700928</v>
      </c>
      <c r="W9">
        <v>-844205.97811889648</v>
      </c>
      <c r="X9">
        <v>-9165377.3936462402</v>
      </c>
      <c r="Y9">
        <v>-23625087.503387451</v>
      </c>
      <c r="Z9">
        <v>-10818975.222747803</v>
      </c>
      <c r="AA9">
        <v>-44674460.184417725</v>
      </c>
      <c r="AB9">
        <v>8238754.5011291504</v>
      </c>
      <c r="AC9">
        <v>-270520.65963745117</v>
      </c>
      <c r="AD9">
        <v>-31770805.787322998</v>
      </c>
      <c r="AE9">
        <v>-7913492.7641296387</v>
      </c>
      <c r="AF9">
        <v>-12298387.856170654</v>
      </c>
      <c r="AG9">
        <v>-5066364.0577087402</v>
      </c>
      <c r="AH9">
        <v>8061578.5487365723</v>
      </c>
      <c r="AI9">
        <v>-3973093.7618103027</v>
      </c>
      <c r="AJ9">
        <v>-8562558.0784606934</v>
      </c>
      <c r="AK9">
        <v>1430446.0984191895</v>
      </c>
      <c r="AL9">
        <v>7301900.7833557129</v>
      </c>
      <c r="AM9">
        <v>-11984995.861663818</v>
      </c>
      <c r="AN9">
        <v>3101186.7605285645</v>
      </c>
      <c r="AO9">
        <v>8155938.3393859863</v>
      </c>
      <c r="AP9">
        <v>-16635252.38168335</v>
      </c>
      <c r="AQ9">
        <v>6749579.9923400879</v>
      </c>
      <c r="AR9">
        <v>10198520.021026611</v>
      </c>
      <c r="AS9">
        <v>10198812.951080322</v>
      </c>
      <c r="AT9">
        <v>4528849.7333068848</v>
      </c>
      <c r="AU9">
        <v>-18351644.839691162</v>
      </c>
      <c r="AV9">
        <v>1739972.396270752</v>
      </c>
      <c r="AW9">
        <v>-3192528.5586853027</v>
      </c>
      <c r="AX9">
        <v>2672952.0773010254</v>
      </c>
    </row>
    <row r="10" spans="1:50" x14ac:dyDescent="0.25">
      <c r="A10">
        <v>-407087.91334366798</v>
      </c>
      <c r="B10">
        <v>584491.17074561119</v>
      </c>
      <c r="C10">
        <v>836308.24038863182</v>
      </c>
      <c r="D10">
        <v>466630.8580186367</v>
      </c>
      <c r="E10">
        <v>-349176.75483345985</v>
      </c>
      <c r="F10">
        <v>-180997.0040667057</v>
      </c>
      <c r="G10">
        <v>-393510.13552689552</v>
      </c>
      <c r="H10">
        <v>42024.20152258873</v>
      </c>
      <c r="I10">
        <v>275317.26369071007</v>
      </c>
      <c r="J10">
        <v>262029.90970015526</v>
      </c>
      <c r="K10">
        <v>420724.75800299644</v>
      </c>
      <c r="L10">
        <v>191572.52938628197</v>
      </c>
      <c r="M10">
        <v>-437288.2895796299</v>
      </c>
      <c r="N10">
        <v>552770.46962714195</v>
      </c>
      <c r="O10">
        <v>-80549.317672967911</v>
      </c>
      <c r="P10">
        <v>-25035.175659418106</v>
      </c>
      <c r="Q10">
        <v>244386.65892767906</v>
      </c>
      <c r="R10">
        <v>-447180.17887330055</v>
      </c>
      <c r="S10">
        <v>-389994.44785523415</v>
      </c>
      <c r="T10">
        <v>448935.43611693382</v>
      </c>
      <c r="U10">
        <v>-130928.42095971107</v>
      </c>
      <c r="V10">
        <v>-412112.11751008034</v>
      </c>
      <c r="W10">
        <v>55007.026445150375</v>
      </c>
      <c r="X10">
        <v>-61472.443689584732</v>
      </c>
      <c r="Y10">
        <v>-107779.43775200844</v>
      </c>
      <c r="Z10">
        <v>-115510.58449578285</v>
      </c>
      <c r="AA10">
        <v>-375277.36017632484</v>
      </c>
      <c r="AB10">
        <v>-9893.2058069705963</v>
      </c>
      <c r="AC10">
        <v>18618.285686254501</v>
      </c>
      <c r="AD10">
        <v>-162906.70645165443</v>
      </c>
      <c r="AE10">
        <v>-24558.440347909927</v>
      </c>
      <c r="AF10">
        <v>-148593.36068558693</v>
      </c>
      <c r="AG10">
        <v>-54697.522283792496</v>
      </c>
      <c r="AH10">
        <v>61845.799134969711</v>
      </c>
      <c r="AI10">
        <v>-115362.59190583229</v>
      </c>
      <c r="AJ10">
        <v>-16704.555153131485</v>
      </c>
      <c r="AK10">
        <v>109291.03874945641</v>
      </c>
      <c r="AL10">
        <v>37900.821433782578</v>
      </c>
      <c r="AM10">
        <v>-129658.99240517616</v>
      </c>
      <c r="AN10">
        <v>3184.3554093837738</v>
      </c>
      <c r="AO10">
        <v>22001.707122564316</v>
      </c>
      <c r="AP10">
        <v>-148424.16035103798</v>
      </c>
      <c r="AQ10">
        <v>47291.801685094833</v>
      </c>
      <c r="AR10">
        <v>62580.027141332626</v>
      </c>
      <c r="AS10">
        <v>133066.69887328148</v>
      </c>
      <c r="AT10">
        <v>81910.777509450912</v>
      </c>
      <c r="AU10">
        <v>-156026.82148385048</v>
      </c>
      <c r="AV10">
        <v>-16513.433338403702</v>
      </c>
      <c r="AW10">
        <v>-72834.818920373917</v>
      </c>
      <c r="AX10">
        <v>12184.357829809189</v>
      </c>
    </row>
    <row r="11" spans="1:50" x14ac:dyDescent="0.25">
      <c r="A11">
        <v>-3850604.3859558105</v>
      </c>
      <c r="B11">
        <v>10831810.354125977</v>
      </c>
      <c r="C11">
        <v>13098338.196594238</v>
      </c>
      <c r="D11">
        <v>11157289.124221802</v>
      </c>
      <c r="E11">
        <v>-7413508.2574157715</v>
      </c>
      <c r="F11">
        <v>-1904952.6309509277</v>
      </c>
      <c r="G11">
        <v>-10101861.505630493</v>
      </c>
      <c r="H11">
        <v>258957.02795410156</v>
      </c>
      <c r="I11">
        <v>10174184.187530518</v>
      </c>
      <c r="J11">
        <v>3186804.4631347656</v>
      </c>
      <c r="K11">
        <v>8021421.5063323975</v>
      </c>
      <c r="L11">
        <v>6901737.0997924805</v>
      </c>
      <c r="M11">
        <v>-1906609.1350402832</v>
      </c>
      <c r="N11">
        <v>13085766.045501709</v>
      </c>
      <c r="O11">
        <v>-3980439.2613830566</v>
      </c>
      <c r="P11">
        <v>-4826426.6581115723</v>
      </c>
      <c r="Q11">
        <v>3879813.9670715332</v>
      </c>
      <c r="R11">
        <v>-6344235.7131347656</v>
      </c>
      <c r="S11">
        <v>-5943000.2525634766</v>
      </c>
      <c r="T11">
        <v>9582986.5880126953</v>
      </c>
      <c r="U11">
        <v>-3152628.0331420898</v>
      </c>
      <c r="V11">
        <v>-11409555.691619873</v>
      </c>
      <c r="W11">
        <v>-665381.67956542969</v>
      </c>
      <c r="X11">
        <v>-2559252.6067199707</v>
      </c>
      <c r="Y11">
        <v>-5185723.6479797363</v>
      </c>
      <c r="Z11">
        <v>-2352297.4039001465</v>
      </c>
      <c r="AA11">
        <v>-8745506.4381713867</v>
      </c>
      <c r="AB11">
        <v>2623529.1557312012</v>
      </c>
      <c r="AC11">
        <v>137099.47396850586</v>
      </c>
      <c r="AD11">
        <v>-6559379.6817016602</v>
      </c>
      <c r="AE11">
        <v>-1549212.9080200195</v>
      </c>
      <c r="AF11">
        <v>-2075368.042755127</v>
      </c>
      <c r="AG11">
        <v>-1634647.9273681641</v>
      </c>
      <c r="AH11">
        <v>911617.46829223633</v>
      </c>
      <c r="AI11">
        <v>-484811.32626342773</v>
      </c>
      <c r="AJ11">
        <v>-1449416.8316040039</v>
      </c>
      <c r="AK11">
        <v>150225.59823608398</v>
      </c>
      <c r="AL11">
        <v>1413954.0380249023</v>
      </c>
      <c r="AM11">
        <v>-2055226.0013427734</v>
      </c>
      <c r="AN11">
        <v>485778.53356933594</v>
      </c>
      <c r="AO11">
        <v>1364001.3895874023</v>
      </c>
      <c r="AP11">
        <v>-3341750.4609069824</v>
      </c>
      <c r="AQ11">
        <v>1523574.4671325684</v>
      </c>
      <c r="AR11">
        <v>2064641.6555175781</v>
      </c>
      <c r="AS11">
        <v>1654479.7072143555</v>
      </c>
      <c r="AT11">
        <v>339711.65649414063</v>
      </c>
      <c r="AU11">
        <v>-3583868.2791137695</v>
      </c>
      <c r="AV11">
        <v>70089.662292480469</v>
      </c>
      <c r="AW11">
        <v>-524753.44879150391</v>
      </c>
      <c r="AX11">
        <v>682606.73568725586</v>
      </c>
    </row>
    <row r="12" spans="1:50" x14ac:dyDescent="0.25">
      <c r="A12">
        <v>-1716977.5487856865</v>
      </c>
      <c r="B12">
        <v>-1328269.1030888557</v>
      </c>
      <c r="C12">
        <v>-890934.47124147415</v>
      </c>
      <c r="D12">
        <v>257953.34870195389</v>
      </c>
      <c r="E12">
        <v>-602330.45073270798</v>
      </c>
      <c r="F12">
        <v>-1533826.577059269</v>
      </c>
      <c r="G12">
        <v>-310944.70305776596</v>
      </c>
      <c r="H12">
        <v>527355.92769479752</v>
      </c>
      <c r="I12">
        <v>-842780.30829954147</v>
      </c>
      <c r="J12">
        <v>-36571.213372707367</v>
      </c>
      <c r="K12">
        <v>270944.77580022812</v>
      </c>
      <c r="L12">
        <v>-14591.09454202652</v>
      </c>
      <c r="M12">
        <v>-802502.28412771225</v>
      </c>
      <c r="N12">
        <v>-1466073.8633608818</v>
      </c>
      <c r="O12">
        <v>497702.79680013657</v>
      </c>
      <c r="P12">
        <v>1575354.0009264946</v>
      </c>
      <c r="Q12">
        <v>1007184.5905652046</v>
      </c>
      <c r="R12">
        <v>1208151.1489291191</v>
      </c>
      <c r="S12">
        <v>-1013209.6579222679</v>
      </c>
      <c r="T12">
        <v>-1545834.4407353401</v>
      </c>
      <c r="U12">
        <v>230825.90592908859</v>
      </c>
      <c r="V12">
        <v>1195483.0945096016</v>
      </c>
      <c r="W12">
        <v>1097757.5180954933</v>
      </c>
      <c r="X12">
        <v>1363934.6426520348</v>
      </c>
      <c r="Y12">
        <v>799005.0775475502</v>
      </c>
      <c r="Z12">
        <v>613775.96378469467</v>
      </c>
      <c r="AA12">
        <v>873138.85481214523</v>
      </c>
      <c r="AB12">
        <v>-1848504.034673214</v>
      </c>
      <c r="AC12">
        <v>-208273.84484815598</v>
      </c>
      <c r="AD12">
        <v>1010596.1370444298</v>
      </c>
      <c r="AE12">
        <v>42033.299135684967</v>
      </c>
      <c r="AF12">
        <v>-331440.53065061569</v>
      </c>
      <c r="AG12">
        <v>473386.35092496872</v>
      </c>
      <c r="AH12">
        <v>883431.25361394882</v>
      </c>
      <c r="AI12">
        <v>179644.46663618088</v>
      </c>
      <c r="AJ12">
        <v>-305030.11676168442</v>
      </c>
      <c r="AK12">
        <v>261654.24323320389</v>
      </c>
      <c r="AL12">
        <v>-119691.35469388962</v>
      </c>
      <c r="AM12">
        <v>-251740.63312768936</v>
      </c>
      <c r="AN12">
        <v>136843.63275098801</v>
      </c>
      <c r="AO12">
        <v>-125727.55861139297</v>
      </c>
      <c r="AP12">
        <v>100692.96917104721</v>
      </c>
      <c r="AQ12">
        <v>-487515.65941381454</v>
      </c>
      <c r="AR12">
        <v>-432526.56637525558</v>
      </c>
      <c r="AS12">
        <v>552043.65206289291</v>
      </c>
      <c r="AT12">
        <v>702744.7498459816</v>
      </c>
      <c r="AU12">
        <v>395026.56724977493</v>
      </c>
      <c r="AV12">
        <v>297919.72279500961</v>
      </c>
      <c r="AW12">
        <v>-136880.11860132217</v>
      </c>
      <c r="AX12">
        <v>-202408.55547380447</v>
      </c>
    </row>
    <row r="13" spans="1:50" x14ac:dyDescent="0.25">
      <c r="A13">
        <v>-5550617.559337616</v>
      </c>
      <c r="B13">
        <v>8516364.0676460266</v>
      </c>
      <c r="C13">
        <v>11882239.134204865</v>
      </c>
      <c r="D13">
        <v>9014508.3188362122</v>
      </c>
      <c r="E13">
        <v>-6690359.1692619324</v>
      </c>
      <c r="F13">
        <v>-3781310.4596061707</v>
      </c>
      <c r="G13">
        <v>-8355760.2008476257</v>
      </c>
      <c r="H13">
        <v>1152094.3162727356</v>
      </c>
      <c r="I13">
        <v>6844907.469959259</v>
      </c>
      <c r="J13">
        <v>4099687.6956977844</v>
      </c>
      <c r="K13">
        <v>7941204.3967170715</v>
      </c>
      <c r="L13">
        <v>5767496.862323761</v>
      </c>
      <c r="M13">
        <v>-4781628.2468223572</v>
      </c>
      <c r="N13">
        <v>11206762.516010284</v>
      </c>
      <c r="O13">
        <v>-4053497.838054657</v>
      </c>
      <c r="P13">
        <v>-1729650.9281730652</v>
      </c>
      <c r="Q13">
        <v>5081068.6750679016</v>
      </c>
      <c r="R13">
        <v>-6566605.9974784851</v>
      </c>
      <c r="S13">
        <v>-6441468.7346305847</v>
      </c>
      <c r="T13">
        <v>7266825.7854499817</v>
      </c>
      <c r="U13">
        <v>-2724404.4520683289</v>
      </c>
      <c r="V13">
        <v>-8930264.1427116394</v>
      </c>
      <c r="W13">
        <v>326678.01924514771</v>
      </c>
      <c r="X13">
        <v>-1259807.2580986023</v>
      </c>
      <c r="Y13">
        <v>-3160460.4401054382</v>
      </c>
      <c r="Z13">
        <v>-1831421.1164360046</v>
      </c>
      <c r="AA13">
        <v>-6504144.2994194031</v>
      </c>
      <c r="AB13">
        <v>-30656.183361053467</v>
      </c>
      <c r="AC13">
        <v>155122.58909988403</v>
      </c>
      <c r="AD13">
        <v>-4616772.1144523621</v>
      </c>
      <c r="AE13">
        <v>-738837.05213546753</v>
      </c>
      <c r="AF13">
        <v>-1896305.7150382996</v>
      </c>
      <c r="AG13">
        <v>-629300.56525802612</v>
      </c>
      <c r="AH13">
        <v>2241077.17345047</v>
      </c>
      <c r="AI13">
        <v>-716688.55353927612</v>
      </c>
      <c r="AJ13">
        <v>-1618878.3461112976</v>
      </c>
      <c r="AK13">
        <v>826028.47633743286</v>
      </c>
      <c r="AL13">
        <v>948445.9776802063</v>
      </c>
      <c r="AM13">
        <v>-2218293.2257499695</v>
      </c>
      <c r="AN13">
        <v>902033.62623977661</v>
      </c>
      <c r="AO13">
        <v>981382.84450149536</v>
      </c>
      <c r="AP13">
        <v>-3140003.8649711609</v>
      </c>
      <c r="AQ13">
        <v>828849.17485427856</v>
      </c>
      <c r="AR13">
        <v>1146717.4122505188</v>
      </c>
      <c r="AS13">
        <v>2560831.9300117493</v>
      </c>
      <c r="AT13">
        <v>1457129.8947944641</v>
      </c>
      <c r="AU13">
        <v>-3051282.2885246277</v>
      </c>
      <c r="AV13">
        <v>432490.17998123169</v>
      </c>
      <c r="AW13">
        <v>-1086499.8938407898</v>
      </c>
      <c r="AX13">
        <v>524972.08931350708</v>
      </c>
    </row>
    <row r="14" spans="1:50" x14ac:dyDescent="0.25">
      <c r="A14">
        <v>4166307.7017211914</v>
      </c>
      <c r="B14">
        <v>-12301158.569946289</v>
      </c>
      <c r="C14">
        <v>-14879107.461975098</v>
      </c>
      <c r="D14">
        <v>-13299224.734619141</v>
      </c>
      <c r="E14">
        <v>8643171.9214172363</v>
      </c>
      <c r="F14">
        <v>2453160.7417602539</v>
      </c>
      <c r="G14">
        <v>11716447.878295898</v>
      </c>
      <c r="H14">
        <v>-285194.41363525391</v>
      </c>
      <c r="I14">
        <v>-12683831.954040527</v>
      </c>
      <c r="J14">
        <v>-3071474.313873291</v>
      </c>
      <c r="K14">
        <v>-8931517.37109375</v>
      </c>
      <c r="L14">
        <v>-8259176.6491394043</v>
      </c>
      <c r="M14">
        <v>1398848.7579650879</v>
      </c>
      <c r="N14">
        <v>-15208889.239990234</v>
      </c>
      <c r="O14">
        <v>4900254.0189819336</v>
      </c>
      <c r="P14">
        <v>6037131.5998535156</v>
      </c>
      <c r="Q14">
        <v>-4681658.2235717773</v>
      </c>
      <c r="R14">
        <v>7126724.0896911621</v>
      </c>
      <c r="S14">
        <v>6632958.226776123</v>
      </c>
      <c r="T14">
        <v>-11075879.957214355</v>
      </c>
      <c r="U14">
        <v>3953987.2626647949</v>
      </c>
      <c r="V14">
        <v>13636860.973754883</v>
      </c>
      <c r="W14">
        <v>982786.84390258789</v>
      </c>
      <c r="X14">
        <v>2980840.941619873</v>
      </c>
      <c r="Y14">
        <v>6157350.9616088867</v>
      </c>
      <c r="Z14">
        <v>2609146.3510742188</v>
      </c>
      <c r="AA14">
        <v>9961253.2754821777</v>
      </c>
      <c r="AB14">
        <v>-3312642.469909668</v>
      </c>
      <c r="AC14">
        <v>65483.572418212891</v>
      </c>
      <c r="AD14">
        <v>8027472.4452209473</v>
      </c>
      <c r="AE14">
        <v>1800894.4431762695</v>
      </c>
      <c r="AF14">
        <v>2121142.8317260742</v>
      </c>
      <c r="AG14">
        <v>1741764.7407836914</v>
      </c>
      <c r="AH14">
        <v>-1234891.2078552246</v>
      </c>
      <c r="AI14">
        <v>222174.12017822266</v>
      </c>
      <c r="AJ14">
        <v>2103165.1948852539</v>
      </c>
      <c r="AK14">
        <v>141910.83166503906</v>
      </c>
      <c r="AL14">
        <v>-1697141.4371032715</v>
      </c>
      <c r="AM14">
        <v>2348641.8895874023</v>
      </c>
      <c r="AN14">
        <v>-698985.17922973633</v>
      </c>
      <c r="AO14">
        <v>-1740478.2619934082</v>
      </c>
      <c r="AP14">
        <v>4034020.4988708496</v>
      </c>
      <c r="AQ14">
        <v>-1682107.2933044434</v>
      </c>
      <c r="AR14">
        <v>-2390441.6742858887</v>
      </c>
      <c r="AS14">
        <v>-1865244.5278015137</v>
      </c>
      <c r="AT14">
        <v>-299985.75186157227</v>
      </c>
      <c r="AU14">
        <v>4117890.4565734863</v>
      </c>
      <c r="AV14">
        <v>-204631.15704345703</v>
      </c>
      <c r="AW14">
        <v>499799.9130859375</v>
      </c>
      <c r="AX14">
        <v>-777930.54800415039</v>
      </c>
    </row>
    <row r="15" spans="1:50" x14ac:dyDescent="0.25">
      <c r="A15">
        <v>13152836.361782074</v>
      </c>
      <c r="B15">
        <v>-8073158.7631874084</v>
      </c>
      <c r="C15">
        <v>-14771079.816989899</v>
      </c>
      <c r="D15">
        <v>-8643095.4020118713</v>
      </c>
      <c r="E15">
        <v>8766272.9892539978</v>
      </c>
      <c r="F15">
        <v>7143463.8859519958</v>
      </c>
      <c r="G15">
        <v>6344200.6730308533</v>
      </c>
      <c r="H15">
        <v>-3314881.2041664124</v>
      </c>
      <c r="I15">
        <v>-1805926.7649269104</v>
      </c>
      <c r="J15">
        <v>-4872886.1436500549</v>
      </c>
      <c r="K15">
        <v>-9753075.1221961975</v>
      </c>
      <c r="L15">
        <v>-2086173.5117225647</v>
      </c>
      <c r="M15">
        <v>14979899.980983734</v>
      </c>
      <c r="N15">
        <v>-5992042.4885902405</v>
      </c>
      <c r="O15">
        <v>73179.273952484131</v>
      </c>
      <c r="P15">
        <v>-4638044.1801185608</v>
      </c>
      <c r="Q15">
        <v>-6557071.2529029846</v>
      </c>
      <c r="R15">
        <v>8157935.4042930603</v>
      </c>
      <c r="S15">
        <v>10526295.098445892</v>
      </c>
      <c r="T15">
        <v>-5832173.1195411682</v>
      </c>
      <c r="U15">
        <v>672699.44375228882</v>
      </c>
      <c r="V15">
        <v>4477144.029750824</v>
      </c>
      <c r="W15">
        <v>-3431999.3176002502</v>
      </c>
      <c r="X15">
        <v>-1748645.8323097229</v>
      </c>
      <c r="Y15">
        <v>-267826.50064468384</v>
      </c>
      <c r="Z15">
        <v>1445595.9514122009</v>
      </c>
      <c r="AA15">
        <v>6017853.2284202576</v>
      </c>
      <c r="AB15">
        <v>4978861.658870697</v>
      </c>
      <c r="AC15">
        <v>-640684.77951431274</v>
      </c>
      <c r="AD15">
        <v>-533213.51193618774</v>
      </c>
      <c r="AE15">
        <v>-204833.08270645142</v>
      </c>
      <c r="AF15">
        <v>3926044.3327598572</v>
      </c>
      <c r="AG15">
        <v>-238337.95453262329</v>
      </c>
      <c r="AH15">
        <v>-3656481.2318458557</v>
      </c>
      <c r="AI15">
        <v>3272620.8411521912</v>
      </c>
      <c r="AJ15">
        <v>-187918.73129653931</v>
      </c>
      <c r="AK15">
        <v>-3471481.1743812561</v>
      </c>
      <c r="AL15">
        <v>-550984.31756973267</v>
      </c>
      <c r="AM15">
        <v>2603117.50182724</v>
      </c>
      <c r="AN15">
        <v>-413777.08670425415</v>
      </c>
      <c r="AO15">
        <v>-224015.32193374634</v>
      </c>
      <c r="AP15">
        <v>1776070.3841209412</v>
      </c>
      <c r="AQ15">
        <v>-307623.26803970337</v>
      </c>
      <c r="AR15">
        <v>-712361.91604995728</v>
      </c>
      <c r="AS15">
        <v>-4011949.9043617249</v>
      </c>
      <c r="AT15">
        <v>-4080438.5899085999</v>
      </c>
      <c r="AU15">
        <v>1889766.4947166443</v>
      </c>
      <c r="AV15">
        <v>-664954.8212928772</v>
      </c>
      <c r="AW15">
        <v>1661290.7803611755</v>
      </c>
      <c r="AX15">
        <v>-178013.18948745728</v>
      </c>
    </row>
    <row r="16" spans="1:50" x14ac:dyDescent="0.25">
      <c r="A16">
        <v>119.63827459723689</v>
      </c>
      <c r="B16">
        <v>-257.44090620963834</v>
      </c>
      <c r="C16">
        <v>-341.44101085723378</v>
      </c>
      <c r="D16">
        <v>-224.6434439055156</v>
      </c>
      <c r="E16">
        <v>78.842937272740528</v>
      </c>
      <c r="F16">
        <v>66.557473531691357</v>
      </c>
      <c r="G16">
        <v>250.46758410637267</v>
      </c>
      <c r="H16">
        <v>98.231986556900665</v>
      </c>
      <c r="I16">
        <v>-145.99499598448165</v>
      </c>
      <c r="J16">
        <v>-123.79671301902272</v>
      </c>
      <c r="K16">
        <v>-92.924797887681052</v>
      </c>
      <c r="L16">
        <v>-112.53038638201542</v>
      </c>
      <c r="M16">
        <v>-56.346193097764626</v>
      </c>
      <c r="N16">
        <v>-243.32284727995284</v>
      </c>
      <c r="O16">
        <v>-23.54343443014659</v>
      </c>
      <c r="P16">
        <v>50.090715861180797</v>
      </c>
      <c r="Q16">
        <v>-110.98585623619147</v>
      </c>
      <c r="R16">
        <v>33.49749089893885</v>
      </c>
      <c r="S16">
        <v>125.1584625702817</v>
      </c>
      <c r="T16">
        <v>-123.81339836935513</v>
      </c>
      <c r="U16">
        <v>127.2083941383753</v>
      </c>
      <c r="V16">
        <v>151.72579097398557</v>
      </c>
      <c r="W16">
        <v>-65.542354380944744</v>
      </c>
      <c r="X16">
        <v>-10.878587132552639</v>
      </c>
      <c r="Y16">
        <v>29.484739975305274</v>
      </c>
      <c r="Z16">
        <v>-2.9025622142944485</v>
      </c>
      <c r="AA16">
        <v>82.943926776992157</v>
      </c>
      <c r="AB16">
        <v>-3.9275897911284119</v>
      </c>
      <c r="AC16">
        <v>42.819467314286157</v>
      </c>
      <c r="AD16">
        <v>94.910156138939783</v>
      </c>
      <c r="AE16">
        <v>37.960730715887621</v>
      </c>
      <c r="AF16">
        <v>60.444645579205826</v>
      </c>
      <c r="AG16">
        <v>36.138318053213879</v>
      </c>
      <c r="AH16">
        <v>25.760166712803766</v>
      </c>
      <c r="AI16">
        <v>-21.134242911124602</v>
      </c>
      <c r="AJ16">
        <v>56.922970862826332</v>
      </c>
      <c r="AK16">
        <v>-26.606894256779924</v>
      </c>
      <c r="AL16">
        <v>0.42055589496158063</v>
      </c>
      <c r="AM16">
        <v>88.832828456768766</v>
      </c>
      <c r="AN16">
        <v>22.159377304604277</v>
      </c>
      <c r="AO16">
        <v>14.727009074995294</v>
      </c>
      <c r="AP16">
        <v>98.90224612201564</v>
      </c>
      <c r="AQ16">
        <v>23.105184459825978</v>
      </c>
      <c r="AR16">
        <v>18.201482970966026</v>
      </c>
      <c r="AS16">
        <v>-42.15500471345149</v>
      </c>
      <c r="AT16">
        <v>18.162124321097508</v>
      </c>
      <c r="AU16">
        <v>59.721634946065024</v>
      </c>
      <c r="AV16">
        <v>43.316564481938258</v>
      </c>
      <c r="AW16">
        <v>38.79866884672083</v>
      </c>
      <c r="AX16">
        <v>35.779310354730114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C17"/>
  <sheetViews>
    <sheetView zoomScale="190" zoomScaleNormal="190" workbookViewId="0">
      <selection activeCell="C3" sqref="C3:C17"/>
    </sheetView>
  </sheetViews>
  <sheetFormatPr defaultRowHeight="15" x14ac:dyDescent="0.25"/>
  <cols>
    <col min="2" max="2" width="15.42578125" bestFit="1" customWidth="1"/>
    <col min="3" max="3" width="20.7109375" bestFit="1" customWidth="1"/>
  </cols>
  <sheetData>
    <row r="1" spans="1:3" x14ac:dyDescent="0.25">
      <c r="A1" t="s">
        <v>11</v>
      </c>
    </row>
    <row r="2" spans="1:3" x14ac:dyDescent="0.25">
      <c r="A2" t="s">
        <v>12</v>
      </c>
      <c r="B2" t="s">
        <v>13</v>
      </c>
      <c r="C2" t="s">
        <v>14</v>
      </c>
    </row>
    <row r="3" spans="1:3" x14ac:dyDescent="0.25">
      <c r="A3" t="s">
        <v>15</v>
      </c>
      <c r="B3">
        <f t="array" ref="B3:B17">MMULT('Matrix (((R)^t.(R))^(-1)).(R)^t'!$A$2:$AX$16,'Tabela Entrada-Saída'!$P$2:$P$51)</f>
        <v>-325805.67108412483</v>
      </c>
      <c r="C3">
        <f>EXP(((-1)/(2*'Cálculos Diversos'!$B$5))*(SQRT(SUMXMY2(Formulário!$B$1:$B$14,'Coordenadas dos Polos'!$P$2:$AC$2)))^2)</f>
        <v>0.14875700933811278</v>
      </c>
    </row>
    <row r="4" spans="1:3" x14ac:dyDescent="0.25">
      <c r="A4" t="s">
        <v>16</v>
      </c>
      <c r="B4">
        <v>-58423516416.345306</v>
      </c>
      <c r="C4">
        <f>EXP(((-1)/(2*'Cálculos Diversos'!$B$5))*(SQRT(SUMXMY2(Formulário!$B$1:$B$14,'Coordenadas dos Polos'!$AD$2:$AQ$2)))^2)</f>
        <v>5.0035352895878265E-6</v>
      </c>
    </row>
    <row r="5" spans="1:3" x14ac:dyDescent="0.25">
      <c r="A5" t="s">
        <v>23</v>
      </c>
      <c r="B5">
        <v>-20498575756.924614</v>
      </c>
      <c r="C5">
        <f>EXP(((-1)/(2*'Cálculos Diversos'!$B$5))*(SQRT(SUMXMY2(Formulário!$B$1:$B$14,'Coordenadas dos Polos'!$AR$2:$BE$2)))^2)</f>
        <v>8.3047181496097102E-5</v>
      </c>
    </row>
    <row r="6" spans="1:3" x14ac:dyDescent="0.25">
      <c r="A6" t="s">
        <v>24</v>
      </c>
      <c r="B6">
        <v>-2951912737369.3906</v>
      </c>
      <c r="C6">
        <f>EXP(((-1)/(2*'Cálculos Diversos'!$B$5))*(SQRT(SUMXMY2(Formulário!$B$1:$B$14,'Coordenadas dos Polos'!$BF$2:$BS$2)))^2)</f>
        <v>1.0315360513260293E-6</v>
      </c>
    </row>
    <row r="7" spans="1:3" x14ac:dyDescent="0.25">
      <c r="A7" t="s">
        <v>35</v>
      </c>
      <c r="B7">
        <v>-3985050591.7286129</v>
      </c>
      <c r="C7">
        <f>EXP(((-1)/(2*'Cálculos Diversos'!$B$5))*(SQRT(SUMXMY2(Formulário!$B$1:$B$14,'Coordenadas dos Polos'!$BT$2:$CG$2)))^2)</f>
        <v>1.2673860433542704E-4</v>
      </c>
    </row>
    <row r="8" spans="1:3" x14ac:dyDescent="0.25">
      <c r="A8" t="s">
        <v>36</v>
      </c>
      <c r="B8">
        <v>1811663978.9222574</v>
      </c>
      <c r="C8">
        <f>EXP(((-1)/(2*'Cálculos Diversos'!$B$5))*(SQRT(SUMXMY2(Formulário!$B$1:$B$14,'Coordenadas dos Polos'!$CH$2:$CU$2)))^2)</f>
        <v>2.9672704810333752E-3</v>
      </c>
    </row>
    <row r="9" spans="1:3" x14ac:dyDescent="0.25">
      <c r="A9" t="s">
        <v>37</v>
      </c>
      <c r="B9">
        <v>144802431776.14886</v>
      </c>
      <c r="C9">
        <f>EXP(((-1)/(2*'Cálculos Diversos'!$B$5))*(SQRT(SUMXMY2(Formulário!$B$1:$B$14,'Coordenadas dos Polos'!$CV$2:$DI$2)))^2)</f>
        <v>6.1342649191439983E-6</v>
      </c>
    </row>
    <row r="10" spans="1:3" x14ac:dyDescent="0.25">
      <c r="A10" t="s">
        <v>38</v>
      </c>
      <c r="B10">
        <v>8749816780.5558338</v>
      </c>
      <c r="C10">
        <f>EXP(((-1)/(2*'Cálculos Diversos'!$B$5))*(SQRT(SUMXMY2(Formulário!$B$1:$B$14,'Coordenadas dos Polos'!$DJ$2:$DW$2)))^2)</f>
        <v>3.8272473754724006E-4</v>
      </c>
    </row>
    <row r="11" spans="1:3" x14ac:dyDescent="0.25">
      <c r="A11" t="s">
        <v>39</v>
      </c>
      <c r="B11">
        <v>65165253.254768573</v>
      </c>
      <c r="C11">
        <f>EXP(((-1)/(2*'Cálculos Diversos'!$B$5))*(SQRT(SUMXMY2(Formulário!$B$1:$B$14,'Coordenadas dos Polos'!$DX$2:$EK$2)))^2)</f>
        <v>4.6356891643269211E-3</v>
      </c>
    </row>
    <row r="12" spans="1:3" x14ac:dyDescent="0.25">
      <c r="A12" t="s">
        <v>40</v>
      </c>
      <c r="B12">
        <v>2118460816.6237516</v>
      </c>
      <c r="C12">
        <f>EXP(((-1)/(2*'Cálculos Diversos'!$B$5))*(SQRT(SUMXMY2(Formulário!$B$1:$B$14,'Coordenadas dos Polos'!$EL$2:$EY$2)))^2)</f>
        <v>3.1203562703611106E-3</v>
      </c>
    </row>
    <row r="13" spans="1:3" x14ac:dyDescent="0.25">
      <c r="A13" t="s">
        <v>41</v>
      </c>
      <c r="B13">
        <v>-1570370403.4861155</v>
      </c>
      <c r="C13">
        <f>EXP(((-1)/(2*'Cálculos Diversos'!$B$5))*(SQRT(SUMXMY2(Formulário!$B$1:$B$14,'Coordenadas dos Polos'!$EZ$2:$FM$2)))^2)</f>
        <v>3.5142004511021962E-4</v>
      </c>
    </row>
    <row r="14" spans="1:3" x14ac:dyDescent="0.25">
      <c r="A14" t="s">
        <v>42</v>
      </c>
      <c r="B14">
        <v>-1011082559.3305454</v>
      </c>
      <c r="C14">
        <f>EXP(((-1)/(2*'Cálculos Diversos'!$B$5))*(SQRT(SUMXMY2(Formulário!$B$1:$B$14,'Coordenadas dos Polos'!$FN$2:$GA$2)))^2)</f>
        <v>5.8839133532816732E-4</v>
      </c>
    </row>
    <row r="15" spans="1:3" x14ac:dyDescent="0.25">
      <c r="A15" t="s">
        <v>43</v>
      </c>
      <c r="B15">
        <v>-2460538344.4594402</v>
      </c>
      <c r="C15">
        <f>EXP(((-1)/(2*'Cálculos Diversos'!$B$5))*(SQRT(SUMXMY2(Formulário!$B$1:$B$14,'Coordenadas dos Polos'!$GB$2:$GO$2)))^2)</f>
        <v>4.0387453841384474E-3</v>
      </c>
    </row>
    <row r="16" spans="1:3" x14ac:dyDescent="0.25">
      <c r="A16" t="s">
        <v>44</v>
      </c>
      <c r="B16">
        <v>615024811.87919557</v>
      </c>
      <c r="C16">
        <f>EXP(((-1)/(2*'Cálculos Diversos'!$B$5))*(SQRT(SUMXMY2(Formulário!$B$1:$B$14,'Coordenadas dos Polos'!$GP$2:$HC$2)))^2)</f>
        <v>1.3694060822654359E-4</v>
      </c>
    </row>
    <row r="17" spans="1:3" x14ac:dyDescent="0.25">
      <c r="A17" t="s">
        <v>17</v>
      </c>
      <c r="B17">
        <v>69577.798286480043</v>
      </c>
      <c r="C17">
        <v>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B20"/>
  <sheetViews>
    <sheetView tabSelected="1" zoomScale="115" zoomScaleNormal="115" workbookViewId="0">
      <selection activeCell="B1" sqref="B1"/>
    </sheetView>
  </sheetViews>
  <sheetFormatPr defaultColWidth="9.140625" defaultRowHeight="15" x14ac:dyDescent="0.25"/>
  <cols>
    <col min="1" max="1" width="25.85546875" bestFit="1" customWidth="1"/>
    <col min="2" max="2" width="25.7109375" customWidth="1"/>
    <col min="3" max="3" width="13.5703125" customWidth="1"/>
    <col min="4" max="4" width="228.5703125" customWidth="1"/>
  </cols>
  <sheetData>
    <row r="1" spans="1:2" ht="16.5" thickTop="1" thickBot="1" x14ac:dyDescent="0.3">
      <c r="A1" s="2" t="s">
        <v>50</v>
      </c>
      <c r="B1" s="5">
        <v>1.19</v>
      </c>
    </row>
    <row r="2" spans="1:2" ht="16.5" thickTop="1" thickBot="1" x14ac:dyDescent="0.3">
      <c r="A2" s="2" t="s">
        <v>67</v>
      </c>
      <c r="B2" s="5">
        <v>290.13</v>
      </c>
    </row>
    <row r="3" spans="1:2" ht="16.5" thickTop="1" thickBot="1" x14ac:dyDescent="0.3">
      <c r="A3" s="2" t="s">
        <v>68</v>
      </c>
      <c r="B3" s="5">
        <v>25.65</v>
      </c>
    </row>
    <row r="4" spans="1:2" ht="16.5" thickTop="1" thickBot="1" x14ac:dyDescent="0.3">
      <c r="A4" s="2" t="s">
        <v>53</v>
      </c>
      <c r="B4" s="5">
        <v>0.1</v>
      </c>
    </row>
    <row r="5" spans="1:2" ht="16.5" thickTop="1" thickBot="1" x14ac:dyDescent="0.3">
      <c r="A5" s="2" t="s">
        <v>54</v>
      </c>
      <c r="B5" s="12">
        <v>100000</v>
      </c>
    </row>
    <row r="6" spans="1:2" ht="16.5" thickTop="1" thickBot="1" x14ac:dyDescent="0.3">
      <c r="A6" s="2" t="s">
        <v>55</v>
      </c>
      <c r="B6" s="5">
        <v>1.79</v>
      </c>
    </row>
    <row r="7" spans="1:2" ht="16.5" thickTop="1" thickBot="1" x14ac:dyDescent="0.3">
      <c r="A7" s="2" t="s">
        <v>56</v>
      </c>
      <c r="B7" s="5">
        <v>0.49</v>
      </c>
    </row>
    <row r="8" spans="1:2" ht="16.5" thickTop="1" thickBot="1" x14ac:dyDescent="0.3">
      <c r="A8" s="2" t="s">
        <v>51</v>
      </c>
      <c r="B8" s="5">
        <v>797.78</v>
      </c>
    </row>
    <row r="9" spans="1:2" ht="16.5" thickTop="1" thickBot="1" x14ac:dyDescent="0.3">
      <c r="A9" s="2" t="s">
        <v>52</v>
      </c>
      <c r="B9" s="5">
        <v>390.13</v>
      </c>
    </row>
    <row r="10" spans="1:2" ht="16.5" thickTop="1" thickBot="1" x14ac:dyDescent="0.3">
      <c r="A10" s="2" t="s">
        <v>57</v>
      </c>
      <c r="B10" s="5">
        <v>0.03</v>
      </c>
    </row>
    <row r="11" spans="1:2" ht="16.5" thickTop="1" thickBot="1" x14ac:dyDescent="0.3">
      <c r="A11" s="2" t="s">
        <v>58</v>
      </c>
      <c r="B11" s="5">
        <v>159224.16</v>
      </c>
    </row>
    <row r="12" spans="1:2" ht="16.5" thickTop="1" thickBot="1" x14ac:dyDescent="0.3">
      <c r="A12" s="2" t="s">
        <v>69</v>
      </c>
      <c r="B12" s="5">
        <v>0.09</v>
      </c>
    </row>
    <row r="13" spans="1:2" ht="16.5" thickTop="1" thickBot="1" x14ac:dyDescent="0.3">
      <c r="A13" s="2" t="s">
        <v>59</v>
      </c>
      <c r="B13" s="5">
        <v>0.56000000000000005</v>
      </c>
    </row>
    <row r="14" spans="1:2" ht="16.5" thickTop="1" thickBot="1" x14ac:dyDescent="0.3">
      <c r="A14" s="2" t="s">
        <v>60</v>
      </c>
      <c r="B14" s="5">
        <v>229.51</v>
      </c>
    </row>
    <row r="15" spans="1:2" ht="16.5" thickTop="1" thickBot="1" x14ac:dyDescent="0.3">
      <c r="A15" s="2" t="s">
        <v>61</v>
      </c>
      <c r="B15" s="6">
        <f>IFERROR(SUMPRODUCT(Solução!$B$3:$B$17,Solução!$C$3:$C$17),"")</f>
        <v>1500.0354768985999</v>
      </c>
    </row>
    <row r="16" spans="1:2" ht="16.5" thickTop="1" thickBot="1" x14ac:dyDescent="0.3">
      <c r="A16" s="2" t="s">
        <v>18</v>
      </c>
      <c r="B16" s="7">
        <f>'Coeficiente de Acerto'!$B$105</f>
        <v>0.97213628081219972</v>
      </c>
    </row>
    <row r="17" spans="1:2" ht="409.6" thickTop="1" thickBot="1" x14ac:dyDescent="0.3">
      <c r="A17" s="2" t="s">
        <v>19</v>
      </c>
      <c r="B17" s="8" t="s">
        <v>70</v>
      </c>
    </row>
    <row r="18" spans="1:2" ht="16.5" thickTop="1" thickBot="1" x14ac:dyDescent="0.3">
      <c r="A18" s="2" t="s">
        <v>14</v>
      </c>
      <c r="B18" s="9" t="s">
        <v>62</v>
      </c>
    </row>
    <row r="19" spans="1:2" ht="16.5" thickTop="1" thickBot="1" x14ac:dyDescent="0.3">
      <c r="A19" s="2" t="s">
        <v>20</v>
      </c>
      <c r="B19" s="9" t="s">
        <v>63</v>
      </c>
    </row>
    <row r="20" spans="1:2" ht="15.75" thickTop="1" x14ac:dyDescent="0.25"/>
  </sheetData>
  <sheetProtection algorithmName="SHA-512" hashValue="XQP7hvn7Xcg+MXgCaLe4m5+Q6e2F76Pbt/0I96zdIvPrlNG/Ilq+No8gqBxNfnF4oy1P3e/TYWW4d2Qs7SxRrA==" saltValue="OOQgLGNJKQwfs19Te9+PZA==" spinCount="100000" sheet="1" objects="1" scenarios="1" selectLockedCells="1"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pageSetUpPr fitToPage="1"/>
  </sheetPr>
  <dimension ref="A1:Q36"/>
  <sheetViews>
    <sheetView topLeftCell="A28" zoomScale="130" zoomScaleNormal="130" workbookViewId="0">
      <selection activeCell="A37" sqref="A37"/>
    </sheetView>
  </sheetViews>
  <sheetFormatPr defaultRowHeight="15" x14ac:dyDescent="0.25"/>
  <cols>
    <col min="1" max="1" width="4.28515625" bestFit="1" customWidth="1"/>
    <col min="2" max="6" width="6" bestFit="1" customWidth="1"/>
    <col min="7" max="11" width="4.85546875" bestFit="1" customWidth="1"/>
    <col min="12" max="16" width="6" bestFit="1" customWidth="1"/>
    <col min="17" max="17" width="4.85546875" bestFit="1" customWidth="1"/>
    <col min="18" max="18" width="4.28515625" bestFit="1" customWidth="1"/>
    <col min="19" max="20" width="4.85546875" bestFit="1" customWidth="1"/>
    <col min="21" max="21" width="4.28515625" bestFit="1" customWidth="1"/>
    <col min="22" max="23" width="6" bestFit="1" customWidth="1"/>
  </cols>
  <sheetData>
    <row r="1" spans="1:17" x14ac:dyDescent="0.25">
      <c r="A1" s="1" t="s">
        <v>49</v>
      </c>
      <c r="B1" s="1" t="s">
        <v>50</v>
      </c>
      <c r="C1" s="1" t="s">
        <v>67</v>
      </c>
      <c r="D1" s="1" t="s">
        <v>68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51</v>
      </c>
      <c r="J1" s="1" t="s">
        <v>52</v>
      </c>
      <c r="K1" s="1" t="s">
        <v>57</v>
      </c>
      <c r="L1" s="1" t="s">
        <v>58</v>
      </c>
      <c r="M1" s="1" t="s">
        <v>69</v>
      </c>
      <c r="N1" s="1" t="s">
        <v>59</v>
      </c>
      <c r="O1" s="1" t="s">
        <v>60</v>
      </c>
      <c r="P1" s="1" t="s">
        <v>65</v>
      </c>
      <c r="Q1" s="1" t="s">
        <v>66</v>
      </c>
    </row>
    <row r="2" spans="1:17" x14ac:dyDescent="0.25">
      <c r="A2" s="1">
        <v>1</v>
      </c>
      <c r="B2" s="1">
        <v>1.1667530292701285</v>
      </c>
      <c r="C2" s="1">
        <v>286.667814853697</v>
      </c>
      <c r="D2" s="1">
        <v>49.320530346724809</v>
      </c>
      <c r="E2" s="1">
        <v>0.16965971584048542</v>
      </c>
      <c r="F2" s="1">
        <v>100000</v>
      </c>
      <c r="G2" s="1">
        <v>2.295154926737681</v>
      </c>
      <c r="H2" s="1">
        <v>0.4126623629590726</v>
      </c>
      <c r="I2" s="1">
        <v>763.12336098254946</v>
      </c>
      <c r="J2" s="1">
        <v>658.63039850330097</v>
      </c>
      <c r="K2" s="1">
        <v>4.6033458396396595E-2</v>
      </c>
      <c r="L2" s="1">
        <v>192584.85386646137</v>
      </c>
      <c r="M2" s="1">
        <v>0.14992799634844137</v>
      </c>
      <c r="N2" s="1">
        <v>0.78927563588214744</v>
      </c>
      <c r="O2" s="1">
        <v>240.59562282956699</v>
      </c>
      <c r="P2" s="1">
        <v>2540.1111195078629</v>
      </c>
      <c r="Q2" s="1">
        <v>2546.6386047436245</v>
      </c>
    </row>
    <row r="3" spans="1:17" x14ac:dyDescent="0.25">
      <c r="A3" s="1">
        <v>2</v>
      </c>
      <c r="B3" s="1">
        <v>1.1637387993215749</v>
      </c>
      <c r="C3" s="1">
        <v>290.32608405394734</v>
      </c>
      <c r="D3" s="1">
        <v>76.356998217360712</v>
      </c>
      <c r="E3" s="1">
        <v>0.15408288442378273</v>
      </c>
      <c r="F3" s="1">
        <v>100000</v>
      </c>
      <c r="G3" s="1">
        <v>9.8468249107742398</v>
      </c>
      <c r="H3" s="1">
        <v>0.4045255822862811</v>
      </c>
      <c r="I3" s="1">
        <v>757.44703132454254</v>
      </c>
      <c r="J3" s="1">
        <v>557.67749827552518</v>
      </c>
      <c r="K3" s="1">
        <v>3.6015896098957501E-2</v>
      </c>
      <c r="L3" s="1">
        <v>137362.82880296651</v>
      </c>
      <c r="M3" s="1">
        <v>8.9715847756492551E-2</v>
      </c>
      <c r="N3" s="1">
        <v>0.6519625179348818</v>
      </c>
      <c r="O3" s="1">
        <v>186.19577049529653</v>
      </c>
      <c r="P3" s="1">
        <v>2772.9128895238318</v>
      </c>
      <c r="Q3" s="1">
        <v>2670.4870721521875</v>
      </c>
    </row>
    <row r="4" spans="1:17" x14ac:dyDescent="0.25">
      <c r="A4" s="1">
        <v>3</v>
      </c>
      <c r="B4" s="1">
        <v>1.2044158756957899</v>
      </c>
      <c r="C4" s="1">
        <v>292.14325950932323</v>
      </c>
      <c r="D4" s="1">
        <v>13.784159862966366</v>
      </c>
      <c r="E4" s="1">
        <v>0.13519853459984163</v>
      </c>
      <c r="F4" s="1">
        <v>100000</v>
      </c>
      <c r="G4" s="1">
        <v>6.4358138575449297</v>
      </c>
      <c r="H4" s="1">
        <v>0.47521773855147065</v>
      </c>
      <c r="I4" s="1">
        <v>859.52565190576479</v>
      </c>
      <c r="J4" s="1">
        <v>517.43981495248045</v>
      </c>
      <c r="K4" s="1">
        <v>1.7006569355698664E-2</v>
      </c>
      <c r="L4" s="1">
        <v>185485.27945778327</v>
      </c>
      <c r="M4" s="1">
        <v>0.16777236757156772</v>
      </c>
      <c r="N4" s="1">
        <v>0.43828899956512724</v>
      </c>
      <c r="O4" s="1">
        <v>239.06278275957965</v>
      </c>
      <c r="P4" s="1">
        <v>1994.1680413612557</v>
      </c>
      <c r="Q4" s="1">
        <v>2058.6918972210115</v>
      </c>
    </row>
    <row r="5" spans="1:17" x14ac:dyDescent="0.25">
      <c r="A5" s="1">
        <v>4</v>
      </c>
      <c r="B5" s="1">
        <v>1.2018688128286317</v>
      </c>
      <c r="C5" s="1">
        <v>287.61774275795892</v>
      </c>
      <c r="D5" s="1">
        <v>8.6713341362277312</v>
      </c>
      <c r="E5" s="1">
        <v>0.14513980393738357</v>
      </c>
      <c r="F5" s="1">
        <v>100000</v>
      </c>
      <c r="G5" s="1">
        <v>3.9557365545934529</v>
      </c>
      <c r="H5" s="1">
        <v>0.40536326269660922</v>
      </c>
      <c r="I5" s="1">
        <v>746.3217180846417</v>
      </c>
      <c r="J5" s="1">
        <v>210.30805809632758</v>
      </c>
      <c r="K5" s="1">
        <v>7.3861776337964147E-2</v>
      </c>
      <c r="L5" s="1">
        <v>134020.17059652868</v>
      </c>
      <c r="M5" s="1">
        <v>9.2737693283689776E-2</v>
      </c>
      <c r="N5" s="1">
        <v>0.35417266633745054</v>
      </c>
      <c r="O5" s="1">
        <v>224.56427150900089</v>
      </c>
      <c r="P5" s="1">
        <v>941.24542910436139</v>
      </c>
      <c r="Q5" s="1">
        <v>959.82423643535003</v>
      </c>
    </row>
    <row r="6" spans="1:17" x14ac:dyDescent="0.25">
      <c r="A6" s="1">
        <v>7</v>
      </c>
      <c r="B6" s="1">
        <v>1.1844912972126356</v>
      </c>
      <c r="C6" s="1">
        <v>292.49460715577453</v>
      </c>
      <c r="D6" s="1">
        <v>33.127492000668468</v>
      </c>
      <c r="E6" s="1">
        <v>7.9639208012270035E-2</v>
      </c>
      <c r="F6" s="1">
        <v>100000</v>
      </c>
      <c r="G6" s="1">
        <v>5.6658027027726323</v>
      </c>
      <c r="H6" s="1">
        <v>0.4371472740198078</v>
      </c>
      <c r="I6" s="1">
        <v>754.66903685224577</v>
      </c>
      <c r="J6" s="1">
        <v>349.83626512934336</v>
      </c>
      <c r="K6" s="1">
        <v>9.6412103175524226E-3</v>
      </c>
      <c r="L6" s="1">
        <v>119811.62098438881</v>
      </c>
      <c r="M6" s="1">
        <v>0.13250757810119448</v>
      </c>
      <c r="N6" s="1">
        <v>0.57735705772685963</v>
      </c>
      <c r="O6" s="1">
        <v>183.64603438472477</v>
      </c>
      <c r="P6" s="1">
        <v>1387.1107206908564</v>
      </c>
      <c r="Q6" s="1">
        <v>1406.3513688238454</v>
      </c>
    </row>
    <row r="7" spans="1:17" x14ac:dyDescent="0.25">
      <c r="A7" s="1">
        <v>8</v>
      </c>
      <c r="B7" s="1">
        <v>1.1752045171504428</v>
      </c>
      <c r="C7" s="1">
        <v>297.74115631905158</v>
      </c>
      <c r="D7" s="1">
        <v>8.6568593347077503</v>
      </c>
      <c r="E7" s="1">
        <v>3.3736437305737742E-2</v>
      </c>
      <c r="F7" s="1">
        <v>100000</v>
      </c>
      <c r="G7" s="1">
        <v>9.388218612579923</v>
      </c>
      <c r="H7" s="1">
        <v>0.50262940547937096</v>
      </c>
      <c r="I7" s="1">
        <v>878.12281029710459</v>
      </c>
      <c r="J7" s="1">
        <v>67.154104815149424</v>
      </c>
      <c r="K7" s="1">
        <v>3.4689302241255798E-2</v>
      </c>
      <c r="L7" s="1">
        <v>199671.44947157963</v>
      </c>
      <c r="M7" s="1">
        <v>0.10720512038672406</v>
      </c>
      <c r="N7" s="1">
        <v>0.46647876339672478</v>
      </c>
      <c r="O7" s="1">
        <v>186.42886849743837</v>
      </c>
      <c r="P7" s="1">
        <v>1923.1835614032389</v>
      </c>
      <c r="Q7" s="1">
        <v>1907.2442373950034</v>
      </c>
    </row>
    <row r="8" spans="1:17" x14ac:dyDescent="0.25">
      <c r="A8" s="1">
        <v>9</v>
      </c>
      <c r="B8" s="1">
        <v>1.1673522130512617</v>
      </c>
      <c r="C8" s="1">
        <v>288.01301652492492</v>
      </c>
      <c r="D8" s="1">
        <v>51.456322528257381</v>
      </c>
      <c r="E8" s="1">
        <v>8.8357454783872136E-2</v>
      </c>
      <c r="F8" s="1">
        <v>100000</v>
      </c>
      <c r="G8" s="1">
        <v>0.48784627155270305</v>
      </c>
      <c r="H8" s="1">
        <v>0.43366599179372411</v>
      </c>
      <c r="I8" s="1">
        <v>872.55918071164012</v>
      </c>
      <c r="J8" s="1">
        <v>161.87108595576785</v>
      </c>
      <c r="K8" s="1">
        <v>6.7894040642083459E-2</v>
      </c>
      <c r="L8" s="1">
        <v>156204.81820432932</v>
      </c>
      <c r="M8" s="1">
        <v>5.0835808904804887E-2</v>
      </c>
      <c r="N8" s="1">
        <v>0.51876130569857337</v>
      </c>
      <c r="O8" s="1">
        <v>242.27817879563568</v>
      </c>
      <c r="P8" s="1">
        <v>913.3044898399894</v>
      </c>
      <c r="Q8" s="1">
        <v>907.71156736390549</v>
      </c>
    </row>
    <row r="9" spans="1:17" x14ac:dyDescent="0.25">
      <c r="A9" s="1">
        <v>11</v>
      </c>
      <c r="B9" s="1">
        <v>1.1863645271249033</v>
      </c>
      <c r="C9" s="1">
        <v>294.02941129868037</v>
      </c>
      <c r="D9" s="1">
        <v>13.037246120227197</v>
      </c>
      <c r="E9" s="1">
        <v>9.8599031473302109E-2</v>
      </c>
      <c r="F9" s="1">
        <v>100000</v>
      </c>
      <c r="G9" s="1">
        <v>2.8359104940982225</v>
      </c>
      <c r="H9" s="1">
        <v>0.4006640491038907</v>
      </c>
      <c r="I9" s="1">
        <v>875.80464183734</v>
      </c>
      <c r="J9" s="1">
        <v>524.92679152448727</v>
      </c>
      <c r="K9" s="1">
        <v>5.0520113780222795E-2</v>
      </c>
      <c r="L9" s="1">
        <v>118231.58451703473</v>
      </c>
      <c r="M9" s="1">
        <v>0.14535954538161339</v>
      </c>
      <c r="N9" s="1">
        <v>0.61141248666221903</v>
      </c>
      <c r="O9" s="1">
        <v>198.02834093429564</v>
      </c>
      <c r="P9" s="1">
        <v>1973.9178719820266</v>
      </c>
      <c r="Q9" s="1">
        <v>1965.2666741884314</v>
      </c>
    </row>
    <row r="10" spans="1:17" x14ac:dyDescent="0.25">
      <c r="A10" s="1">
        <v>13</v>
      </c>
      <c r="B10" s="1">
        <v>1.1715399378752125</v>
      </c>
      <c r="C10" s="1">
        <v>293.9186882234294</v>
      </c>
      <c r="D10" s="1">
        <v>10.639739294747354</v>
      </c>
      <c r="E10" s="1">
        <v>0.14589480298499208</v>
      </c>
      <c r="F10" s="1">
        <v>100000</v>
      </c>
      <c r="G10" s="1">
        <v>6.2802530069970279</v>
      </c>
      <c r="H10" s="1">
        <v>0.48129577225547154</v>
      </c>
      <c r="I10" s="1">
        <v>796.1142927222711</v>
      </c>
      <c r="J10" s="1">
        <v>485.07747877766099</v>
      </c>
      <c r="K10" s="1">
        <v>2.3442500483973602E-2</v>
      </c>
      <c r="L10" s="1">
        <v>126852.1169651916</v>
      </c>
      <c r="M10" s="1">
        <v>5.5247567391543219E-2</v>
      </c>
      <c r="N10" s="1">
        <v>0.405983829114971</v>
      </c>
      <c r="O10" s="1">
        <v>202.86834376671251</v>
      </c>
      <c r="P10" s="1">
        <v>1876.833326313812</v>
      </c>
      <c r="Q10" s="1">
        <v>1872.5203036362655</v>
      </c>
    </row>
    <row r="11" spans="1:17" x14ac:dyDescent="0.25">
      <c r="A11" s="1">
        <v>15</v>
      </c>
      <c r="B11" s="1">
        <v>1.1788818218014081</v>
      </c>
      <c r="C11" s="1">
        <v>291.40269925733168</v>
      </c>
      <c r="D11" s="1">
        <v>17.155108207148217</v>
      </c>
      <c r="E11" s="1">
        <v>0.12416363904584618</v>
      </c>
      <c r="F11" s="1">
        <v>100000</v>
      </c>
      <c r="G11" s="1">
        <v>8.6604743009740854</v>
      </c>
      <c r="H11" s="1">
        <v>0.50364466674952724</v>
      </c>
      <c r="I11" s="1">
        <v>856.32376372973397</v>
      </c>
      <c r="J11" s="1">
        <v>128.82182759155734</v>
      </c>
      <c r="K11" s="1">
        <v>1.911811758958129E-2</v>
      </c>
      <c r="L11" s="1">
        <v>174918.71712178297</v>
      </c>
      <c r="M11" s="1">
        <v>0.12237837266074655</v>
      </c>
      <c r="N11" s="1">
        <v>0.60926705612178278</v>
      </c>
      <c r="O11" s="1">
        <v>214.09505846836413</v>
      </c>
      <c r="P11" s="1">
        <v>1335.7393316167218</v>
      </c>
      <c r="Q11" s="1">
        <v>1355.7546034628176</v>
      </c>
    </row>
    <row r="12" spans="1:17" x14ac:dyDescent="0.25">
      <c r="A12" s="1">
        <v>16</v>
      </c>
      <c r="B12" s="1">
        <v>1.189828922648337</v>
      </c>
      <c r="C12" s="1">
        <v>289.45455163709482</v>
      </c>
      <c r="D12" s="1">
        <v>34.419859616428127</v>
      </c>
      <c r="E12" s="1">
        <v>0.1361962383603624</v>
      </c>
      <c r="F12" s="1">
        <v>100000</v>
      </c>
      <c r="G12" s="1">
        <v>3.2453864996373891</v>
      </c>
      <c r="H12" s="1">
        <v>0.50301948429145638</v>
      </c>
      <c r="I12" s="1">
        <v>772.61660641449919</v>
      </c>
      <c r="J12" s="1">
        <v>411.56178074535433</v>
      </c>
      <c r="K12" s="1">
        <v>3.4990681829183398E-2</v>
      </c>
      <c r="L12" s="1">
        <v>172788.33553333563</v>
      </c>
      <c r="M12" s="1">
        <v>0.13800175778086837</v>
      </c>
      <c r="N12" s="1">
        <v>0.65536084157339003</v>
      </c>
      <c r="O12" s="1">
        <v>214.73922983279206</v>
      </c>
      <c r="P12" s="1">
        <v>1794.3802535401119</v>
      </c>
      <c r="Q12" s="1">
        <v>1765.9772747281968</v>
      </c>
    </row>
    <row r="13" spans="1:17" x14ac:dyDescent="0.25">
      <c r="A13" s="1">
        <v>17</v>
      </c>
      <c r="B13" s="1">
        <v>1.1797900198056976</v>
      </c>
      <c r="C13" s="1">
        <v>290.67264167452203</v>
      </c>
      <c r="D13" s="1">
        <v>66.026138134958799</v>
      </c>
      <c r="E13" s="1">
        <v>0.1180464638117775</v>
      </c>
      <c r="F13" s="1">
        <v>100000</v>
      </c>
      <c r="G13" s="1">
        <v>1.2418117434650759</v>
      </c>
      <c r="H13" s="1">
        <v>0.47787253304630201</v>
      </c>
      <c r="I13" s="1">
        <v>796.06474478961582</v>
      </c>
      <c r="J13" s="1">
        <v>467.94523334836521</v>
      </c>
      <c r="K13" s="1">
        <v>1.6199251332970285E-2</v>
      </c>
      <c r="L13" s="1">
        <v>144799.10797847839</v>
      </c>
      <c r="M13" s="1">
        <v>0.12937872250377058</v>
      </c>
      <c r="N13" s="1">
        <v>0.52336254094954071</v>
      </c>
      <c r="O13" s="1">
        <v>226.32793943076197</v>
      </c>
      <c r="P13" s="1">
        <v>1702.9714892952979</v>
      </c>
      <c r="Q13" s="1">
        <v>1702.5504279360175</v>
      </c>
    </row>
    <row r="14" spans="1:17" x14ac:dyDescent="0.25">
      <c r="A14" s="1">
        <v>20</v>
      </c>
      <c r="B14" s="1">
        <v>1.1774975665717502</v>
      </c>
      <c r="C14" s="1">
        <v>289.77045828002298</v>
      </c>
      <c r="D14" s="1">
        <v>54.995103183103538</v>
      </c>
      <c r="E14" s="1">
        <v>0.13275361359695659</v>
      </c>
      <c r="F14" s="1">
        <v>100000</v>
      </c>
      <c r="G14" s="1">
        <v>5.9604136976445146</v>
      </c>
      <c r="H14" s="1">
        <v>0.49048233117694279</v>
      </c>
      <c r="I14" s="1">
        <v>792.9980383952992</v>
      </c>
      <c r="J14" s="1">
        <v>221.92959695996637</v>
      </c>
      <c r="K14" s="1">
        <v>5.7019462483625022E-2</v>
      </c>
      <c r="L14" s="1">
        <v>150467.79922292745</v>
      </c>
      <c r="M14" s="1">
        <v>9.6555226567152264E-2</v>
      </c>
      <c r="N14" s="1">
        <v>0.42798539765641624</v>
      </c>
      <c r="O14" s="1">
        <v>204.19581862323108</v>
      </c>
      <c r="P14" s="1">
        <v>1412.2933062316661</v>
      </c>
      <c r="Q14" s="1">
        <v>1349.7428599623818</v>
      </c>
    </row>
    <row r="15" spans="1:17" x14ac:dyDescent="0.25">
      <c r="A15" s="1">
        <v>21</v>
      </c>
      <c r="B15" s="1">
        <v>1.1880193984562519</v>
      </c>
      <c r="C15" s="1">
        <v>290.34443836343758</v>
      </c>
      <c r="D15" s="1">
        <v>20.79046632431924</v>
      </c>
      <c r="E15" s="1">
        <v>0.12050327512497727</v>
      </c>
      <c r="F15" s="1">
        <v>100000</v>
      </c>
      <c r="G15" s="1">
        <v>7.208984026833253</v>
      </c>
      <c r="H15" s="1">
        <v>0.49800045285576833</v>
      </c>
      <c r="I15" s="1">
        <v>774.14785444496806</v>
      </c>
      <c r="J15" s="1">
        <v>413.10382944474213</v>
      </c>
      <c r="K15" s="1">
        <v>6.6402143536600414E-2</v>
      </c>
      <c r="L15" s="1">
        <v>153176.60417975322</v>
      </c>
      <c r="M15" s="1">
        <v>0.13488863416600988</v>
      </c>
      <c r="N15" s="1">
        <v>0.51960387305215694</v>
      </c>
      <c r="O15" s="1">
        <v>233.21321473397438</v>
      </c>
      <c r="P15" s="1">
        <v>1862.3601495018738</v>
      </c>
      <c r="Q15" s="1">
        <v>1831.8013168010511</v>
      </c>
    </row>
    <row r="16" spans="1:17" x14ac:dyDescent="0.25">
      <c r="A16" s="1">
        <v>22</v>
      </c>
      <c r="B16" s="1">
        <v>1.188208708218486</v>
      </c>
      <c r="C16" s="1">
        <v>291.78138601097066</v>
      </c>
      <c r="D16" s="1">
        <v>54.417062328338005</v>
      </c>
      <c r="E16" s="1">
        <v>0.11984691524485561</v>
      </c>
      <c r="F16" s="1">
        <v>100000</v>
      </c>
      <c r="G16" s="1">
        <v>4.5946741819401611</v>
      </c>
      <c r="H16" s="1">
        <v>0.49554605436762339</v>
      </c>
      <c r="I16" s="1">
        <v>808.0530573980119</v>
      </c>
      <c r="J16" s="1">
        <v>441.557111085016</v>
      </c>
      <c r="K16" s="1">
        <v>3.468970930591566E-2</v>
      </c>
      <c r="L16" s="1">
        <v>142985.29682538088</v>
      </c>
      <c r="M16" s="1">
        <v>0.13392630559334717</v>
      </c>
      <c r="N16" s="1">
        <v>0.58751493399264021</v>
      </c>
      <c r="O16" s="1">
        <v>237.16846774225661</v>
      </c>
      <c r="P16" s="1">
        <v>1695.9753761401444</v>
      </c>
      <c r="Q16" s="1">
        <v>1730.6710772611841</v>
      </c>
    </row>
    <row r="17" spans="1:17" x14ac:dyDescent="0.25">
      <c r="A17" s="1">
        <v>25</v>
      </c>
      <c r="B17" s="1">
        <v>1.1830835351799578</v>
      </c>
      <c r="C17" s="1">
        <v>291.56821234520027</v>
      </c>
      <c r="D17" s="1">
        <v>56.313637528584515</v>
      </c>
      <c r="E17" s="1">
        <v>0.11321065610777964</v>
      </c>
      <c r="F17" s="1">
        <v>100000</v>
      </c>
      <c r="G17" s="1">
        <v>1.7411734925087776</v>
      </c>
      <c r="H17" s="1">
        <v>0.4937142555490317</v>
      </c>
      <c r="I17" s="1">
        <v>834.61214311974391</v>
      </c>
      <c r="J17" s="1">
        <v>288.66739393297166</v>
      </c>
      <c r="K17" s="1">
        <v>3.9175692470987164E-2</v>
      </c>
      <c r="L17" s="1">
        <v>142346.05244436173</v>
      </c>
      <c r="M17" s="1">
        <v>9.6635551260441058E-2</v>
      </c>
      <c r="N17" s="1">
        <v>0.55216372928291801</v>
      </c>
      <c r="O17" s="1">
        <v>224.34619611979994</v>
      </c>
      <c r="P17" s="1">
        <v>1046.7616909229473</v>
      </c>
      <c r="Q17" s="1">
        <v>1088.2191992669832</v>
      </c>
    </row>
    <row r="18" spans="1:17" x14ac:dyDescent="0.25">
      <c r="A18" s="1">
        <v>26</v>
      </c>
      <c r="B18" s="1">
        <v>1.1813187708777266</v>
      </c>
      <c r="C18" s="1">
        <v>290.3935977128769</v>
      </c>
      <c r="D18" s="1">
        <v>48.787629366078725</v>
      </c>
      <c r="E18" s="1">
        <v>0.12211406897130427</v>
      </c>
      <c r="F18" s="1">
        <v>100000</v>
      </c>
      <c r="G18" s="1">
        <v>3.2276929297856127</v>
      </c>
      <c r="H18" s="1">
        <v>0.48281453398100338</v>
      </c>
      <c r="I18" s="1">
        <v>795.63794702617076</v>
      </c>
      <c r="J18" s="1">
        <v>242.68109127698108</v>
      </c>
      <c r="K18" s="1">
        <v>6.4121776946413869E-2</v>
      </c>
      <c r="L18" s="1">
        <v>170727.21806787123</v>
      </c>
      <c r="M18" s="1">
        <v>8.7755100078030751E-2</v>
      </c>
      <c r="N18" s="1">
        <v>0.53496237359398913</v>
      </c>
      <c r="O18" s="1">
        <v>209.06600274927786</v>
      </c>
      <c r="P18" s="1">
        <v>1448.2778799246225</v>
      </c>
      <c r="Q18" s="1">
        <v>1389.9254101280676</v>
      </c>
    </row>
    <row r="19" spans="1:17" x14ac:dyDescent="0.25">
      <c r="A19" s="1">
        <v>27</v>
      </c>
      <c r="B19" s="1">
        <v>1.1888806009168553</v>
      </c>
      <c r="C19" s="1">
        <v>292.65799515287966</v>
      </c>
      <c r="D19" s="1">
        <v>51.015765991956052</v>
      </c>
      <c r="E19" s="1">
        <v>9.0365935289773769E-2</v>
      </c>
      <c r="F19" s="1">
        <v>100000</v>
      </c>
      <c r="G19" s="1">
        <v>1.8542115022305889</v>
      </c>
      <c r="H19" s="1">
        <v>0.47872190432876027</v>
      </c>
      <c r="I19" s="1">
        <v>839.7660913450145</v>
      </c>
      <c r="J19" s="1">
        <v>392.05269684475559</v>
      </c>
      <c r="K19" s="1">
        <v>4.5864130174332017E-2</v>
      </c>
      <c r="L19" s="1">
        <v>142327.89682806074</v>
      </c>
      <c r="M19" s="1">
        <v>9.6646945300689804E-2</v>
      </c>
      <c r="N19" s="1">
        <v>0.513152884657472</v>
      </c>
      <c r="O19" s="1">
        <v>219.0269157357497</v>
      </c>
      <c r="P19" s="1">
        <v>1372.9792951396012</v>
      </c>
      <c r="Q19" s="1">
        <v>1357.4204009435489</v>
      </c>
    </row>
    <row r="20" spans="1:17" x14ac:dyDescent="0.25">
      <c r="A20" s="1">
        <v>29</v>
      </c>
      <c r="B20" s="1">
        <v>1.1874248217972829</v>
      </c>
      <c r="C20" s="1">
        <v>292.3153354787367</v>
      </c>
      <c r="D20" s="1">
        <v>39.127939244574542</v>
      </c>
      <c r="E20" s="1">
        <v>9.9379025457694489E-2</v>
      </c>
      <c r="F20" s="1">
        <v>100000</v>
      </c>
      <c r="G20" s="1">
        <v>5.1355995610793821</v>
      </c>
      <c r="H20" s="1">
        <v>0.48768300505385026</v>
      </c>
      <c r="I20" s="1">
        <v>780.15998387298544</v>
      </c>
      <c r="J20" s="1">
        <v>312.83128628366512</v>
      </c>
      <c r="K20" s="1">
        <v>1.8054631499051246E-2</v>
      </c>
      <c r="L20" s="1">
        <v>155399.11255698398</v>
      </c>
      <c r="M20" s="1">
        <v>0.12174575194575145</v>
      </c>
      <c r="N20" s="1">
        <v>0.59021670383432701</v>
      </c>
      <c r="O20" s="1">
        <v>229.93075483204041</v>
      </c>
      <c r="P20" s="1">
        <v>1387.5620612159182</v>
      </c>
      <c r="Q20" s="1">
        <v>1437.9448738593201</v>
      </c>
    </row>
    <row r="21" spans="1:17" x14ac:dyDescent="0.25">
      <c r="A21" s="1">
        <v>33</v>
      </c>
      <c r="B21" s="1">
        <v>1.1853315150934594</v>
      </c>
      <c r="C21" s="1">
        <v>289.99502985822949</v>
      </c>
      <c r="D21" s="1">
        <v>44.465727527888681</v>
      </c>
      <c r="E21" s="1">
        <v>9.9622962051842207E-2</v>
      </c>
      <c r="F21" s="1">
        <v>100000</v>
      </c>
      <c r="G21" s="1">
        <v>1.7799607829595907</v>
      </c>
      <c r="H21" s="1">
        <v>0.49160732001541896</v>
      </c>
      <c r="I21" s="1">
        <v>798.58424618542153</v>
      </c>
      <c r="J21" s="1">
        <v>242.82809815595334</v>
      </c>
      <c r="K21" s="1">
        <v>6.3456481022113986E-2</v>
      </c>
      <c r="L21" s="1">
        <v>148206.98810488076</v>
      </c>
      <c r="M21" s="1">
        <v>9.7332170647366031E-2</v>
      </c>
      <c r="N21" s="1">
        <v>0.55237192162139881</v>
      </c>
      <c r="O21" s="1">
        <v>216.90821388502732</v>
      </c>
      <c r="P21" s="1">
        <v>1063.1665795085064</v>
      </c>
      <c r="Q21" s="1">
        <v>1082.7007602413505</v>
      </c>
    </row>
    <row r="22" spans="1:17" x14ac:dyDescent="0.25">
      <c r="A22" s="1">
        <v>34</v>
      </c>
      <c r="B22" s="1">
        <v>1.1887983043743142</v>
      </c>
      <c r="C22" s="1">
        <v>290.12955374757934</v>
      </c>
      <c r="D22" s="1">
        <v>25.649635396762296</v>
      </c>
      <c r="E22" s="1">
        <v>0.1016281684802893</v>
      </c>
      <c r="F22" s="1">
        <v>100000</v>
      </c>
      <c r="G22" s="1">
        <v>1.7891079473984557</v>
      </c>
      <c r="H22" s="1">
        <v>0.49081209082990179</v>
      </c>
      <c r="I22" s="1">
        <v>797.77529671226398</v>
      </c>
      <c r="J22" s="1">
        <v>390.1339377257483</v>
      </c>
      <c r="K22" s="1">
        <v>3.3892030790395766E-2</v>
      </c>
      <c r="L22" s="1">
        <v>159224.16454496089</v>
      </c>
      <c r="M22" s="1">
        <v>9.2618886853517338E-2</v>
      </c>
      <c r="N22" s="1">
        <v>0.55633593962389183</v>
      </c>
      <c r="O22" s="1">
        <v>229.51410393958662</v>
      </c>
      <c r="P22" s="1">
        <v>1498.4706974974179</v>
      </c>
      <c r="Q22" s="1">
        <v>1499.6510303833929</v>
      </c>
    </row>
    <row r="23" spans="1:17" x14ac:dyDescent="0.25">
      <c r="A23" s="1">
        <v>35</v>
      </c>
      <c r="B23" s="1">
        <v>1.1825137553524987</v>
      </c>
      <c r="C23" s="1">
        <v>292.21826781003557</v>
      </c>
      <c r="D23" s="1">
        <v>50.025210569530529</v>
      </c>
      <c r="E23" s="1">
        <v>9.4952608714876499E-2</v>
      </c>
      <c r="F23" s="1">
        <v>100000</v>
      </c>
      <c r="G23" s="1">
        <v>2.6286645166677052</v>
      </c>
      <c r="H23" s="1">
        <v>0.48339653645444342</v>
      </c>
      <c r="I23" s="1">
        <v>797.02640395711626</v>
      </c>
      <c r="J23" s="1">
        <v>368.518546764532</v>
      </c>
      <c r="K23" s="1">
        <v>5.7215031318635604E-2</v>
      </c>
      <c r="L23" s="1">
        <v>169963.81155743758</v>
      </c>
      <c r="M23" s="1">
        <v>9.9261158314756792E-2</v>
      </c>
      <c r="N23" s="1">
        <v>0.50131274744453003</v>
      </c>
      <c r="O23" s="1">
        <v>233.09271268824932</v>
      </c>
      <c r="P23" s="1">
        <v>1553.9610215500506</v>
      </c>
      <c r="Q23" s="1">
        <v>1515.4761839489511</v>
      </c>
    </row>
    <row r="24" spans="1:17" x14ac:dyDescent="0.25">
      <c r="A24" s="1">
        <v>37</v>
      </c>
      <c r="B24" s="1">
        <v>1.1827818601618114</v>
      </c>
      <c r="C24" s="1">
        <v>291.96167966268757</v>
      </c>
      <c r="D24" s="1">
        <v>29.120998034668499</v>
      </c>
      <c r="E24" s="1">
        <v>0.10645428566384479</v>
      </c>
      <c r="F24" s="1">
        <v>100000</v>
      </c>
      <c r="G24" s="1">
        <v>5.6993814236317304</v>
      </c>
      <c r="H24" s="1">
        <v>0.48810121806552476</v>
      </c>
      <c r="I24" s="1">
        <v>796.22323955268109</v>
      </c>
      <c r="J24" s="1">
        <v>363.91367550387372</v>
      </c>
      <c r="K24" s="1">
        <v>5.1512350678393097E-2</v>
      </c>
      <c r="L24" s="1">
        <v>170617.57658095221</v>
      </c>
      <c r="M24" s="1">
        <v>0.11205970607638573</v>
      </c>
      <c r="N24" s="1">
        <v>0.52990502593819744</v>
      </c>
      <c r="O24" s="1">
        <v>222.30840142336879</v>
      </c>
      <c r="P24" s="1">
        <v>1636.6928523033785</v>
      </c>
      <c r="Q24" s="1">
        <v>1661.9838117694744</v>
      </c>
    </row>
    <row r="25" spans="1:17" x14ac:dyDescent="0.25">
      <c r="A25" s="1">
        <v>38</v>
      </c>
      <c r="B25" s="1">
        <v>1.1829230642964457</v>
      </c>
      <c r="C25" s="1">
        <v>290.67690898495812</v>
      </c>
      <c r="D25" s="1">
        <v>47.300643165102272</v>
      </c>
      <c r="E25" s="1">
        <v>0.1022549605344994</v>
      </c>
      <c r="F25" s="1">
        <v>100000</v>
      </c>
      <c r="G25" s="1">
        <v>4.7280701981334019</v>
      </c>
      <c r="H25" s="1">
        <v>0.47968033793476728</v>
      </c>
      <c r="I25" s="1">
        <v>793.09901016327331</v>
      </c>
      <c r="J25" s="1">
        <v>340.61153615474478</v>
      </c>
      <c r="K25" s="1">
        <v>3.9058325867399539E-2</v>
      </c>
      <c r="L25" s="1">
        <v>164696.46918308284</v>
      </c>
      <c r="M25" s="1">
        <v>0.1067269447963356</v>
      </c>
      <c r="N25" s="1">
        <v>0.512419089634786</v>
      </c>
      <c r="O25" s="1">
        <v>226.45528055756748</v>
      </c>
      <c r="P25" s="1">
        <v>1654.4016894780143</v>
      </c>
      <c r="Q25" s="1">
        <v>1592.3077865881205</v>
      </c>
    </row>
    <row r="26" spans="1:17" x14ac:dyDescent="0.25">
      <c r="A26" s="1">
        <v>39</v>
      </c>
      <c r="B26" s="1">
        <v>1.1872927311071801</v>
      </c>
      <c r="C26" s="1">
        <v>290.84719285901906</v>
      </c>
      <c r="D26" s="1">
        <v>42.935003297203664</v>
      </c>
      <c r="E26" s="1">
        <v>9.4241178971364567E-2</v>
      </c>
      <c r="F26" s="1">
        <v>100000</v>
      </c>
      <c r="G26" s="1">
        <v>5.4436735700576486</v>
      </c>
      <c r="H26" s="1">
        <v>0.48674696353323677</v>
      </c>
      <c r="I26" s="1">
        <v>806.2707214966116</v>
      </c>
      <c r="J26" s="1">
        <v>385.97221270388957</v>
      </c>
      <c r="K26" s="1">
        <v>4.9608329594061605E-2</v>
      </c>
      <c r="L26" s="1">
        <v>154545.5120654646</v>
      </c>
      <c r="M26" s="1">
        <v>9.7580004574298246E-2</v>
      </c>
      <c r="N26" s="1">
        <v>0.53677039714905472</v>
      </c>
      <c r="O26" s="1">
        <v>231.20428264317587</v>
      </c>
      <c r="P26" s="1">
        <v>1729.9907068291723</v>
      </c>
      <c r="Q26" s="1">
        <v>1663.4754127798515</v>
      </c>
    </row>
    <row r="27" spans="1:17" x14ac:dyDescent="0.25">
      <c r="A27" s="1">
        <v>40</v>
      </c>
      <c r="B27" s="1">
        <v>1.185111782490432</v>
      </c>
      <c r="C27" s="1">
        <v>291.82701522341154</v>
      </c>
      <c r="D27" s="1">
        <v>31.623066738730586</v>
      </c>
      <c r="E27" s="1">
        <v>9.5847172887876822E-2</v>
      </c>
      <c r="F27" s="1">
        <v>100000</v>
      </c>
      <c r="G27" s="1">
        <v>2.6375471810802842</v>
      </c>
      <c r="H27" s="1">
        <v>0.47960261039357049</v>
      </c>
      <c r="I27" s="1">
        <v>802.7191915937351</v>
      </c>
      <c r="J27" s="1">
        <v>300.99876491682954</v>
      </c>
      <c r="K27" s="1">
        <v>4.1586963608203555E-2</v>
      </c>
      <c r="L27" s="1">
        <v>158648.17618875444</v>
      </c>
      <c r="M27" s="1">
        <v>0.10941923984294738</v>
      </c>
      <c r="N27" s="1">
        <v>0.53351175656686378</v>
      </c>
      <c r="O27" s="1">
        <v>225.83714162877354</v>
      </c>
      <c r="P27" s="1">
        <v>1232.5516146122754</v>
      </c>
      <c r="Q27" s="1">
        <v>1283.8702563906991</v>
      </c>
    </row>
    <row r="28" spans="1:17" x14ac:dyDescent="0.25">
      <c r="A28" s="1">
        <v>41</v>
      </c>
      <c r="B28" s="1">
        <v>1.1830353128235591</v>
      </c>
      <c r="C28" s="1">
        <v>290.59067002198708</v>
      </c>
      <c r="D28" s="1">
        <v>37.902030309110586</v>
      </c>
      <c r="E28" s="1">
        <v>9.9477505209657646E-2</v>
      </c>
      <c r="F28" s="1">
        <v>100000</v>
      </c>
      <c r="G28" s="1">
        <v>2.9933045781587033</v>
      </c>
      <c r="H28" s="1">
        <v>0.484165682867785</v>
      </c>
      <c r="I28" s="1">
        <v>808.86121297364832</v>
      </c>
      <c r="J28" s="1">
        <v>248.39505898059159</v>
      </c>
      <c r="K28" s="1">
        <v>4.7748547687613489E-2</v>
      </c>
      <c r="L28" s="1">
        <v>154870.84920712697</v>
      </c>
      <c r="M28" s="1">
        <v>0.11340736758429143</v>
      </c>
      <c r="N28" s="1">
        <v>0.51855574788572611</v>
      </c>
      <c r="O28" s="1">
        <v>228.06926272819462</v>
      </c>
      <c r="P28" s="1">
        <v>1151.4305541862777</v>
      </c>
      <c r="Q28" s="1">
        <v>1190.8872028052283</v>
      </c>
    </row>
    <row r="29" spans="1:17" x14ac:dyDescent="0.25">
      <c r="A29" s="1">
        <v>42</v>
      </c>
      <c r="B29" s="1">
        <v>1.1869766889967901</v>
      </c>
      <c r="C29" s="1">
        <v>290.0235473706191</v>
      </c>
      <c r="D29" s="1">
        <v>29.417434009077549</v>
      </c>
      <c r="E29" s="1">
        <v>0.10158789381132523</v>
      </c>
      <c r="F29" s="1">
        <v>100000</v>
      </c>
      <c r="G29" s="1">
        <v>5.5806560039015238</v>
      </c>
      <c r="H29" s="1">
        <v>0.48985361599906913</v>
      </c>
      <c r="I29" s="1">
        <v>788.70948875204601</v>
      </c>
      <c r="J29" s="1">
        <v>292.91826988348481</v>
      </c>
      <c r="K29" s="1">
        <v>6.1265248387094809E-2</v>
      </c>
      <c r="L29" s="1">
        <v>149034.77522756814</v>
      </c>
      <c r="M29" s="1">
        <v>0.10539737366312664</v>
      </c>
      <c r="N29" s="1">
        <v>0.52710752612830247</v>
      </c>
      <c r="O29" s="1">
        <v>226.46841226066672</v>
      </c>
      <c r="P29" s="1">
        <v>1414.8742327828004</v>
      </c>
      <c r="Q29" s="1">
        <v>1421.2928260236658</v>
      </c>
    </row>
    <row r="30" spans="1:17" x14ac:dyDescent="0.25">
      <c r="A30" s="1">
        <v>43</v>
      </c>
      <c r="B30" s="1">
        <v>1.1830898236718601</v>
      </c>
      <c r="C30" s="1">
        <v>291.78690733155673</v>
      </c>
      <c r="D30" s="1">
        <v>35.177283754190171</v>
      </c>
      <c r="E30" s="1">
        <v>0.10185471843018126</v>
      </c>
      <c r="F30" s="1">
        <v>100000</v>
      </c>
      <c r="G30" s="1">
        <v>5.4397081032452261</v>
      </c>
      <c r="H30" s="1">
        <v>0.48205674462971831</v>
      </c>
      <c r="I30" s="1">
        <v>798.01577811377695</v>
      </c>
      <c r="J30" s="1">
        <v>310.73886445858875</v>
      </c>
      <c r="K30" s="1">
        <v>4.6692273858176009E-2</v>
      </c>
      <c r="L30" s="1">
        <v>157269.67646735269</v>
      </c>
      <c r="M30" s="1">
        <v>9.9240177794513995E-2</v>
      </c>
      <c r="N30" s="1">
        <v>0.52454075850800741</v>
      </c>
      <c r="O30" s="1">
        <v>230.82939628775731</v>
      </c>
      <c r="P30" s="1">
        <v>1431.0796292925297</v>
      </c>
      <c r="Q30" s="1">
        <v>1457.1895725844806</v>
      </c>
    </row>
    <row r="31" spans="1:17" x14ac:dyDescent="0.25">
      <c r="A31" s="1">
        <v>44</v>
      </c>
      <c r="B31" s="1">
        <v>1.1841388125730323</v>
      </c>
      <c r="C31" s="1">
        <v>290.50070897780597</v>
      </c>
      <c r="D31" s="1">
        <v>45.83272025435501</v>
      </c>
      <c r="E31" s="1">
        <v>0.10000582576110047</v>
      </c>
      <c r="F31" s="1">
        <v>100000</v>
      </c>
      <c r="G31" s="1">
        <v>5.3077791277816821</v>
      </c>
      <c r="H31" s="1">
        <v>0.4854435073470203</v>
      </c>
      <c r="I31" s="1">
        <v>800.54172870123955</v>
      </c>
      <c r="J31" s="1">
        <v>343.18694026096568</v>
      </c>
      <c r="K31" s="1">
        <v>4.3486920636574708E-2</v>
      </c>
      <c r="L31" s="1">
        <v>154732.35242059655</v>
      </c>
      <c r="M31" s="1">
        <v>9.8181893369608503E-2</v>
      </c>
      <c r="N31" s="1">
        <v>0.50538960846967229</v>
      </c>
      <c r="O31" s="1">
        <v>233.9462871688394</v>
      </c>
      <c r="P31" s="1">
        <v>1605.269539738707</v>
      </c>
      <c r="Q31" s="1">
        <v>1574.4142518254375</v>
      </c>
    </row>
    <row r="32" spans="1:17" x14ac:dyDescent="0.25">
      <c r="A32" s="1">
        <v>45</v>
      </c>
      <c r="B32" s="1">
        <v>1.1826803690941177</v>
      </c>
      <c r="C32" s="1">
        <v>291.91720223137287</v>
      </c>
      <c r="D32" s="1">
        <v>31.246225583163749</v>
      </c>
      <c r="E32" s="1">
        <v>9.4007363637526292E-2</v>
      </c>
      <c r="F32" s="1">
        <v>100000</v>
      </c>
      <c r="G32" s="1">
        <v>2.8785597318165737</v>
      </c>
      <c r="H32" s="1">
        <v>0.47999661784055148</v>
      </c>
      <c r="I32" s="1">
        <v>793.10011292898935</v>
      </c>
      <c r="J32" s="1">
        <v>358.44529659058776</v>
      </c>
      <c r="K32" s="1">
        <v>3.9031360535332217E-2</v>
      </c>
      <c r="L32" s="1">
        <v>167966.18928001463</v>
      </c>
      <c r="M32" s="1">
        <v>0.10425924328557352</v>
      </c>
      <c r="N32" s="1">
        <v>0.53180790695988112</v>
      </c>
      <c r="O32" s="1">
        <v>225.87612576418184</v>
      </c>
      <c r="P32" s="1">
        <v>1450.1793578652942</v>
      </c>
      <c r="Q32" s="1">
        <v>1497.6269386582571</v>
      </c>
    </row>
    <row r="33" spans="1:17" x14ac:dyDescent="0.25">
      <c r="A33" s="1">
        <v>46</v>
      </c>
      <c r="B33" s="1">
        <v>1.1857534489337771</v>
      </c>
      <c r="C33" s="1">
        <v>290.0841635523131</v>
      </c>
      <c r="D33" s="1">
        <v>32.088283011919749</v>
      </c>
      <c r="E33" s="1">
        <v>9.9028248046046652E-2</v>
      </c>
      <c r="F33" s="1">
        <v>100000</v>
      </c>
      <c r="G33" s="1">
        <v>3.5476475060874328</v>
      </c>
      <c r="H33" s="1">
        <v>0.48725903838281992</v>
      </c>
      <c r="I33" s="1">
        <v>788.8163854808937</v>
      </c>
      <c r="J33" s="1">
        <v>372.91590789227405</v>
      </c>
      <c r="K33" s="1">
        <v>4.3668050256914559E-2</v>
      </c>
      <c r="L33" s="1">
        <v>164921.1089575915</v>
      </c>
      <c r="M33" s="1">
        <v>0.10925503144567542</v>
      </c>
      <c r="N33" s="1">
        <v>0.51282510120447389</v>
      </c>
      <c r="O33" s="1">
        <v>225.9178491556728</v>
      </c>
      <c r="P33" s="1">
        <v>1621.6673645483606</v>
      </c>
      <c r="Q33" s="1">
        <v>1604.8164135180268</v>
      </c>
    </row>
    <row r="34" spans="1:17" x14ac:dyDescent="0.25">
      <c r="A34" s="1">
        <v>48</v>
      </c>
      <c r="B34" s="1">
        <v>1.1841763029494066</v>
      </c>
      <c r="C34" s="1">
        <v>290.27844074056986</v>
      </c>
      <c r="D34" s="1">
        <v>41.314779339696628</v>
      </c>
      <c r="E34" s="1">
        <v>9.905447222527336E-2</v>
      </c>
      <c r="F34" s="1">
        <v>100000</v>
      </c>
      <c r="G34" s="1">
        <v>3.0407667096714475</v>
      </c>
      <c r="H34" s="1">
        <v>0.48929114374752702</v>
      </c>
      <c r="I34" s="1">
        <v>794.38829889069518</v>
      </c>
      <c r="J34" s="1">
        <v>332.05755393872619</v>
      </c>
      <c r="K34" s="1">
        <v>5.4421175754162734E-2</v>
      </c>
      <c r="L34" s="1">
        <v>155536.47067642637</v>
      </c>
      <c r="M34" s="1">
        <v>0.10460653010577602</v>
      </c>
      <c r="N34" s="1">
        <v>0.52574594605488389</v>
      </c>
      <c r="O34" s="1">
        <v>229.55107298883505</v>
      </c>
      <c r="P34" s="1">
        <v>1436.5738962757678</v>
      </c>
      <c r="Q34" s="1">
        <v>1431.3673568104132</v>
      </c>
    </row>
    <row r="35" spans="1:17" x14ac:dyDescent="0.25">
      <c r="A35" s="1">
        <v>49</v>
      </c>
      <c r="B35" s="1">
        <v>1.1839969905188263</v>
      </c>
      <c r="C35" s="1">
        <v>290.51168852511518</v>
      </c>
      <c r="D35" s="1">
        <v>42.243811742341734</v>
      </c>
      <c r="E35" s="1">
        <v>9.9784281463172628E-2</v>
      </c>
      <c r="F35" s="1">
        <v>100000</v>
      </c>
      <c r="G35" s="1">
        <v>4.7302119070458266</v>
      </c>
      <c r="H35" s="1">
        <v>0.48004133298338225</v>
      </c>
      <c r="I35" s="1">
        <v>808.26752888793817</v>
      </c>
      <c r="J35" s="1">
        <v>297.06176666576494</v>
      </c>
      <c r="K35" s="1">
        <v>5.8663488346134232E-2</v>
      </c>
      <c r="L35" s="1">
        <v>163279.43423280615</v>
      </c>
      <c r="M35" s="1">
        <v>0.1057832013123914</v>
      </c>
      <c r="N35" s="1">
        <v>0.51037245595634262</v>
      </c>
      <c r="O35" s="1">
        <v>229.68377611746106</v>
      </c>
      <c r="P35" s="1">
        <v>1502.1489992306379</v>
      </c>
      <c r="Q35" s="1">
        <v>1470.2260400792438</v>
      </c>
    </row>
    <row r="36" spans="1:17" x14ac:dyDescent="0.25">
      <c r="A36" s="1">
        <v>50</v>
      </c>
      <c r="B36" s="1">
        <v>1.1855770553826048</v>
      </c>
      <c r="C36" s="1">
        <v>291.54936185486235</v>
      </c>
      <c r="D36" s="1">
        <v>41.949279267618216</v>
      </c>
      <c r="E36" s="1">
        <v>9.6116186056914618E-2</v>
      </c>
      <c r="F36" s="1">
        <v>100000</v>
      </c>
      <c r="G36" s="1">
        <v>4.8019210769434544</v>
      </c>
      <c r="H36" s="1">
        <v>0.4800961263809102</v>
      </c>
      <c r="I36" s="1">
        <v>792.97022591369944</v>
      </c>
      <c r="J36" s="1">
        <v>372.70768926802134</v>
      </c>
      <c r="K36" s="1">
        <v>4.1523001390772779E-2</v>
      </c>
      <c r="L36" s="1">
        <v>155179.18124556763</v>
      </c>
      <c r="M36" s="1">
        <v>0.10727329099900246</v>
      </c>
      <c r="N36" s="1">
        <v>0.52174924519898602</v>
      </c>
      <c r="O36" s="1">
        <v>231.36094110772473</v>
      </c>
      <c r="P36" s="1">
        <v>1603.5885452179282</v>
      </c>
      <c r="Q36" s="1">
        <v>1583.4390446111356</v>
      </c>
    </row>
  </sheetData>
  <printOptions horizontalCentered="1"/>
  <pageMargins left="0.51181102362204722" right="0.51181102362204722" top="0.78740157480314965" bottom="0.78740157480314965" header="0.31496062992125984" footer="0.31496062992125984"/>
  <pageSetup paperSize="9" scale="85" fitToHeight="4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R105"/>
  <sheetViews>
    <sheetView topLeftCell="A96" zoomScale="145" zoomScaleNormal="145" workbookViewId="0">
      <selection activeCell="B105" sqref="B105"/>
    </sheetView>
  </sheetViews>
  <sheetFormatPr defaultRowHeight="15" x14ac:dyDescent="0.25"/>
  <cols>
    <col min="22" max="22" width="10.7109375" bestFit="1" customWidth="1"/>
    <col min="23" max="24" width="14.28515625" bestFit="1" customWidth="1"/>
    <col min="25" max="27" width="14.28515625" customWidth="1"/>
  </cols>
  <sheetData>
    <row r="1" spans="1:18" x14ac:dyDescent="0.25">
      <c r="A1" s="1" t="s">
        <v>49</v>
      </c>
      <c r="B1" s="1" t="s">
        <v>50</v>
      </c>
      <c r="C1" s="1" t="s">
        <v>67</v>
      </c>
      <c r="D1" s="1" t="s">
        <v>68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51</v>
      </c>
      <c r="J1" s="1" t="s">
        <v>52</v>
      </c>
      <c r="K1" s="1" t="s">
        <v>57</v>
      </c>
      <c r="L1" s="1" t="s">
        <v>58</v>
      </c>
      <c r="M1" s="1" t="s">
        <v>69</v>
      </c>
      <c r="N1" s="1" t="s">
        <v>59</v>
      </c>
      <c r="O1" s="1" t="s">
        <v>60</v>
      </c>
      <c r="P1" s="1" t="s">
        <v>65</v>
      </c>
      <c r="Q1" t="s">
        <v>66</v>
      </c>
      <c r="R1" t="s">
        <v>48</v>
      </c>
    </row>
    <row r="2" spans="1:18" x14ac:dyDescent="0.25">
      <c r="A2" s="1">
        <v>1</v>
      </c>
      <c r="B2" s="1">
        <v>1.1667530292701285</v>
      </c>
      <c r="C2" s="1">
        <v>286.667814853697</v>
      </c>
      <c r="D2" s="1">
        <v>49.320530346724809</v>
      </c>
      <c r="E2" s="1">
        <v>0.16965971584048542</v>
      </c>
      <c r="F2" s="1">
        <v>100000</v>
      </c>
      <c r="G2" s="1">
        <v>2.295154926737681</v>
      </c>
      <c r="H2" s="1">
        <v>0.4126623629590726</v>
      </c>
      <c r="I2" s="1">
        <v>763.12336098254946</v>
      </c>
      <c r="J2" s="1">
        <v>658.63039850330097</v>
      </c>
      <c r="K2" s="1">
        <v>4.6033458396396595E-2</v>
      </c>
      <c r="L2" s="1">
        <v>192584.85386646137</v>
      </c>
      <c r="M2" s="1">
        <v>0.14992799634844137</v>
      </c>
      <c r="N2" s="1">
        <v>0.78927563588214744</v>
      </c>
      <c r="O2" s="1">
        <v>240.59562282956699</v>
      </c>
      <c r="P2" s="1">
        <v>2540.1111195078629</v>
      </c>
      <c r="Q2">
        <v>2546.6386047436245</v>
      </c>
      <c r="R2" t="s">
        <v>64</v>
      </c>
    </row>
    <row r="3" spans="1:18" x14ac:dyDescent="0.25">
      <c r="A3" s="1">
        <v>2</v>
      </c>
      <c r="B3" s="1">
        <v>1.1637387993215749</v>
      </c>
      <c r="C3" s="1">
        <v>290.32608405394734</v>
      </c>
      <c r="D3" s="1">
        <v>76.356998217360712</v>
      </c>
      <c r="E3" s="1">
        <v>0.15408288442378273</v>
      </c>
      <c r="F3" s="1">
        <v>100000</v>
      </c>
      <c r="G3" s="1">
        <v>9.8468249107742398</v>
      </c>
      <c r="H3" s="1">
        <v>0.4045255822862811</v>
      </c>
      <c r="I3" s="1">
        <v>757.44703132454254</v>
      </c>
      <c r="J3" s="1">
        <v>557.67749827552518</v>
      </c>
      <c r="K3" s="1">
        <v>3.6015896098957501E-2</v>
      </c>
      <c r="L3" s="1">
        <v>137362.82880296651</v>
      </c>
      <c r="M3" s="1">
        <v>8.9715847756492551E-2</v>
      </c>
      <c r="N3" s="1">
        <v>0.6519625179348818</v>
      </c>
      <c r="O3" s="1">
        <v>186.19577049529653</v>
      </c>
      <c r="P3" s="1">
        <v>2772.9128895238318</v>
      </c>
      <c r="Q3">
        <v>2670.4870721521875</v>
      </c>
      <c r="R3" t="s">
        <v>64</v>
      </c>
    </row>
    <row r="4" spans="1:18" x14ac:dyDescent="0.25">
      <c r="A4" s="1">
        <v>3</v>
      </c>
      <c r="B4" s="1">
        <v>1.2044158756957899</v>
      </c>
      <c r="C4" s="1">
        <v>292.14325950932323</v>
      </c>
      <c r="D4" s="1">
        <v>13.784159862966366</v>
      </c>
      <c r="E4" s="1">
        <v>0.13519853459984163</v>
      </c>
      <c r="F4" s="1">
        <v>100000</v>
      </c>
      <c r="G4" s="1">
        <v>6.4358138575449297</v>
      </c>
      <c r="H4" s="1">
        <v>0.47521773855147065</v>
      </c>
      <c r="I4" s="1">
        <v>859.52565190576479</v>
      </c>
      <c r="J4" s="1">
        <v>517.43981495248045</v>
      </c>
      <c r="K4" s="1">
        <v>1.7006569355698664E-2</v>
      </c>
      <c r="L4" s="1">
        <v>185485.27945778327</v>
      </c>
      <c r="M4" s="1">
        <v>0.16777236757156772</v>
      </c>
      <c r="N4" s="1">
        <v>0.43828899956512724</v>
      </c>
      <c r="O4" s="1">
        <v>239.06278275957965</v>
      </c>
      <c r="P4" s="1">
        <v>1994.1680413612557</v>
      </c>
      <c r="Q4">
        <v>2058.6918972210115</v>
      </c>
      <c r="R4" t="s">
        <v>64</v>
      </c>
    </row>
    <row r="5" spans="1:18" x14ac:dyDescent="0.25">
      <c r="A5" s="1">
        <v>4</v>
      </c>
      <c r="B5" s="1">
        <v>1.2018688128286317</v>
      </c>
      <c r="C5" s="1">
        <v>287.61774275795892</v>
      </c>
      <c r="D5" s="1">
        <v>8.6713341362277312</v>
      </c>
      <c r="E5" s="1">
        <v>0.14513980393738357</v>
      </c>
      <c r="F5" s="1">
        <v>100000</v>
      </c>
      <c r="G5" s="1">
        <v>3.9557365545934529</v>
      </c>
      <c r="H5" s="1">
        <v>0.40536326269660922</v>
      </c>
      <c r="I5" s="1">
        <v>746.3217180846417</v>
      </c>
      <c r="J5" s="1">
        <v>210.30805809632758</v>
      </c>
      <c r="K5" s="1">
        <v>7.3861776337964147E-2</v>
      </c>
      <c r="L5" s="1">
        <v>134020.17059652868</v>
      </c>
      <c r="M5" s="1">
        <v>9.2737693283689776E-2</v>
      </c>
      <c r="N5" s="1">
        <v>0.35417266633745054</v>
      </c>
      <c r="O5" s="1">
        <v>224.56427150900089</v>
      </c>
      <c r="P5" s="1">
        <v>941.24542910436139</v>
      </c>
      <c r="Q5">
        <v>959.82423643535003</v>
      </c>
      <c r="R5" t="s">
        <v>64</v>
      </c>
    </row>
    <row r="6" spans="1:18" x14ac:dyDescent="0.25">
      <c r="A6" s="1">
        <v>5</v>
      </c>
      <c r="B6" s="1">
        <v>1.1624211650174012</v>
      </c>
      <c r="C6" s="1">
        <v>295.2257330474572</v>
      </c>
      <c r="D6" s="1">
        <v>48.629963933721875</v>
      </c>
      <c r="E6" s="1">
        <v>0.14641587052709071</v>
      </c>
      <c r="F6" s="1">
        <v>100000</v>
      </c>
      <c r="G6" s="1">
        <v>4.458847216472912</v>
      </c>
      <c r="H6" s="1">
        <v>0.5195577076855552</v>
      </c>
      <c r="I6" s="1">
        <v>804.08653698499779</v>
      </c>
      <c r="J6" s="1">
        <v>101.83915416795141</v>
      </c>
      <c r="K6" s="1">
        <v>5.9270832515313294E-2</v>
      </c>
      <c r="L6" s="1">
        <v>166657.7923230585</v>
      </c>
      <c r="M6" s="1">
        <v>0.16382232942267907</v>
      </c>
      <c r="N6" s="1">
        <v>0.75663519499451459</v>
      </c>
      <c r="O6" s="1">
        <v>180.88562253366283</v>
      </c>
      <c r="P6" s="1">
        <v>924.96078076649428</v>
      </c>
      <c r="Q6">
        <v>980.22089888299524</v>
      </c>
      <c r="R6" t="s">
        <v>47</v>
      </c>
    </row>
    <row r="7" spans="1:18" x14ac:dyDescent="0.25">
      <c r="A7" s="1">
        <v>6</v>
      </c>
      <c r="B7" s="1">
        <v>1.1705519537285254</v>
      </c>
      <c r="C7" s="1">
        <v>296.41512812195037</v>
      </c>
      <c r="D7" s="1">
        <v>17.09713766634048</v>
      </c>
      <c r="E7" s="1">
        <v>1.1297325946142467E-2</v>
      </c>
      <c r="F7" s="1">
        <v>100000</v>
      </c>
      <c r="G7" s="1">
        <v>7.797394521943243</v>
      </c>
      <c r="H7" s="1">
        <v>0.42511131650732253</v>
      </c>
      <c r="I7" s="1">
        <v>837.90801417929572</v>
      </c>
      <c r="J7" s="1">
        <v>302.03935286183753</v>
      </c>
      <c r="K7" s="1">
        <v>4.7695453847198456E-2</v>
      </c>
      <c r="L7" s="1">
        <v>153967.22939929293</v>
      </c>
      <c r="M7" s="1">
        <v>9.8065370514674718E-2</v>
      </c>
      <c r="N7" s="1">
        <v>0.38261673701297944</v>
      </c>
      <c r="O7" s="1">
        <v>253.5264895781134</v>
      </c>
      <c r="P7" s="1">
        <v>1149.0235776170666</v>
      </c>
      <c r="Q7">
        <v>1284.3645981152949</v>
      </c>
      <c r="R7" t="s">
        <v>47</v>
      </c>
    </row>
    <row r="8" spans="1:18" x14ac:dyDescent="0.25">
      <c r="A8" s="1">
        <v>7</v>
      </c>
      <c r="B8" s="1">
        <v>1.1844912972126356</v>
      </c>
      <c r="C8" s="1">
        <v>292.49460715577453</v>
      </c>
      <c r="D8" s="1">
        <v>33.127492000668468</v>
      </c>
      <c r="E8" s="1">
        <v>7.9639208012270035E-2</v>
      </c>
      <c r="F8" s="1">
        <v>100000</v>
      </c>
      <c r="G8" s="1">
        <v>5.6658027027726323</v>
      </c>
      <c r="H8" s="1">
        <v>0.4371472740198078</v>
      </c>
      <c r="I8" s="1">
        <v>754.66903685224577</v>
      </c>
      <c r="J8" s="1">
        <v>349.83626512934336</v>
      </c>
      <c r="K8" s="1">
        <v>9.6412103175524226E-3</v>
      </c>
      <c r="L8" s="1">
        <v>119811.62098438881</v>
      </c>
      <c r="M8" s="1">
        <v>0.13250757810119448</v>
      </c>
      <c r="N8" s="1">
        <v>0.57735705772685963</v>
      </c>
      <c r="O8" s="1">
        <v>183.64603438472477</v>
      </c>
      <c r="P8" s="1">
        <v>1387.1107206908564</v>
      </c>
      <c r="Q8">
        <v>1406.3513688238454</v>
      </c>
      <c r="R8" t="s">
        <v>64</v>
      </c>
    </row>
    <row r="9" spans="1:18" x14ac:dyDescent="0.25">
      <c r="A9" s="1">
        <v>8</v>
      </c>
      <c r="B9" s="1">
        <v>1.1752045171504428</v>
      </c>
      <c r="C9" s="1">
        <v>297.74115631905158</v>
      </c>
      <c r="D9" s="1">
        <v>8.6568593347077503</v>
      </c>
      <c r="E9" s="1">
        <v>3.3736437305737742E-2</v>
      </c>
      <c r="F9" s="1">
        <v>100000</v>
      </c>
      <c r="G9" s="1">
        <v>9.388218612579923</v>
      </c>
      <c r="H9" s="1">
        <v>0.50262940547937096</v>
      </c>
      <c r="I9" s="1">
        <v>878.12281029710459</v>
      </c>
      <c r="J9" s="1">
        <v>67.154104815149424</v>
      </c>
      <c r="K9" s="1">
        <v>3.4689302241255798E-2</v>
      </c>
      <c r="L9" s="1">
        <v>199671.44947157963</v>
      </c>
      <c r="M9" s="1">
        <v>0.10720512038672406</v>
      </c>
      <c r="N9" s="1">
        <v>0.46647876339672478</v>
      </c>
      <c r="O9" s="1">
        <v>186.42886849743837</v>
      </c>
      <c r="P9" s="1">
        <v>1923.1835614032389</v>
      </c>
      <c r="Q9">
        <v>1907.2442373950034</v>
      </c>
      <c r="R9" t="s">
        <v>64</v>
      </c>
    </row>
    <row r="10" spans="1:18" x14ac:dyDescent="0.25">
      <c r="A10" s="1">
        <v>9</v>
      </c>
      <c r="B10" s="1">
        <v>1.1673522130512617</v>
      </c>
      <c r="C10" s="1">
        <v>288.01301652492492</v>
      </c>
      <c r="D10" s="1">
        <v>51.456322528257381</v>
      </c>
      <c r="E10" s="1">
        <v>8.8357454783872136E-2</v>
      </c>
      <c r="F10" s="1">
        <v>100000</v>
      </c>
      <c r="G10" s="1">
        <v>0.48784627155270305</v>
      </c>
      <c r="H10" s="1">
        <v>0.43366599179372411</v>
      </c>
      <c r="I10" s="1">
        <v>872.55918071164012</v>
      </c>
      <c r="J10" s="1">
        <v>161.87108595576785</v>
      </c>
      <c r="K10" s="1">
        <v>6.7894040642083459E-2</v>
      </c>
      <c r="L10" s="1">
        <v>156204.81820432932</v>
      </c>
      <c r="M10" s="1">
        <v>5.0835808904804887E-2</v>
      </c>
      <c r="N10" s="1">
        <v>0.51876130569857337</v>
      </c>
      <c r="O10" s="1">
        <v>242.27817879563568</v>
      </c>
      <c r="P10" s="1">
        <v>913.3044898399894</v>
      </c>
      <c r="Q10">
        <v>907.71156736390549</v>
      </c>
      <c r="R10" t="s">
        <v>64</v>
      </c>
    </row>
    <row r="11" spans="1:18" x14ac:dyDescent="0.25">
      <c r="A11" s="1">
        <v>10</v>
      </c>
      <c r="B11" s="1">
        <v>1.1599999999999999</v>
      </c>
      <c r="C11" s="1">
        <v>300</v>
      </c>
      <c r="D11" s="1">
        <v>2</v>
      </c>
      <c r="E11" s="1">
        <v>8.0000000000000002E-3</v>
      </c>
      <c r="F11" s="1">
        <v>100000</v>
      </c>
      <c r="G11" s="1">
        <v>1.7999999999999999E-2</v>
      </c>
      <c r="H11" s="1">
        <v>0.43</v>
      </c>
      <c r="I11" s="1">
        <v>800</v>
      </c>
      <c r="J11" s="1">
        <v>5</v>
      </c>
      <c r="K11" s="1">
        <v>8.0000000000000002E-3</v>
      </c>
      <c r="L11" s="1">
        <v>145666.65321070363</v>
      </c>
      <c r="M11" s="1">
        <v>0.05</v>
      </c>
      <c r="N11" s="1">
        <v>0.33</v>
      </c>
      <c r="O11" s="1">
        <v>260</v>
      </c>
      <c r="P11" s="1">
        <v>0.06</v>
      </c>
      <c r="Q11">
        <v>-274.2633721458551</v>
      </c>
      <c r="R11" t="s">
        <v>47</v>
      </c>
    </row>
    <row r="12" spans="1:18" x14ac:dyDescent="0.25">
      <c r="A12" s="1">
        <v>11</v>
      </c>
      <c r="B12" s="1">
        <v>1.1863645271249033</v>
      </c>
      <c r="C12" s="1">
        <v>294.02941129868037</v>
      </c>
      <c r="D12" s="1">
        <v>13.037246120227197</v>
      </c>
      <c r="E12" s="1">
        <v>9.8599031473302109E-2</v>
      </c>
      <c r="F12" s="1">
        <v>100000</v>
      </c>
      <c r="G12" s="1">
        <v>2.8359104940982225</v>
      </c>
      <c r="H12" s="1">
        <v>0.4006640491038907</v>
      </c>
      <c r="I12" s="1">
        <v>875.80464183734</v>
      </c>
      <c r="J12" s="1">
        <v>524.92679152448727</v>
      </c>
      <c r="K12" s="1">
        <v>5.0520113780222795E-2</v>
      </c>
      <c r="L12" s="1">
        <v>118231.58451703473</v>
      </c>
      <c r="M12" s="1">
        <v>0.14535954538161339</v>
      </c>
      <c r="N12" s="1">
        <v>0.61141248666221903</v>
      </c>
      <c r="O12" s="1">
        <v>198.02834093429564</v>
      </c>
      <c r="P12" s="1">
        <v>1973.9178719820266</v>
      </c>
      <c r="Q12">
        <v>1965.2666741884314</v>
      </c>
      <c r="R12" t="s">
        <v>64</v>
      </c>
    </row>
    <row r="13" spans="1:18" x14ac:dyDescent="0.25">
      <c r="A13" s="1">
        <v>12</v>
      </c>
      <c r="B13" s="1">
        <v>1.1729645406537783</v>
      </c>
      <c r="C13" s="1">
        <v>293.39660969092347</v>
      </c>
      <c r="D13" s="1">
        <v>66.486766660015746</v>
      </c>
      <c r="E13" s="1">
        <v>0.13917979513766859</v>
      </c>
      <c r="F13" s="1">
        <v>100000</v>
      </c>
      <c r="G13" s="1">
        <v>0.54758259115975338</v>
      </c>
      <c r="H13" s="1">
        <v>0.50760459962582272</v>
      </c>
      <c r="I13" s="1">
        <v>757.77837271387534</v>
      </c>
      <c r="J13" s="1">
        <v>252.82665385718241</v>
      </c>
      <c r="K13" s="1">
        <v>4.9254877084440554E-2</v>
      </c>
      <c r="L13" s="1">
        <v>161577.46491429102</v>
      </c>
      <c r="M13" s="1">
        <v>9.3950193646043512E-2</v>
      </c>
      <c r="N13" s="1">
        <v>0.65428073687006583</v>
      </c>
      <c r="O13" s="1">
        <v>242.55474133985615</v>
      </c>
      <c r="P13" s="1">
        <v>990.02375374285475</v>
      </c>
      <c r="Q13">
        <v>1121.6253661275987</v>
      </c>
      <c r="R13" t="s">
        <v>47</v>
      </c>
    </row>
    <row r="14" spans="1:18" x14ac:dyDescent="0.25">
      <c r="A14" s="1">
        <v>13</v>
      </c>
      <c r="B14" s="1">
        <v>1.1715399378752125</v>
      </c>
      <c r="C14" s="1">
        <v>293.9186882234294</v>
      </c>
      <c r="D14" s="1">
        <v>10.639739294747354</v>
      </c>
      <c r="E14" s="1">
        <v>0.14589480298499208</v>
      </c>
      <c r="F14" s="1">
        <v>100000</v>
      </c>
      <c r="G14" s="1">
        <v>6.2802530069970279</v>
      </c>
      <c r="H14" s="1">
        <v>0.48129577225547154</v>
      </c>
      <c r="I14" s="1">
        <v>796.1142927222711</v>
      </c>
      <c r="J14" s="1">
        <v>485.07747877766099</v>
      </c>
      <c r="K14" s="1">
        <v>2.3442500483973602E-2</v>
      </c>
      <c r="L14" s="1">
        <v>126852.1169651916</v>
      </c>
      <c r="M14" s="1">
        <v>5.5247567391543219E-2</v>
      </c>
      <c r="N14" s="1">
        <v>0.405983829114971</v>
      </c>
      <c r="O14" s="1">
        <v>202.86834376671251</v>
      </c>
      <c r="P14" s="1">
        <v>1876.833326313812</v>
      </c>
      <c r="Q14">
        <v>1872.5203036362655</v>
      </c>
      <c r="R14" t="s">
        <v>64</v>
      </c>
    </row>
    <row r="15" spans="1:18" x14ac:dyDescent="0.25">
      <c r="A15" s="1">
        <v>14</v>
      </c>
      <c r="B15" s="1">
        <v>1.1834600513440603</v>
      </c>
      <c r="C15" s="1">
        <v>296.79928024976806</v>
      </c>
      <c r="D15" s="1">
        <v>51.944594682467695</v>
      </c>
      <c r="E15" s="1">
        <v>9.4607762713498134E-2</v>
      </c>
      <c r="F15" s="1">
        <v>100000</v>
      </c>
      <c r="G15" s="1">
        <v>2.728392895448442</v>
      </c>
      <c r="H15" s="1">
        <v>0.49397624430053633</v>
      </c>
      <c r="I15" s="1">
        <v>764.25953532885876</v>
      </c>
      <c r="J15" s="1">
        <v>198.45624273815665</v>
      </c>
      <c r="K15" s="1">
        <v>1.0515926035967847E-2</v>
      </c>
      <c r="L15" s="1">
        <v>162181.73402825234</v>
      </c>
      <c r="M15" s="1">
        <v>0.1011693044377161</v>
      </c>
      <c r="N15" s="1">
        <v>0.41676968418847427</v>
      </c>
      <c r="O15" s="1">
        <v>205.09057136416428</v>
      </c>
      <c r="P15" s="1">
        <v>855.70743371725985</v>
      </c>
      <c r="Q15">
        <v>1016.9388508225675</v>
      </c>
      <c r="R15" t="s">
        <v>47</v>
      </c>
    </row>
    <row r="16" spans="1:18" x14ac:dyDescent="0.25">
      <c r="A16" s="1">
        <v>15</v>
      </c>
      <c r="B16" s="1">
        <v>1.1788818218014081</v>
      </c>
      <c r="C16" s="1">
        <v>291.40269925733168</v>
      </c>
      <c r="D16" s="1">
        <v>17.155108207148217</v>
      </c>
      <c r="E16" s="1">
        <v>0.12416363904584618</v>
      </c>
      <c r="F16" s="1">
        <v>100000</v>
      </c>
      <c r="G16" s="1">
        <v>8.6604743009740854</v>
      </c>
      <c r="H16" s="1">
        <v>0.50364466674952724</v>
      </c>
      <c r="I16" s="1">
        <v>856.32376372973397</v>
      </c>
      <c r="J16" s="1">
        <v>128.82182759155734</v>
      </c>
      <c r="K16" s="1">
        <v>1.911811758958129E-2</v>
      </c>
      <c r="L16" s="1">
        <v>174918.71712178297</v>
      </c>
      <c r="M16" s="1">
        <v>0.12237837266074655</v>
      </c>
      <c r="N16" s="1">
        <v>0.60926705612178278</v>
      </c>
      <c r="O16" s="1">
        <v>214.09505846836413</v>
      </c>
      <c r="P16" s="1">
        <v>1335.7393316167218</v>
      </c>
      <c r="Q16">
        <v>1355.7546034628176</v>
      </c>
      <c r="R16" t="s">
        <v>64</v>
      </c>
    </row>
    <row r="17" spans="1:18" x14ac:dyDescent="0.25">
      <c r="A17" s="1">
        <v>16</v>
      </c>
      <c r="B17" s="1">
        <v>1.189828922648337</v>
      </c>
      <c r="C17" s="1">
        <v>289.45455163709482</v>
      </c>
      <c r="D17" s="1">
        <v>34.419859616428127</v>
      </c>
      <c r="E17" s="1">
        <v>0.1361962383603624</v>
      </c>
      <c r="F17" s="1">
        <v>100000</v>
      </c>
      <c r="G17" s="1">
        <v>3.2453864996373891</v>
      </c>
      <c r="H17" s="1">
        <v>0.50301948429145638</v>
      </c>
      <c r="I17" s="1">
        <v>772.61660641449919</v>
      </c>
      <c r="J17" s="1">
        <v>411.56178074535433</v>
      </c>
      <c r="K17" s="1">
        <v>3.4990681829183398E-2</v>
      </c>
      <c r="L17" s="1">
        <v>172788.33553333563</v>
      </c>
      <c r="M17" s="1">
        <v>0.13800175778086837</v>
      </c>
      <c r="N17" s="1">
        <v>0.65536084157339003</v>
      </c>
      <c r="O17" s="1">
        <v>214.73922983279206</v>
      </c>
      <c r="P17" s="1">
        <v>1794.3802535401119</v>
      </c>
      <c r="Q17">
        <v>1765.9772747281968</v>
      </c>
      <c r="R17" t="s">
        <v>64</v>
      </c>
    </row>
    <row r="18" spans="1:18" x14ac:dyDescent="0.25">
      <c r="A18" s="1">
        <v>17</v>
      </c>
      <c r="B18" s="1">
        <v>1.1797900198056976</v>
      </c>
      <c r="C18" s="1">
        <v>290.67264167452203</v>
      </c>
      <c r="D18" s="1">
        <v>66.026138134958799</v>
      </c>
      <c r="E18" s="1">
        <v>0.1180464638117775</v>
      </c>
      <c r="F18" s="1">
        <v>100000</v>
      </c>
      <c r="G18" s="1">
        <v>1.2418117434650759</v>
      </c>
      <c r="H18" s="1">
        <v>0.47787253304630201</v>
      </c>
      <c r="I18" s="1">
        <v>796.06474478961582</v>
      </c>
      <c r="J18" s="1">
        <v>467.94523334836521</v>
      </c>
      <c r="K18" s="1">
        <v>1.6199251332970285E-2</v>
      </c>
      <c r="L18" s="1">
        <v>144799.10797847839</v>
      </c>
      <c r="M18" s="1">
        <v>0.12937872250377058</v>
      </c>
      <c r="N18" s="1">
        <v>0.52336254094954071</v>
      </c>
      <c r="O18" s="1">
        <v>226.32793943076197</v>
      </c>
      <c r="P18" s="1">
        <v>1702.9714892952979</v>
      </c>
      <c r="Q18">
        <v>1702.5504279360175</v>
      </c>
      <c r="R18" t="s">
        <v>64</v>
      </c>
    </row>
    <row r="19" spans="1:18" x14ac:dyDescent="0.25">
      <c r="A19" s="1">
        <v>18</v>
      </c>
      <c r="B19" s="1">
        <v>1.1844814367889824</v>
      </c>
      <c r="C19" s="1">
        <v>289.99342718337044</v>
      </c>
      <c r="D19" s="1">
        <v>57.144293069411361</v>
      </c>
      <c r="E19" s="1">
        <v>8.6295563133106309E-2</v>
      </c>
      <c r="F19" s="1">
        <v>100000</v>
      </c>
      <c r="G19" s="1">
        <v>4.2378197818462562</v>
      </c>
      <c r="H19" s="1">
        <v>0.47315260998239073</v>
      </c>
      <c r="I19" s="1">
        <v>766.46691433177523</v>
      </c>
      <c r="J19" s="1">
        <v>227.60699852590272</v>
      </c>
      <c r="K19" s="1">
        <v>2.1337609191090363E-2</v>
      </c>
      <c r="L19" s="1">
        <v>177474.71199794975</v>
      </c>
      <c r="M19" s="1">
        <v>0.1267271730044888</v>
      </c>
      <c r="N19" s="1">
        <v>0.58285015363379078</v>
      </c>
      <c r="O19" s="1">
        <v>222.55480535772159</v>
      </c>
      <c r="P19" s="1">
        <v>1610.1124068199933</v>
      </c>
      <c r="Q19">
        <v>1528.7826119973761</v>
      </c>
      <c r="R19" t="s">
        <v>47</v>
      </c>
    </row>
    <row r="20" spans="1:18" x14ac:dyDescent="0.25">
      <c r="A20" s="1">
        <v>19</v>
      </c>
      <c r="B20" s="1">
        <v>1.1740108036653045</v>
      </c>
      <c r="C20" s="1">
        <v>294.18421439601582</v>
      </c>
      <c r="D20" s="1">
        <v>12.472413966080417</v>
      </c>
      <c r="E20" s="1">
        <v>7.3532746256728482E-2</v>
      </c>
      <c r="F20" s="1">
        <v>100000</v>
      </c>
      <c r="G20" s="1">
        <v>4.3413156370180292</v>
      </c>
      <c r="H20" s="1">
        <v>0.47937211126068502</v>
      </c>
      <c r="I20" s="1">
        <v>856.89120321277517</v>
      </c>
      <c r="J20" s="1">
        <v>204.55512875290879</v>
      </c>
      <c r="K20" s="1">
        <v>3.9142450608180529E-2</v>
      </c>
      <c r="L20" s="1">
        <v>153067.13892342028</v>
      </c>
      <c r="M20" s="1">
        <v>8.6462074165304187E-2</v>
      </c>
      <c r="N20" s="1">
        <v>0.51732571224818946</v>
      </c>
      <c r="O20" s="1">
        <v>222.68074341819968</v>
      </c>
      <c r="P20" s="1">
        <v>840.43014171258983</v>
      </c>
      <c r="Q20">
        <v>913.87584940565284</v>
      </c>
      <c r="R20" t="s">
        <v>47</v>
      </c>
    </row>
    <row r="21" spans="1:18" x14ac:dyDescent="0.25">
      <c r="A21" s="1">
        <v>20</v>
      </c>
      <c r="B21" s="1">
        <v>1.1774975665717502</v>
      </c>
      <c r="C21" s="1">
        <v>289.77045828002298</v>
      </c>
      <c r="D21" s="1">
        <v>54.995103183103538</v>
      </c>
      <c r="E21" s="1">
        <v>0.13275361359695659</v>
      </c>
      <c r="F21" s="1">
        <v>100000</v>
      </c>
      <c r="G21" s="1">
        <v>5.9604136976445146</v>
      </c>
      <c r="H21" s="1">
        <v>0.49048233117694279</v>
      </c>
      <c r="I21" s="1">
        <v>792.9980383952992</v>
      </c>
      <c r="J21" s="1">
        <v>221.92959695996637</v>
      </c>
      <c r="K21" s="1">
        <v>5.7019462483625022E-2</v>
      </c>
      <c r="L21" s="1">
        <v>150467.79922292745</v>
      </c>
      <c r="M21" s="1">
        <v>9.6555226567152264E-2</v>
      </c>
      <c r="N21" s="1">
        <v>0.42798539765641624</v>
      </c>
      <c r="O21" s="1">
        <v>204.19581862323108</v>
      </c>
      <c r="P21" s="1">
        <v>1412.2933062316661</v>
      </c>
      <c r="Q21">
        <v>1349.7428599623818</v>
      </c>
      <c r="R21" t="s">
        <v>64</v>
      </c>
    </row>
    <row r="22" spans="1:18" x14ac:dyDescent="0.25">
      <c r="A22" s="1">
        <v>21</v>
      </c>
      <c r="B22" s="1">
        <v>1.1880193984562519</v>
      </c>
      <c r="C22" s="1">
        <v>290.34443836343758</v>
      </c>
      <c r="D22" s="1">
        <v>20.79046632431924</v>
      </c>
      <c r="E22" s="1">
        <v>0.12050327512497727</v>
      </c>
      <c r="F22" s="1">
        <v>100000</v>
      </c>
      <c r="G22" s="1">
        <v>7.208984026833253</v>
      </c>
      <c r="H22" s="1">
        <v>0.49800045285576833</v>
      </c>
      <c r="I22" s="1">
        <v>774.14785444496806</v>
      </c>
      <c r="J22" s="1">
        <v>413.10382944474213</v>
      </c>
      <c r="K22" s="1">
        <v>6.6402143536600414E-2</v>
      </c>
      <c r="L22" s="1">
        <v>153176.60417975322</v>
      </c>
      <c r="M22" s="1">
        <v>0.13488863416600988</v>
      </c>
      <c r="N22" s="1">
        <v>0.51960387305215694</v>
      </c>
      <c r="O22" s="1">
        <v>233.21321473397438</v>
      </c>
      <c r="P22" s="1">
        <v>1862.3601495018738</v>
      </c>
      <c r="Q22">
        <v>1831.8013168010511</v>
      </c>
      <c r="R22" t="s">
        <v>64</v>
      </c>
    </row>
    <row r="23" spans="1:18" x14ac:dyDescent="0.25">
      <c r="A23" s="1">
        <v>22</v>
      </c>
      <c r="B23" s="1">
        <v>1.188208708218486</v>
      </c>
      <c r="C23" s="1">
        <v>291.78138601097066</v>
      </c>
      <c r="D23" s="1">
        <v>54.417062328338005</v>
      </c>
      <c r="E23" s="1">
        <v>0.11984691524485561</v>
      </c>
      <c r="F23" s="1">
        <v>100000</v>
      </c>
      <c r="G23" s="1">
        <v>4.5946741819401611</v>
      </c>
      <c r="H23" s="1">
        <v>0.49554605436762339</v>
      </c>
      <c r="I23" s="1">
        <v>808.0530573980119</v>
      </c>
      <c r="J23" s="1">
        <v>441.557111085016</v>
      </c>
      <c r="K23" s="1">
        <v>3.468970930591566E-2</v>
      </c>
      <c r="L23" s="1">
        <v>142985.29682538088</v>
      </c>
      <c r="M23" s="1">
        <v>0.13392630559334717</v>
      </c>
      <c r="N23" s="1">
        <v>0.58751493399264021</v>
      </c>
      <c r="O23" s="1">
        <v>237.16846774225661</v>
      </c>
      <c r="P23" s="1">
        <v>1695.9753761401444</v>
      </c>
      <c r="Q23">
        <v>1730.6710772611841</v>
      </c>
      <c r="R23" t="s">
        <v>64</v>
      </c>
    </row>
    <row r="24" spans="1:18" x14ac:dyDescent="0.25">
      <c r="A24" s="1">
        <v>23</v>
      </c>
      <c r="B24" s="1">
        <v>1.1823323324246318</v>
      </c>
      <c r="C24" s="1">
        <v>291.40003325127111</v>
      </c>
      <c r="D24" s="1">
        <v>28.174629100653142</v>
      </c>
      <c r="E24" s="1">
        <v>0.10756887787380046</v>
      </c>
      <c r="F24" s="1">
        <v>100000</v>
      </c>
      <c r="G24" s="1">
        <v>3.9469385163900896</v>
      </c>
      <c r="H24" s="1">
        <v>0.49099757408999006</v>
      </c>
      <c r="I24" s="1">
        <v>795.84163470431122</v>
      </c>
      <c r="J24" s="1">
        <v>297.6066609435901</v>
      </c>
      <c r="K24" s="1">
        <v>1.7798500623277026E-2</v>
      </c>
      <c r="L24" s="1">
        <v>175531.81586677657</v>
      </c>
      <c r="M24" s="1">
        <v>0.11772047107791392</v>
      </c>
      <c r="N24" s="1">
        <v>0.60724462791988643</v>
      </c>
      <c r="O24" s="1">
        <v>224.69077563153093</v>
      </c>
      <c r="P24" s="1">
        <v>1440.3615554309727</v>
      </c>
      <c r="Q24">
        <v>1522.7789509811992</v>
      </c>
      <c r="R24" t="s">
        <v>47</v>
      </c>
    </row>
    <row r="25" spans="1:18" x14ac:dyDescent="0.25">
      <c r="A25" s="1">
        <v>24</v>
      </c>
      <c r="B25" s="1">
        <v>1.1822897611420855</v>
      </c>
      <c r="C25" s="1">
        <v>289.83249163179261</v>
      </c>
      <c r="D25" s="1">
        <v>28.679571949615877</v>
      </c>
      <c r="E25" s="1">
        <v>0.10685932407846019</v>
      </c>
      <c r="F25" s="1">
        <v>100000</v>
      </c>
      <c r="G25" s="1">
        <v>2.5631325641126015</v>
      </c>
      <c r="H25" s="1">
        <v>0.49331338115661905</v>
      </c>
      <c r="I25" s="1">
        <v>786.57985918939323</v>
      </c>
      <c r="J25" s="1">
        <v>305.30341576824759</v>
      </c>
      <c r="K25" s="1">
        <v>4.5603446123309785E-2</v>
      </c>
      <c r="L25" s="1">
        <v>139161.97551716151</v>
      </c>
      <c r="M25" s="1">
        <v>8.7929690327198939E-2</v>
      </c>
      <c r="N25" s="1">
        <v>0.4292270426768568</v>
      </c>
      <c r="O25" s="1">
        <v>231.12381699613732</v>
      </c>
      <c r="P25" s="1">
        <v>1108.9441611295842</v>
      </c>
      <c r="Q25">
        <v>1188.3827753732912</v>
      </c>
      <c r="R25" t="s">
        <v>47</v>
      </c>
    </row>
    <row r="26" spans="1:18" x14ac:dyDescent="0.25">
      <c r="A26" s="1">
        <v>25</v>
      </c>
      <c r="B26" s="1">
        <v>1.1830835351799578</v>
      </c>
      <c r="C26" s="1">
        <v>291.56821234520027</v>
      </c>
      <c r="D26" s="1">
        <v>56.313637528584515</v>
      </c>
      <c r="E26" s="1">
        <v>0.11321065610777964</v>
      </c>
      <c r="F26" s="1">
        <v>100000</v>
      </c>
      <c r="G26" s="1">
        <v>1.7411734925087776</v>
      </c>
      <c r="H26" s="1">
        <v>0.4937142555490317</v>
      </c>
      <c r="I26" s="1">
        <v>834.61214311974391</v>
      </c>
      <c r="J26" s="1">
        <v>288.66739393297166</v>
      </c>
      <c r="K26" s="1">
        <v>3.9175692470987164E-2</v>
      </c>
      <c r="L26" s="1">
        <v>142346.05244436173</v>
      </c>
      <c r="M26" s="1">
        <v>9.6635551260441058E-2</v>
      </c>
      <c r="N26" s="1">
        <v>0.55216372928291801</v>
      </c>
      <c r="O26" s="1">
        <v>224.34619611979994</v>
      </c>
      <c r="P26" s="1">
        <v>1046.7616909229473</v>
      </c>
      <c r="Q26">
        <v>1088.2191992669832</v>
      </c>
      <c r="R26" t="s">
        <v>64</v>
      </c>
    </row>
    <row r="27" spans="1:18" x14ac:dyDescent="0.25">
      <c r="A27" s="1">
        <v>26</v>
      </c>
      <c r="B27" s="1">
        <v>1.1813187708777266</v>
      </c>
      <c r="C27" s="1">
        <v>290.3935977128769</v>
      </c>
      <c r="D27" s="1">
        <v>48.787629366078725</v>
      </c>
      <c r="E27" s="1">
        <v>0.12211406897130427</v>
      </c>
      <c r="F27" s="1">
        <v>100000</v>
      </c>
      <c r="G27" s="1">
        <v>3.2276929297856127</v>
      </c>
      <c r="H27" s="1">
        <v>0.48281453398100338</v>
      </c>
      <c r="I27" s="1">
        <v>795.63794702617076</v>
      </c>
      <c r="J27" s="1">
        <v>242.68109127698108</v>
      </c>
      <c r="K27" s="1">
        <v>6.4121776946413869E-2</v>
      </c>
      <c r="L27" s="1">
        <v>170727.21806787123</v>
      </c>
      <c r="M27" s="1">
        <v>8.7755100078030751E-2</v>
      </c>
      <c r="N27" s="1">
        <v>0.53496237359398913</v>
      </c>
      <c r="O27" s="1">
        <v>209.06600274927786</v>
      </c>
      <c r="P27" s="1">
        <v>1448.2778799246225</v>
      </c>
      <c r="Q27">
        <v>1389.9254101280676</v>
      </c>
      <c r="R27" t="s">
        <v>64</v>
      </c>
    </row>
    <row r="28" spans="1:18" x14ac:dyDescent="0.25">
      <c r="A28" s="1">
        <v>27</v>
      </c>
      <c r="B28" s="1">
        <v>1.1888806009168553</v>
      </c>
      <c r="C28" s="1">
        <v>292.65799515287966</v>
      </c>
      <c r="D28" s="1">
        <v>51.015765991956052</v>
      </c>
      <c r="E28" s="1">
        <v>9.0365935289773769E-2</v>
      </c>
      <c r="F28" s="1">
        <v>100000</v>
      </c>
      <c r="G28" s="1">
        <v>1.8542115022305889</v>
      </c>
      <c r="H28" s="1">
        <v>0.47872190432876027</v>
      </c>
      <c r="I28" s="1">
        <v>839.7660913450145</v>
      </c>
      <c r="J28" s="1">
        <v>392.05269684475559</v>
      </c>
      <c r="K28" s="1">
        <v>4.5864130174332017E-2</v>
      </c>
      <c r="L28" s="1">
        <v>142327.89682806074</v>
      </c>
      <c r="M28" s="1">
        <v>9.6646945300689804E-2</v>
      </c>
      <c r="N28" s="1">
        <v>0.513152884657472</v>
      </c>
      <c r="O28" s="1">
        <v>219.0269157357497</v>
      </c>
      <c r="P28" s="1">
        <v>1372.9792951396012</v>
      </c>
      <c r="Q28">
        <v>1357.4204009435489</v>
      </c>
      <c r="R28" t="s">
        <v>64</v>
      </c>
    </row>
    <row r="29" spans="1:18" x14ac:dyDescent="0.25">
      <c r="A29" s="1">
        <v>28</v>
      </c>
      <c r="B29" s="1">
        <v>1.1803743605463171</v>
      </c>
      <c r="C29" s="1">
        <v>292.50042783777911</v>
      </c>
      <c r="D29" s="1">
        <v>55.162399608891704</v>
      </c>
      <c r="E29" s="1">
        <v>0.12023453325991318</v>
      </c>
      <c r="F29" s="1">
        <v>100000</v>
      </c>
      <c r="G29" s="1">
        <v>6.9449023258555291</v>
      </c>
      <c r="H29" s="1">
        <v>0.4821484433640687</v>
      </c>
      <c r="I29" s="1">
        <v>834.22272064007916</v>
      </c>
      <c r="J29" s="1">
        <v>333.40811577693387</v>
      </c>
      <c r="K29" s="1">
        <v>3.2185383185525336E-2</v>
      </c>
      <c r="L29" s="1">
        <v>159645.23697853609</v>
      </c>
      <c r="M29" s="1">
        <v>0.1173736119540586</v>
      </c>
      <c r="N29" s="1">
        <v>0.46403063156334212</v>
      </c>
      <c r="O29" s="1">
        <v>225.42995189540224</v>
      </c>
      <c r="P29" s="1">
        <v>1693.325836016149</v>
      </c>
      <c r="Q29">
        <v>1583.0434304992086</v>
      </c>
      <c r="R29" t="s">
        <v>47</v>
      </c>
    </row>
    <row r="30" spans="1:18" x14ac:dyDescent="0.25">
      <c r="A30" s="1">
        <v>29</v>
      </c>
      <c r="B30" s="1">
        <v>1.1874248217972829</v>
      </c>
      <c r="C30" s="1">
        <v>292.3153354787367</v>
      </c>
      <c r="D30" s="1">
        <v>39.127939244574542</v>
      </c>
      <c r="E30" s="1">
        <v>9.9379025457694489E-2</v>
      </c>
      <c r="F30" s="1">
        <v>100000</v>
      </c>
      <c r="G30" s="1">
        <v>5.1355995610793821</v>
      </c>
      <c r="H30" s="1">
        <v>0.48768300505385026</v>
      </c>
      <c r="I30" s="1">
        <v>780.15998387298544</v>
      </c>
      <c r="J30" s="1">
        <v>312.83128628366512</v>
      </c>
      <c r="K30" s="1">
        <v>1.8054631499051246E-2</v>
      </c>
      <c r="L30" s="1">
        <v>155399.11255698398</v>
      </c>
      <c r="M30" s="1">
        <v>0.12174575194575145</v>
      </c>
      <c r="N30" s="1">
        <v>0.59021670383432701</v>
      </c>
      <c r="O30" s="1">
        <v>229.93075483204041</v>
      </c>
      <c r="P30" s="1">
        <v>1387.5620612159182</v>
      </c>
      <c r="Q30">
        <v>1437.9448738593201</v>
      </c>
      <c r="R30" t="s">
        <v>64</v>
      </c>
    </row>
    <row r="31" spans="1:18" x14ac:dyDescent="0.25">
      <c r="A31" s="1">
        <v>30</v>
      </c>
      <c r="B31" s="1">
        <v>1.1822596563843559</v>
      </c>
      <c r="C31" s="1">
        <v>290.52976855858702</v>
      </c>
      <c r="D31" s="1">
        <v>50.901984208771253</v>
      </c>
      <c r="E31" s="1">
        <v>8.2247720754658818E-2</v>
      </c>
      <c r="F31" s="1">
        <v>100000</v>
      </c>
      <c r="G31" s="1">
        <v>3.4894544781100754</v>
      </c>
      <c r="H31" s="1">
        <v>0.48220518849797239</v>
      </c>
      <c r="I31" s="1">
        <v>796.27126818892498</v>
      </c>
      <c r="J31" s="1">
        <v>289.88215537812476</v>
      </c>
      <c r="K31" s="1">
        <v>5.4393787298488552E-2</v>
      </c>
      <c r="L31" s="1">
        <v>144739.52261839234</v>
      </c>
      <c r="M31" s="1">
        <v>0.10046345821613198</v>
      </c>
      <c r="N31" s="1">
        <v>0.57012080017709965</v>
      </c>
      <c r="O31" s="1">
        <v>236.06702878149272</v>
      </c>
      <c r="P31" s="1">
        <v>1183.7820914878321</v>
      </c>
      <c r="Q31">
        <v>1261.7377869253833</v>
      </c>
      <c r="R31" t="s">
        <v>47</v>
      </c>
    </row>
    <row r="32" spans="1:18" x14ac:dyDescent="0.25">
      <c r="A32" s="1">
        <v>31</v>
      </c>
      <c r="B32" s="1">
        <v>1.1816712139682854</v>
      </c>
      <c r="C32" s="1">
        <v>291.20596849980427</v>
      </c>
      <c r="D32" s="1">
        <v>39.824842562255391</v>
      </c>
      <c r="E32" s="1">
        <v>0.11493359087726635</v>
      </c>
      <c r="F32" s="1">
        <v>100000</v>
      </c>
      <c r="G32" s="1">
        <v>4.5690088892961001</v>
      </c>
      <c r="H32" s="1">
        <v>0.48896651923643142</v>
      </c>
      <c r="I32" s="1">
        <v>805.33089656869765</v>
      </c>
      <c r="J32" s="1">
        <v>387.51678630079618</v>
      </c>
      <c r="K32" s="1">
        <v>3.1812024219931706E-2</v>
      </c>
      <c r="L32" s="1">
        <v>165791.71682959312</v>
      </c>
      <c r="M32" s="1">
        <v>0.11859838249777759</v>
      </c>
      <c r="N32" s="1">
        <v>0.55609199480772942</v>
      </c>
      <c r="O32" s="1">
        <v>215.25731955449476</v>
      </c>
      <c r="P32" s="1">
        <v>1746.2302158651219</v>
      </c>
      <c r="Q32">
        <v>1657.455454811221</v>
      </c>
      <c r="R32" t="s">
        <v>47</v>
      </c>
    </row>
    <row r="33" spans="1:18" x14ac:dyDescent="0.25">
      <c r="A33" s="1">
        <v>32</v>
      </c>
      <c r="B33" s="1">
        <v>1.1837039216684568</v>
      </c>
      <c r="C33" s="1">
        <v>291.69998509905719</v>
      </c>
      <c r="D33" s="1">
        <v>53.273929829312962</v>
      </c>
      <c r="E33" s="1">
        <v>0.10302386411025102</v>
      </c>
      <c r="F33" s="1">
        <v>100000</v>
      </c>
      <c r="G33" s="1">
        <v>3.4340819164508769</v>
      </c>
      <c r="H33" s="1">
        <v>0.48444634860704505</v>
      </c>
      <c r="I33" s="1">
        <v>809.03865469197819</v>
      </c>
      <c r="J33" s="1">
        <v>345.1192939569591</v>
      </c>
      <c r="K33" s="1">
        <v>5.6396984582219103E-2</v>
      </c>
      <c r="L33" s="1">
        <v>161047.33416335963</v>
      </c>
      <c r="M33" s="1">
        <v>8.8712430225637628E-2</v>
      </c>
      <c r="N33" s="1">
        <v>0.5489035613038018</v>
      </c>
      <c r="O33" s="1">
        <v>215.61975848473568</v>
      </c>
      <c r="P33" s="1">
        <v>1572.7842803352323</v>
      </c>
      <c r="Q33">
        <v>1479.2521732056484</v>
      </c>
      <c r="R33" t="s">
        <v>47</v>
      </c>
    </row>
    <row r="34" spans="1:18" x14ac:dyDescent="0.25">
      <c r="A34" s="1">
        <v>33</v>
      </c>
      <c r="B34" s="1">
        <v>1.1853315150934594</v>
      </c>
      <c r="C34" s="1">
        <v>289.99502985822949</v>
      </c>
      <c r="D34" s="1">
        <v>44.465727527888681</v>
      </c>
      <c r="E34" s="1">
        <v>9.9622962051842207E-2</v>
      </c>
      <c r="F34" s="1">
        <v>100000</v>
      </c>
      <c r="G34" s="1">
        <v>1.7799607829595907</v>
      </c>
      <c r="H34" s="1">
        <v>0.49160732001541896</v>
      </c>
      <c r="I34" s="1">
        <v>798.58424618542153</v>
      </c>
      <c r="J34" s="1">
        <v>242.82809815595334</v>
      </c>
      <c r="K34" s="1">
        <v>6.3456481022113986E-2</v>
      </c>
      <c r="L34" s="1">
        <v>148206.98810488076</v>
      </c>
      <c r="M34" s="1">
        <v>9.7332170647366031E-2</v>
      </c>
      <c r="N34" s="1">
        <v>0.55237192162139881</v>
      </c>
      <c r="O34" s="1">
        <v>216.90821388502732</v>
      </c>
      <c r="P34" s="1">
        <v>1063.1665795085064</v>
      </c>
      <c r="Q34">
        <v>1082.7007602413505</v>
      </c>
      <c r="R34" t="s">
        <v>64</v>
      </c>
    </row>
    <row r="35" spans="1:18" x14ac:dyDescent="0.25">
      <c r="A35" s="1">
        <v>34</v>
      </c>
      <c r="B35" s="1">
        <v>1.1887983043743142</v>
      </c>
      <c r="C35" s="1">
        <v>290.12955374757934</v>
      </c>
      <c r="D35" s="1">
        <v>25.649635396762296</v>
      </c>
      <c r="E35" s="1">
        <v>0.1016281684802893</v>
      </c>
      <c r="F35" s="1">
        <v>100000</v>
      </c>
      <c r="G35" s="1">
        <v>1.7891079473984557</v>
      </c>
      <c r="H35" s="1">
        <v>0.49081209082990179</v>
      </c>
      <c r="I35" s="1">
        <v>797.77529671226398</v>
      </c>
      <c r="J35" s="1">
        <v>390.1339377257483</v>
      </c>
      <c r="K35" s="1">
        <v>3.3892030790395766E-2</v>
      </c>
      <c r="L35" s="1">
        <v>159224.16454496089</v>
      </c>
      <c r="M35" s="1">
        <v>9.2618886853517338E-2</v>
      </c>
      <c r="N35" s="1">
        <v>0.55633593962389183</v>
      </c>
      <c r="O35" s="1">
        <v>229.51410393958662</v>
      </c>
      <c r="P35" s="1">
        <v>1498.4706974974179</v>
      </c>
      <c r="Q35">
        <v>1499.6510303833929</v>
      </c>
      <c r="R35" t="s">
        <v>64</v>
      </c>
    </row>
    <row r="36" spans="1:18" x14ac:dyDescent="0.25">
      <c r="A36" s="1">
        <v>35</v>
      </c>
      <c r="B36" s="1">
        <v>1.1825137553524987</v>
      </c>
      <c r="C36" s="1">
        <v>292.21826781003557</v>
      </c>
      <c r="D36" s="1">
        <v>50.025210569530529</v>
      </c>
      <c r="E36" s="1">
        <v>9.4952608714876499E-2</v>
      </c>
      <c r="F36" s="1">
        <v>100000</v>
      </c>
      <c r="G36" s="1">
        <v>2.6286645166677052</v>
      </c>
      <c r="H36" s="1">
        <v>0.48339653645444342</v>
      </c>
      <c r="I36" s="1">
        <v>797.02640395711626</v>
      </c>
      <c r="J36" s="1">
        <v>368.518546764532</v>
      </c>
      <c r="K36" s="1">
        <v>5.7215031318635604E-2</v>
      </c>
      <c r="L36" s="1">
        <v>169963.81155743758</v>
      </c>
      <c r="M36" s="1">
        <v>9.9261158314756792E-2</v>
      </c>
      <c r="N36" s="1">
        <v>0.50131274744453003</v>
      </c>
      <c r="O36" s="1">
        <v>233.09271268824932</v>
      </c>
      <c r="P36" s="1">
        <v>1553.9610215500506</v>
      </c>
      <c r="Q36">
        <v>1515.4761839489511</v>
      </c>
      <c r="R36" t="s">
        <v>64</v>
      </c>
    </row>
    <row r="37" spans="1:18" x14ac:dyDescent="0.25">
      <c r="A37" s="1">
        <v>36</v>
      </c>
      <c r="B37" s="1">
        <v>1.1826837629542521</v>
      </c>
      <c r="C37" s="1">
        <v>291.78942040019996</v>
      </c>
      <c r="D37" s="1">
        <v>47.567088503219267</v>
      </c>
      <c r="E37" s="1">
        <v>9.0769074331067914E-2</v>
      </c>
      <c r="F37" s="1">
        <v>100000</v>
      </c>
      <c r="G37" s="1">
        <v>5.5760891482125086</v>
      </c>
      <c r="H37" s="1">
        <v>0.49129626298532675</v>
      </c>
      <c r="I37" s="1">
        <v>786.96717642514761</v>
      </c>
      <c r="J37" s="1">
        <v>248.01638633029575</v>
      </c>
      <c r="K37" s="1">
        <v>4.2739846348682602E-2</v>
      </c>
      <c r="L37" s="1">
        <v>150800.56657912294</v>
      </c>
      <c r="M37" s="1">
        <v>0.11543141489675825</v>
      </c>
      <c r="N37" s="1">
        <v>0.55589906377864096</v>
      </c>
      <c r="O37" s="1">
        <v>235.93033024104633</v>
      </c>
      <c r="P37" s="1">
        <v>1201.5651261323874</v>
      </c>
      <c r="Q37">
        <v>1280.1345645459514</v>
      </c>
      <c r="R37" t="s">
        <v>47</v>
      </c>
    </row>
    <row r="38" spans="1:18" x14ac:dyDescent="0.25">
      <c r="A38" s="1">
        <v>37</v>
      </c>
      <c r="B38" s="1">
        <v>1.1827818601618114</v>
      </c>
      <c r="C38" s="1">
        <v>291.96167966268757</v>
      </c>
      <c r="D38" s="1">
        <v>29.120998034668499</v>
      </c>
      <c r="E38" s="1">
        <v>0.10645428566384479</v>
      </c>
      <c r="F38" s="1">
        <v>100000</v>
      </c>
      <c r="G38" s="1">
        <v>5.6993814236317304</v>
      </c>
      <c r="H38" s="1">
        <v>0.48810121806552476</v>
      </c>
      <c r="I38" s="1">
        <v>796.22323955268109</v>
      </c>
      <c r="J38" s="1">
        <v>363.91367550387372</v>
      </c>
      <c r="K38" s="1">
        <v>5.1512350678393097E-2</v>
      </c>
      <c r="L38" s="1">
        <v>170617.57658095221</v>
      </c>
      <c r="M38" s="1">
        <v>0.11205970607638573</v>
      </c>
      <c r="N38" s="1">
        <v>0.52990502593819744</v>
      </c>
      <c r="O38" s="1">
        <v>222.30840142336879</v>
      </c>
      <c r="P38" s="1">
        <v>1636.6928523033785</v>
      </c>
      <c r="Q38">
        <v>1661.9838117694744</v>
      </c>
      <c r="R38" t="s">
        <v>64</v>
      </c>
    </row>
    <row r="39" spans="1:18" x14ac:dyDescent="0.25">
      <c r="A39" s="1">
        <v>38</v>
      </c>
      <c r="B39" s="1">
        <v>1.1829230642964457</v>
      </c>
      <c r="C39" s="1">
        <v>290.67690898495812</v>
      </c>
      <c r="D39" s="1">
        <v>47.300643165102272</v>
      </c>
      <c r="E39" s="1">
        <v>0.1022549605344994</v>
      </c>
      <c r="F39" s="1">
        <v>100000</v>
      </c>
      <c r="G39" s="1">
        <v>4.7280701981334019</v>
      </c>
      <c r="H39" s="1">
        <v>0.47968033793476728</v>
      </c>
      <c r="I39" s="1">
        <v>793.09901016327331</v>
      </c>
      <c r="J39" s="1">
        <v>340.61153615474478</v>
      </c>
      <c r="K39" s="1">
        <v>3.9058325867399539E-2</v>
      </c>
      <c r="L39" s="1">
        <v>164696.46918308284</v>
      </c>
      <c r="M39" s="1">
        <v>0.1067269447963356</v>
      </c>
      <c r="N39" s="1">
        <v>0.512419089634786</v>
      </c>
      <c r="O39" s="1">
        <v>226.45528055756748</v>
      </c>
      <c r="P39" s="1">
        <v>1654.4016894780143</v>
      </c>
      <c r="Q39">
        <v>1592.3077865881205</v>
      </c>
      <c r="R39" t="s">
        <v>64</v>
      </c>
    </row>
    <row r="40" spans="1:18" x14ac:dyDescent="0.25">
      <c r="A40" s="1">
        <v>39</v>
      </c>
      <c r="B40" s="1">
        <v>1.1872927311071801</v>
      </c>
      <c r="C40" s="1">
        <v>290.84719285901906</v>
      </c>
      <c r="D40" s="1">
        <v>42.935003297203664</v>
      </c>
      <c r="E40" s="1">
        <v>9.4241178971364567E-2</v>
      </c>
      <c r="F40" s="1">
        <v>100000</v>
      </c>
      <c r="G40" s="1">
        <v>5.4436735700576486</v>
      </c>
      <c r="H40" s="1">
        <v>0.48674696353323677</v>
      </c>
      <c r="I40" s="1">
        <v>806.2707214966116</v>
      </c>
      <c r="J40" s="1">
        <v>385.97221270388957</v>
      </c>
      <c r="K40" s="1">
        <v>4.9608329594061605E-2</v>
      </c>
      <c r="L40" s="1">
        <v>154545.5120654646</v>
      </c>
      <c r="M40" s="1">
        <v>9.7580004574298246E-2</v>
      </c>
      <c r="N40" s="1">
        <v>0.53677039714905472</v>
      </c>
      <c r="O40" s="1">
        <v>231.20428264317587</v>
      </c>
      <c r="P40" s="1">
        <v>1729.9907068291723</v>
      </c>
      <c r="Q40">
        <v>1663.4754127798515</v>
      </c>
      <c r="R40" t="s">
        <v>64</v>
      </c>
    </row>
    <row r="41" spans="1:18" x14ac:dyDescent="0.25">
      <c r="A41" s="1">
        <v>40</v>
      </c>
      <c r="B41" s="1">
        <v>1.185111782490432</v>
      </c>
      <c r="C41" s="1">
        <v>291.82701522341154</v>
      </c>
      <c r="D41" s="1">
        <v>31.623066738730586</v>
      </c>
      <c r="E41" s="1">
        <v>9.5847172887876822E-2</v>
      </c>
      <c r="F41" s="1">
        <v>100000</v>
      </c>
      <c r="G41" s="1">
        <v>2.6375471810802842</v>
      </c>
      <c r="H41" s="1">
        <v>0.47960261039357049</v>
      </c>
      <c r="I41" s="1">
        <v>802.7191915937351</v>
      </c>
      <c r="J41" s="1">
        <v>300.99876491682954</v>
      </c>
      <c r="K41" s="1">
        <v>4.1586963608203555E-2</v>
      </c>
      <c r="L41" s="1">
        <v>158648.17618875444</v>
      </c>
      <c r="M41" s="1">
        <v>0.10941923984294738</v>
      </c>
      <c r="N41" s="1">
        <v>0.53351175656686378</v>
      </c>
      <c r="O41" s="1">
        <v>225.83714162877354</v>
      </c>
      <c r="P41" s="1">
        <v>1232.5516146122754</v>
      </c>
      <c r="Q41">
        <v>1283.8702563906991</v>
      </c>
      <c r="R41" t="s">
        <v>64</v>
      </c>
    </row>
    <row r="42" spans="1:18" x14ac:dyDescent="0.25">
      <c r="A42" s="1">
        <v>41</v>
      </c>
      <c r="B42" s="1">
        <v>1.1830353128235591</v>
      </c>
      <c r="C42" s="1">
        <v>290.59067002198708</v>
      </c>
      <c r="D42" s="1">
        <v>37.902030309110586</v>
      </c>
      <c r="E42" s="1">
        <v>9.9477505209657646E-2</v>
      </c>
      <c r="F42" s="1">
        <v>100000</v>
      </c>
      <c r="G42" s="1">
        <v>2.9933045781587033</v>
      </c>
      <c r="H42" s="1">
        <v>0.484165682867785</v>
      </c>
      <c r="I42" s="1">
        <v>808.86121297364832</v>
      </c>
      <c r="J42" s="1">
        <v>248.39505898059159</v>
      </c>
      <c r="K42" s="1">
        <v>4.7748547687613489E-2</v>
      </c>
      <c r="L42" s="1">
        <v>154870.84920712697</v>
      </c>
      <c r="M42" s="1">
        <v>0.11340736758429143</v>
      </c>
      <c r="N42" s="1">
        <v>0.51855574788572611</v>
      </c>
      <c r="O42" s="1">
        <v>228.06926272819462</v>
      </c>
      <c r="P42" s="1">
        <v>1151.4305541862777</v>
      </c>
      <c r="Q42">
        <v>1190.8872028052283</v>
      </c>
      <c r="R42" t="s">
        <v>64</v>
      </c>
    </row>
    <row r="43" spans="1:18" x14ac:dyDescent="0.25">
      <c r="A43" s="1">
        <v>42</v>
      </c>
      <c r="B43" s="1">
        <v>1.1869766889967901</v>
      </c>
      <c r="C43" s="1">
        <v>290.0235473706191</v>
      </c>
      <c r="D43" s="1">
        <v>29.417434009077549</v>
      </c>
      <c r="E43" s="1">
        <v>0.10158789381132523</v>
      </c>
      <c r="F43" s="1">
        <v>100000</v>
      </c>
      <c r="G43" s="1">
        <v>5.5806560039015238</v>
      </c>
      <c r="H43" s="1">
        <v>0.48985361599906913</v>
      </c>
      <c r="I43" s="1">
        <v>788.70948875204601</v>
      </c>
      <c r="J43" s="1">
        <v>292.91826988348481</v>
      </c>
      <c r="K43" s="1">
        <v>6.1265248387094809E-2</v>
      </c>
      <c r="L43" s="1">
        <v>149034.77522756814</v>
      </c>
      <c r="M43" s="1">
        <v>0.10539737366312664</v>
      </c>
      <c r="N43" s="1">
        <v>0.52710752612830247</v>
      </c>
      <c r="O43" s="1">
        <v>226.46841226066672</v>
      </c>
      <c r="P43" s="1">
        <v>1414.8742327828004</v>
      </c>
      <c r="Q43">
        <v>1421.2928260236658</v>
      </c>
      <c r="R43" t="s">
        <v>64</v>
      </c>
    </row>
    <row r="44" spans="1:18" x14ac:dyDescent="0.25">
      <c r="A44" s="1">
        <v>43</v>
      </c>
      <c r="B44" s="1">
        <v>1.1830898236718601</v>
      </c>
      <c r="C44" s="1">
        <v>291.78690733155673</v>
      </c>
      <c r="D44" s="1">
        <v>35.177283754190171</v>
      </c>
      <c r="E44" s="1">
        <v>0.10185471843018126</v>
      </c>
      <c r="F44" s="1">
        <v>100000</v>
      </c>
      <c r="G44" s="1">
        <v>5.4397081032452261</v>
      </c>
      <c r="H44" s="1">
        <v>0.48205674462971831</v>
      </c>
      <c r="I44" s="1">
        <v>798.01577811377695</v>
      </c>
      <c r="J44" s="1">
        <v>310.73886445858875</v>
      </c>
      <c r="K44" s="1">
        <v>4.6692273858176009E-2</v>
      </c>
      <c r="L44" s="1">
        <v>157269.67646735269</v>
      </c>
      <c r="M44" s="1">
        <v>9.9240177794513995E-2</v>
      </c>
      <c r="N44" s="1">
        <v>0.52454075850800741</v>
      </c>
      <c r="O44" s="1">
        <v>230.82939628775731</v>
      </c>
      <c r="P44" s="1">
        <v>1431.0796292925297</v>
      </c>
      <c r="Q44">
        <v>1457.1895725844806</v>
      </c>
      <c r="R44" t="s">
        <v>64</v>
      </c>
    </row>
    <row r="45" spans="1:18" x14ac:dyDescent="0.25">
      <c r="A45" s="1">
        <v>44</v>
      </c>
      <c r="B45" s="1">
        <v>1.1841388125730323</v>
      </c>
      <c r="C45" s="1">
        <v>290.50070897780597</v>
      </c>
      <c r="D45" s="1">
        <v>45.83272025435501</v>
      </c>
      <c r="E45" s="1">
        <v>0.10000582576110047</v>
      </c>
      <c r="F45" s="1">
        <v>100000</v>
      </c>
      <c r="G45" s="1">
        <v>5.3077791277816821</v>
      </c>
      <c r="H45" s="1">
        <v>0.4854435073470203</v>
      </c>
      <c r="I45" s="1">
        <v>800.54172870123955</v>
      </c>
      <c r="J45" s="1">
        <v>343.18694026096568</v>
      </c>
      <c r="K45" s="1">
        <v>4.3486920636574708E-2</v>
      </c>
      <c r="L45" s="1">
        <v>154732.35242059655</v>
      </c>
      <c r="M45" s="1">
        <v>9.8181893369608503E-2</v>
      </c>
      <c r="N45" s="1">
        <v>0.50538960846967229</v>
      </c>
      <c r="O45" s="1">
        <v>233.9462871688394</v>
      </c>
      <c r="P45" s="1">
        <v>1605.269539738707</v>
      </c>
      <c r="Q45">
        <v>1574.4142518254375</v>
      </c>
      <c r="R45" t="s">
        <v>64</v>
      </c>
    </row>
    <row r="46" spans="1:18" x14ac:dyDescent="0.25">
      <c r="A46" s="1">
        <v>45</v>
      </c>
      <c r="B46" s="1">
        <v>1.1826803690941177</v>
      </c>
      <c r="C46" s="1">
        <v>291.91720223137287</v>
      </c>
      <c r="D46" s="1">
        <v>31.246225583163749</v>
      </c>
      <c r="E46" s="1">
        <v>9.4007363637526292E-2</v>
      </c>
      <c r="F46" s="1">
        <v>100000</v>
      </c>
      <c r="G46" s="1">
        <v>2.8785597318165737</v>
      </c>
      <c r="H46" s="1">
        <v>0.47999661784055148</v>
      </c>
      <c r="I46" s="1">
        <v>793.10011292898935</v>
      </c>
      <c r="J46" s="1">
        <v>358.44529659058776</v>
      </c>
      <c r="K46" s="1">
        <v>3.9031360535332217E-2</v>
      </c>
      <c r="L46" s="1">
        <v>167966.18928001463</v>
      </c>
      <c r="M46" s="1">
        <v>0.10425924328557352</v>
      </c>
      <c r="N46" s="1">
        <v>0.53180790695988112</v>
      </c>
      <c r="O46" s="1">
        <v>225.87612576418184</v>
      </c>
      <c r="P46" s="1">
        <v>1450.1793578652942</v>
      </c>
      <c r="Q46">
        <v>1497.6269386582571</v>
      </c>
      <c r="R46" t="s">
        <v>64</v>
      </c>
    </row>
    <row r="47" spans="1:18" x14ac:dyDescent="0.25">
      <c r="A47" s="1">
        <v>46</v>
      </c>
      <c r="B47" s="1">
        <v>1.1857534489337771</v>
      </c>
      <c r="C47" s="1">
        <v>290.0841635523131</v>
      </c>
      <c r="D47" s="1">
        <v>32.088283011919749</v>
      </c>
      <c r="E47" s="1">
        <v>9.9028248046046652E-2</v>
      </c>
      <c r="F47" s="1">
        <v>100000</v>
      </c>
      <c r="G47" s="1">
        <v>3.5476475060874328</v>
      </c>
      <c r="H47" s="1">
        <v>0.48725903838281992</v>
      </c>
      <c r="I47" s="1">
        <v>788.8163854808937</v>
      </c>
      <c r="J47" s="1">
        <v>372.91590789227405</v>
      </c>
      <c r="K47" s="1">
        <v>4.3668050256914559E-2</v>
      </c>
      <c r="L47" s="1">
        <v>164921.1089575915</v>
      </c>
      <c r="M47" s="1">
        <v>0.10925503144567542</v>
      </c>
      <c r="N47" s="1">
        <v>0.51282510120447389</v>
      </c>
      <c r="O47" s="1">
        <v>225.9178491556728</v>
      </c>
      <c r="P47" s="1">
        <v>1621.6673645483606</v>
      </c>
      <c r="Q47">
        <v>1604.8164135180268</v>
      </c>
      <c r="R47" t="s">
        <v>64</v>
      </c>
    </row>
    <row r="48" spans="1:18" x14ac:dyDescent="0.25">
      <c r="A48" s="1">
        <v>47</v>
      </c>
      <c r="B48" s="1">
        <v>1.1842351937687596</v>
      </c>
      <c r="C48" s="1">
        <v>290.20417724977733</v>
      </c>
      <c r="D48" s="1">
        <v>41.138876345579718</v>
      </c>
      <c r="E48" s="1">
        <v>9.4094464303609363E-2</v>
      </c>
      <c r="F48" s="1">
        <v>100000</v>
      </c>
      <c r="G48" s="1">
        <v>4.7817726025707969</v>
      </c>
      <c r="H48" s="1">
        <v>0.48514582706319043</v>
      </c>
      <c r="I48" s="1">
        <v>807.95803692782329</v>
      </c>
      <c r="J48" s="1">
        <v>363.38852224455445</v>
      </c>
      <c r="K48" s="1">
        <v>4.7505795508652415E-2</v>
      </c>
      <c r="L48" s="1">
        <v>168527.28713077406</v>
      </c>
      <c r="M48" s="1">
        <v>0.10635992502547245</v>
      </c>
      <c r="N48" s="1">
        <v>0.52429896246273899</v>
      </c>
      <c r="O48" s="1">
        <v>227.24830973446223</v>
      </c>
      <c r="P48" s="1">
        <v>1736.6673217146235</v>
      </c>
      <c r="Q48">
        <v>1649.5603562824108</v>
      </c>
      <c r="R48" t="s">
        <v>47</v>
      </c>
    </row>
    <row r="49" spans="1:18" x14ac:dyDescent="0.25">
      <c r="A49" s="1">
        <v>48</v>
      </c>
      <c r="B49" s="1">
        <v>1.1841763029494066</v>
      </c>
      <c r="C49" s="1">
        <v>290.27844074056986</v>
      </c>
      <c r="D49" s="1">
        <v>41.314779339696628</v>
      </c>
      <c r="E49" s="1">
        <v>9.905447222527336E-2</v>
      </c>
      <c r="F49" s="1">
        <v>100000</v>
      </c>
      <c r="G49" s="1">
        <v>3.0407667096714475</v>
      </c>
      <c r="H49" s="1">
        <v>0.48929114374752702</v>
      </c>
      <c r="I49" s="1">
        <v>794.38829889069518</v>
      </c>
      <c r="J49" s="1">
        <v>332.05755393872619</v>
      </c>
      <c r="K49" s="1">
        <v>5.4421175754162734E-2</v>
      </c>
      <c r="L49" s="1">
        <v>155536.47067642637</v>
      </c>
      <c r="M49" s="1">
        <v>0.10460653010577602</v>
      </c>
      <c r="N49" s="1">
        <v>0.52574594605488389</v>
      </c>
      <c r="O49" s="1">
        <v>229.55107298883505</v>
      </c>
      <c r="P49" s="1">
        <v>1436.5738962757678</v>
      </c>
      <c r="Q49">
        <v>1431.3673568104132</v>
      </c>
      <c r="R49" t="s">
        <v>64</v>
      </c>
    </row>
    <row r="50" spans="1:18" x14ac:dyDescent="0.25">
      <c r="A50" s="1">
        <v>49</v>
      </c>
      <c r="B50" s="1">
        <v>1.1839969905188263</v>
      </c>
      <c r="C50" s="1">
        <v>290.51168852511518</v>
      </c>
      <c r="D50" s="1">
        <v>42.243811742341734</v>
      </c>
      <c r="E50" s="1">
        <v>9.9784281463172628E-2</v>
      </c>
      <c r="F50" s="1">
        <v>100000</v>
      </c>
      <c r="G50" s="1">
        <v>4.7302119070458266</v>
      </c>
      <c r="H50" s="1">
        <v>0.48004133298338225</v>
      </c>
      <c r="I50" s="1">
        <v>808.26752888793817</v>
      </c>
      <c r="J50" s="1">
        <v>297.06176666576494</v>
      </c>
      <c r="K50" s="1">
        <v>5.8663488346134232E-2</v>
      </c>
      <c r="L50" s="1">
        <v>163279.43423280615</v>
      </c>
      <c r="M50" s="1">
        <v>0.1057832013123914</v>
      </c>
      <c r="N50" s="1">
        <v>0.51037245595634262</v>
      </c>
      <c r="O50" s="1">
        <v>229.68377611746106</v>
      </c>
      <c r="P50" s="1">
        <v>1502.1489992306379</v>
      </c>
      <c r="Q50">
        <v>1470.2260400792438</v>
      </c>
      <c r="R50" t="s">
        <v>64</v>
      </c>
    </row>
    <row r="51" spans="1:18" x14ac:dyDescent="0.25">
      <c r="A51" s="1">
        <v>50</v>
      </c>
      <c r="B51" s="1">
        <v>1.1855770553826048</v>
      </c>
      <c r="C51" s="1">
        <v>291.54936185486235</v>
      </c>
      <c r="D51" s="1">
        <v>41.949279267618216</v>
      </c>
      <c r="E51" s="1">
        <v>9.6116186056914618E-2</v>
      </c>
      <c r="F51" s="1">
        <v>100000</v>
      </c>
      <c r="G51" s="1">
        <v>4.8019210769434544</v>
      </c>
      <c r="H51" s="1">
        <v>0.4800961263809102</v>
      </c>
      <c r="I51" s="1">
        <v>792.97022591369944</v>
      </c>
      <c r="J51" s="1">
        <v>372.70768926802134</v>
      </c>
      <c r="K51" s="1">
        <v>4.1523001390772779E-2</v>
      </c>
      <c r="L51" s="1">
        <v>155179.18124556763</v>
      </c>
      <c r="M51" s="1">
        <v>0.10727329099900246</v>
      </c>
      <c r="N51" s="1">
        <v>0.52174924519898602</v>
      </c>
      <c r="O51" s="1">
        <v>231.36094110772473</v>
      </c>
      <c r="P51" s="1">
        <v>1603.5885452179282</v>
      </c>
      <c r="Q51">
        <v>1583.4390446111356</v>
      </c>
      <c r="R51" t="s">
        <v>64</v>
      </c>
    </row>
    <row r="53" spans="1:18" x14ac:dyDescent="0.25">
      <c r="A53" t="s">
        <v>45</v>
      </c>
    </row>
    <row r="54" spans="1:18" x14ac:dyDescent="0.25">
      <c r="A54">
        <f t="array" ref="A54:A103">AVERAGE('Coeficiente de Acerto'!$P$2:$P$51)</f>
        <v>1460.4422849332291</v>
      </c>
    </row>
    <row r="55" spans="1:18" x14ac:dyDescent="0.25">
      <c r="A55">
        <v>1460.4422849332291</v>
      </c>
    </row>
    <row r="56" spans="1:18" x14ac:dyDescent="0.25">
      <c r="A56">
        <v>1460.4422849332291</v>
      </c>
    </row>
    <row r="57" spans="1:18" x14ac:dyDescent="0.25">
      <c r="A57">
        <v>1460.4422849332291</v>
      </c>
    </row>
    <row r="58" spans="1:18" x14ac:dyDescent="0.25">
      <c r="A58">
        <v>1460.4422849332291</v>
      </c>
    </row>
    <row r="59" spans="1:18" x14ac:dyDescent="0.25">
      <c r="A59">
        <v>1460.4422849332291</v>
      </c>
    </row>
    <row r="60" spans="1:18" x14ac:dyDescent="0.25">
      <c r="A60">
        <v>1460.4422849332291</v>
      </c>
    </row>
    <row r="61" spans="1:18" x14ac:dyDescent="0.25">
      <c r="A61">
        <v>1460.4422849332291</v>
      </c>
    </row>
    <row r="62" spans="1:18" x14ac:dyDescent="0.25">
      <c r="A62">
        <v>1460.4422849332291</v>
      </c>
    </row>
    <row r="63" spans="1:18" x14ac:dyDescent="0.25">
      <c r="A63">
        <v>1460.4422849332291</v>
      </c>
    </row>
    <row r="64" spans="1:18" x14ac:dyDescent="0.25">
      <c r="A64">
        <v>1460.4422849332291</v>
      </c>
    </row>
    <row r="65" spans="1:1" x14ac:dyDescent="0.25">
      <c r="A65">
        <v>1460.4422849332291</v>
      </c>
    </row>
    <row r="66" spans="1:1" x14ac:dyDescent="0.25">
      <c r="A66">
        <v>1460.4422849332291</v>
      </c>
    </row>
    <row r="67" spans="1:1" x14ac:dyDescent="0.25">
      <c r="A67">
        <v>1460.4422849332291</v>
      </c>
    </row>
    <row r="68" spans="1:1" x14ac:dyDescent="0.25">
      <c r="A68">
        <v>1460.4422849332291</v>
      </c>
    </row>
    <row r="69" spans="1:1" x14ac:dyDescent="0.25">
      <c r="A69">
        <v>1460.4422849332291</v>
      </c>
    </row>
    <row r="70" spans="1:1" x14ac:dyDescent="0.25">
      <c r="A70">
        <v>1460.4422849332291</v>
      </c>
    </row>
    <row r="71" spans="1:1" x14ac:dyDescent="0.25">
      <c r="A71">
        <v>1460.4422849332291</v>
      </c>
    </row>
    <row r="72" spans="1:1" x14ac:dyDescent="0.25">
      <c r="A72">
        <v>1460.4422849332291</v>
      </c>
    </row>
    <row r="73" spans="1:1" x14ac:dyDescent="0.25">
      <c r="A73">
        <v>1460.4422849332291</v>
      </c>
    </row>
    <row r="74" spans="1:1" x14ac:dyDescent="0.25">
      <c r="A74">
        <v>1460.4422849332291</v>
      </c>
    </row>
    <row r="75" spans="1:1" x14ac:dyDescent="0.25">
      <c r="A75">
        <v>1460.4422849332291</v>
      </c>
    </row>
    <row r="76" spans="1:1" x14ac:dyDescent="0.25">
      <c r="A76">
        <v>1460.4422849332291</v>
      </c>
    </row>
    <row r="77" spans="1:1" x14ac:dyDescent="0.25">
      <c r="A77">
        <v>1460.4422849332291</v>
      </c>
    </row>
    <row r="78" spans="1:1" x14ac:dyDescent="0.25">
      <c r="A78">
        <v>1460.4422849332291</v>
      </c>
    </row>
    <row r="79" spans="1:1" x14ac:dyDescent="0.25">
      <c r="A79">
        <v>1460.4422849332291</v>
      </c>
    </row>
    <row r="80" spans="1:1" x14ac:dyDescent="0.25">
      <c r="A80">
        <v>1460.4422849332291</v>
      </c>
    </row>
    <row r="81" spans="1:1" x14ac:dyDescent="0.25">
      <c r="A81">
        <v>1460.4422849332291</v>
      </c>
    </row>
    <row r="82" spans="1:1" x14ac:dyDescent="0.25">
      <c r="A82">
        <v>1460.4422849332291</v>
      </c>
    </row>
    <row r="83" spans="1:1" x14ac:dyDescent="0.25">
      <c r="A83">
        <v>1460.4422849332291</v>
      </c>
    </row>
    <row r="84" spans="1:1" x14ac:dyDescent="0.25">
      <c r="A84">
        <v>1460.4422849332291</v>
      </c>
    </row>
    <row r="85" spans="1:1" x14ac:dyDescent="0.25">
      <c r="A85">
        <v>1460.4422849332291</v>
      </c>
    </row>
    <row r="86" spans="1:1" x14ac:dyDescent="0.25">
      <c r="A86">
        <v>1460.4422849332291</v>
      </c>
    </row>
    <row r="87" spans="1:1" x14ac:dyDescent="0.25">
      <c r="A87">
        <v>1460.4422849332291</v>
      </c>
    </row>
    <row r="88" spans="1:1" x14ac:dyDescent="0.25">
      <c r="A88">
        <v>1460.4422849332291</v>
      </c>
    </row>
    <row r="89" spans="1:1" x14ac:dyDescent="0.25">
      <c r="A89">
        <v>1460.4422849332291</v>
      </c>
    </row>
    <row r="90" spans="1:1" x14ac:dyDescent="0.25">
      <c r="A90">
        <v>1460.4422849332291</v>
      </c>
    </row>
    <row r="91" spans="1:1" x14ac:dyDescent="0.25">
      <c r="A91">
        <v>1460.4422849332291</v>
      </c>
    </row>
    <row r="92" spans="1:1" x14ac:dyDescent="0.25">
      <c r="A92">
        <v>1460.4422849332291</v>
      </c>
    </row>
    <row r="93" spans="1:1" x14ac:dyDescent="0.25">
      <c r="A93">
        <v>1460.4422849332291</v>
      </c>
    </row>
    <row r="94" spans="1:1" x14ac:dyDescent="0.25">
      <c r="A94">
        <v>1460.4422849332291</v>
      </c>
    </row>
    <row r="95" spans="1:1" x14ac:dyDescent="0.25">
      <c r="A95">
        <v>1460.4422849332291</v>
      </c>
    </row>
    <row r="96" spans="1:1" x14ac:dyDescent="0.25">
      <c r="A96">
        <v>1460.4422849332291</v>
      </c>
    </row>
    <row r="97" spans="1:2" x14ac:dyDescent="0.25">
      <c r="A97">
        <v>1460.4422849332291</v>
      </c>
    </row>
    <row r="98" spans="1:2" x14ac:dyDescent="0.25">
      <c r="A98">
        <v>1460.4422849332291</v>
      </c>
    </row>
    <row r="99" spans="1:2" x14ac:dyDescent="0.25">
      <c r="A99">
        <v>1460.4422849332291</v>
      </c>
    </row>
    <row r="100" spans="1:2" x14ac:dyDescent="0.25">
      <c r="A100">
        <v>1460.4422849332291</v>
      </c>
    </row>
    <row r="101" spans="1:2" x14ac:dyDescent="0.25">
      <c r="A101">
        <v>1460.4422849332291</v>
      </c>
    </row>
    <row r="102" spans="1:2" x14ac:dyDescent="0.25">
      <c r="A102">
        <v>1460.4422849332291</v>
      </c>
    </row>
    <row r="103" spans="1:2" x14ac:dyDescent="0.25">
      <c r="A103">
        <v>1460.4422849332291</v>
      </c>
    </row>
    <row r="105" spans="1:2" x14ac:dyDescent="0.25">
      <c r="A105" t="s">
        <v>46</v>
      </c>
      <c r="B105">
        <f>1-SUMXMY2('Coeficiente de Acerto'!$Q$2:$Q$51,'Coeficiente de Acerto'!$P$2:$P$51)/SUMXMY2('Coeficiente de Acerto'!$P$2:$P$51,'Coeficiente de Acerto'!$A$54:$A$103)</f>
        <v>0.97213628081219972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Q16"/>
  <sheetViews>
    <sheetView workbookViewId="0">
      <selection activeCell="A17" sqref="A17"/>
    </sheetView>
  </sheetViews>
  <sheetFormatPr defaultRowHeight="15" x14ac:dyDescent="0.25"/>
  <cols>
    <col min="16" max="16" width="17.85546875" bestFit="1" customWidth="1"/>
    <col min="17" max="17" width="12.140625" bestFit="1" customWidth="1"/>
  </cols>
  <sheetData>
    <row r="1" spans="1:17" x14ac:dyDescent="0.25">
      <c r="A1" s="1" t="s">
        <v>49</v>
      </c>
      <c r="B1" s="1" t="s">
        <v>50</v>
      </c>
      <c r="C1" s="1" t="s">
        <v>67</v>
      </c>
      <c r="D1" s="1" t="s">
        <v>68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51</v>
      </c>
      <c r="J1" s="1" t="s">
        <v>52</v>
      </c>
      <c r="K1" s="1" t="s">
        <v>57</v>
      </c>
      <c r="L1" s="1" t="s">
        <v>58</v>
      </c>
      <c r="M1" s="1" t="s">
        <v>69</v>
      </c>
      <c r="N1" s="1" t="s">
        <v>59</v>
      </c>
      <c r="O1" s="1" t="s">
        <v>60</v>
      </c>
      <c r="P1" s="1" t="s">
        <v>65</v>
      </c>
      <c r="Q1" s="1" t="s">
        <v>66</v>
      </c>
    </row>
    <row r="2" spans="1:17" x14ac:dyDescent="0.25">
      <c r="A2" s="1">
        <v>5</v>
      </c>
      <c r="B2" s="1">
        <v>1.1624211650174012</v>
      </c>
      <c r="C2" s="1">
        <v>295.2257330474572</v>
      </c>
      <c r="D2" s="1">
        <v>48.629963933721875</v>
      </c>
      <c r="E2" s="1">
        <v>0.14641587052709071</v>
      </c>
      <c r="F2" s="1">
        <v>100000</v>
      </c>
      <c r="G2" s="1">
        <v>4.458847216472912</v>
      </c>
      <c r="H2" s="1">
        <v>0.5195577076855552</v>
      </c>
      <c r="I2" s="1">
        <v>804.08653698499779</v>
      </c>
      <c r="J2" s="1">
        <v>101.83915416795141</v>
      </c>
      <c r="K2" s="1">
        <v>5.9270832515313294E-2</v>
      </c>
      <c r="L2" s="1">
        <v>166657.7923230585</v>
      </c>
      <c r="M2" s="1">
        <v>0.16382232942267907</v>
      </c>
      <c r="N2" s="1">
        <v>0.75663519499451459</v>
      </c>
      <c r="O2" s="1">
        <v>180.88562253366283</v>
      </c>
      <c r="P2" s="1">
        <v>924.96078076649428</v>
      </c>
      <c r="Q2" s="1">
        <v>980.22089888299524</v>
      </c>
    </row>
    <row r="3" spans="1:17" x14ac:dyDescent="0.25">
      <c r="A3" s="1">
        <v>6</v>
      </c>
      <c r="B3" s="1">
        <v>1.1705519537285254</v>
      </c>
      <c r="C3" s="1">
        <v>296.41512812195037</v>
      </c>
      <c r="D3" s="1">
        <v>17.09713766634048</v>
      </c>
      <c r="E3" s="1">
        <v>1.1297325946142467E-2</v>
      </c>
      <c r="F3" s="1">
        <v>100000</v>
      </c>
      <c r="G3" s="1">
        <v>7.797394521943243</v>
      </c>
      <c r="H3" s="1">
        <v>0.42511131650732253</v>
      </c>
      <c r="I3" s="1">
        <v>837.90801417929572</v>
      </c>
      <c r="J3" s="1">
        <v>302.03935286183753</v>
      </c>
      <c r="K3" s="1">
        <v>4.7695453847198456E-2</v>
      </c>
      <c r="L3" s="1">
        <v>153967.22939929293</v>
      </c>
      <c r="M3" s="1">
        <v>9.8065370514674718E-2</v>
      </c>
      <c r="N3" s="1">
        <v>0.38261673701297944</v>
      </c>
      <c r="O3" s="1">
        <v>253.5264895781134</v>
      </c>
      <c r="P3" s="1">
        <v>1149.0235776170666</v>
      </c>
      <c r="Q3" s="1">
        <v>1284.3645981152949</v>
      </c>
    </row>
    <row r="4" spans="1:17" x14ac:dyDescent="0.25">
      <c r="A4" s="1">
        <v>10</v>
      </c>
      <c r="B4" s="1">
        <v>1.1599999999999999</v>
      </c>
      <c r="C4" s="1">
        <v>300</v>
      </c>
      <c r="D4" s="1">
        <v>2</v>
      </c>
      <c r="E4" s="1">
        <v>8.0000000000000002E-3</v>
      </c>
      <c r="F4" s="1">
        <v>100000</v>
      </c>
      <c r="G4" s="1">
        <v>1.7999999999999999E-2</v>
      </c>
      <c r="H4" s="1">
        <v>0.43</v>
      </c>
      <c r="I4" s="1">
        <v>800</v>
      </c>
      <c r="J4" s="1">
        <v>5</v>
      </c>
      <c r="K4" s="1">
        <v>8.0000000000000002E-3</v>
      </c>
      <c r="L4" s="1">
        <v>145666.65321070363</v>
      </c>
      <c r="M4" s="1">
        <v>0.05</v>
      </c>
      <c r="N4" s="1">
        <v>0.33</v>
      </c>
      <c r="O4" s="1">
        <v>260</v>
      </c>
      <c r="P4" s="1">
        <v>0.06</v>
      </c>
      <c r="Q4" s="1">
        <v>-274.2633721458551</v>
      </c>
    </row>
    <row r="5" spans="1:17" x14ac:dyDescent="0.25">
      <c r="A5" s="1">
        <v>12</v>
      </c>
      <c r="B5" s="1">
        <v>1.1729645406537783</v>
      </c>
      <c r="C5" s="1">
        <v>293.39660969092347</v>
      </c>
      <c r="D5" s="1">
        <v>66.486766660015746</v>
      </c>
      <c r="E5" s="1">
        <v>0.13917979513766859</v>
      </c>
      <c r="F5" s="1">
        <v>100000</v>
      </c>
      <c r="G5" s="1">
        <v>0.54758259115975338</v>
      </c>
      <c r="H5" s="1">
        <v>0.50760459962582272</v>
      </c>
      <c r="I5" s="1">
        <v>757.77837271387534</v>
      </c>
      <c r="J5" s="1">
        <v>252.82665385718241</v>
      </c>
      <c r="K5" s="1">
        <v>4.9254877084440554E-2</v>
      </c>
      <c r="L5" s="1">
        <v>161577.46491429102</v>
      </c>
      <c r="M5" s="1">
        <v>9.3950193646043512E-2</v>
      </c>
      <c r="N5" s="1">
        <v>0.65428073687006583</v>
      </c>
      <c r="O5" s="1">
        <v>242.55474133985615</v>
      </c>
      <c r="P5" s="1">
        <v>990.02375374285475</v>
      </c>
      <c r="Q5" s="1">
        <v>1121.6253661275987</v>
      </c>
    </row>
    <row r="6" spans="1:17" x14ac:dyDescent="0.25">
      <c r="A6" s="1">
        <v>14</v>
      </c>
      <c r="B6" s="1">
        <v>1.1834600513440603</v>
      </c>
      <c r="C6" s="1">
        <v>296.79928024976806</v>
      </c>
      <c r="D6" s="1">
        <v>51.944594682467695</v>
      </c>
      <c r="E6" s="1">
        <v>9.4607762713498134E-2</v>
      </c>
      <c r="F6" s="1">
        <v>100000</v>
      </c>
      <c r="G6" s="1">
        <v>2.728392895448442</v>
      </c>
      <c r="H6" s="1">
        <v>0.49397624430053633</v>
      </c>
      <c r="I6" s="1">
        <v>764.25953532885876</v>
      </c>
      <c r="J6" s="1">
        <v>198.45624273815665</v>
      </c>
      <c r="K6" s="1">
        <v>1.0515926035967847E-2</v>
      </c>
      <c r="L6" s="1">
        <v>162181.73402825234</v>
      </c>
      <c r="M6" s="1">
        <v>0.1011693044377161</v>
      </c>
      <c r="N6" s="1">
        <v>0.41676968418847427</v>
      </c>
      <c r="O6" s="1">
        <v>205.09057136416428</v>
      </c>
      <c r="P6" s="1">
        <v>855.70743371725985</v>
      </c>
      <c r="Q6" s="1">
        <v>1016.9388508225675</v>
      </c>
    </row>
    <row r="7" spans="1:17" x14ac:dyDescent="0.25">
      <c r="A7" s="1">
        <v>18</v>
      </c>
      <c r="B7" s="1">
        <v>1.1844814367889824</v>
      </c>
      <c r="C7" s="1">
        <v>289.99342718337044</v>
      </c>
      <c r="D7" s="1">
        <v>57.144293069411361</v>
      </c>
      <c r="E7" s="1">
        <v>8.6295563133106309E-2</v>
      </c>
      <c r="F7" s="1">
        <v>100000</v>
      </c>
      <c r="G7" s="1">
        <v>4.2378197818462562</v>
      </c>
      <c r="H7" s="1">
        <v>0.47315260998239073</v>
      </c>
      <c r="I7" s="1">
        <v>766.46691433177523</v>
      </c>
      <c r="J7" s="1">
        <v>227.60699852590272</v>
      </c>
      <c r="K7" s="1">
        <v>2.1337609191090363E-2</v>
      </c>
      <c r="L7" s="1">
        <v>177474.71199794975</v>
      </c>
      <c r="M7" s="1">
        <v>0.1267271730044888</v>
      </c>
      <c r="N7" s="1">
        <v>0.58285015363379078</v>
      </c>
      <c r="O7" s="1">
        <v>222.55480535772159</v>
      </c>
      <c r="P7" s="1">
        <v>1610.1124068199933</v>
      </c>
      <c r="Q7" s="1">
        <v>1528.7826119973761</v>
      </c>
    </row>
    <row r="8" spans="1:17" x14ac:dyDescent="0.25">
      <c r="A8" s="1">
        <v>19</v>
      </c>
      <c r="B8" s="1">
        <v>1.1740108036653045</v>
      </c>
      <c r="C8" s="1">
        <v>294.18421439601582</v>
      </c>
      <c r="D8" s="1">
        <v>12.472413966080417</v>
      </c>
      <c r="E8" s="1">
        <v>7.3532746256728482E-2</v>
      </c>
      <c r="F8" s="1">
        <v>100000</v>
      </c>
      <c r="G8" s="1">
        <v>4.3413156370180292</v>
      </c>
      <c r="H8" s="1">
        <v>0.47937211126068502</v>
      </c>
      <c r="I8" s="1">
        <v>856.89120321277517</v>
      </c>
      <c r="J8" s="1">
        <v>204.55512875290879</v>
      </c>
      <c r="K8" s="1">
        <v>3.9142450608180529E-2</v>
      </c>
      <c r="L8" s="1">
        <v>153067.13892342028</v>
      </c>
      <c r="M8" s="1">
        <v>8.6462074165304187E-2</v>
      </c>
      <c r="N8" s="1">
        <v>0.51732571224818946</v>
      </c>
      <c r="O8" s="1">
        <v>222.68074341819968</v>
      </c>
      <c r="P8" s="1">
        <v>840.43014171258983</v>
      </c>
      <c r="Q8" s="1">
        <v>913.87584940565284</v>
      </c>
    </row>
    <row r="9" spans="1:17" x14ac:dyDescent="0.25">
      <c r="A9" s="1">
        <v>23</v>
      </c>
      <c r="B9" s="1">
        <v>1.1823323324246318</v>
      </c>
      <c r="C9" s="1">
        <v>291.40003325127111</v>
      </c>
      <c r="D9" s="1">
        <v>28.174629100653142</v>
      </c>
      <c r="E9" s="1">
        <v>0.10756887787380046</v>
      </c>
      <c r="F9" s="1">
        <v>100000</v>
      </c>
      <c r="G9" s="1">
        <v>3.9469385163900896</v>
      </c>
      <c r="H9" s="1">
        <v>0.49099757408999006</v>
      </c>
      <c r="I9" s="1">
        <v>795.84163470431122</v>
      </c>
      <c r="J9" s="1">
        <v>297.6066609435901</v>
      </c>
      <c r="K9" s="1">
        <v>1.7798500623277026E-2</v>
      </c>
      <c r="L9" s="1">
        <v>175531.81586677657</v>
      </c>
      <c r="M9" s="1">
        <v>0.11772047107791392</v>
      </c>
      <c r="N9" s="1">
        <v>0.60724462791988643</v>
      </c>
      <c r="O9" s="1">
        <v>224.69077563153093</v>
      </c>
      <c r="P9" s="1">
        <v>1440.3615554309727</v>
      </c>
      <c r="Q9" s="1">
        <v>1522.7789509811992</v>
      </c>
    </row>
    <row r="10" spans="1:17" x14ac:dyDescent="0.25">
      <c r="A10" s="1">
        <v>24</v>
      </c>
      <c r="B10" s="1">
        <v>1.1822897611420855</v>
      </c>
      <c r="C10" s="1">
        <v>289.83249163179261</v>
      </c>
      <c r="D10" s="1">
        <v>28.679571949615877</v>
      </c>
      <c r="E10" s="1">
        <v>0.10685932407846019</v>
      </c>
      <c r="F10" s="1">
        <v>100000</v>
      </c>
      <c r="G10" s="1">
        <v>2.5631325641126015</v>
      </c>
      <c r="H10" s="1">
        <v>0.49331338115661905</v>
      </c>
      <c r="I10" s="1">
        <v>786.57985918939323</v>
      </c>
      <c r="J10" s="1">
        <v>305.30341576824759</v>
      </c>
      <c r="K10" s="1">
        <v>4.5603446123309785E-2</v>
      </c>
      <c r="L10" s="1">
        <v>139161.97551716151</v>
      </c>
      <c r="M10" s="1">
        <v>8.7929690327198939E-2</v>
      </c>
      <c r="N10" s="1">
        <v>0.4292270426768568</v>
      </c>
      <c r="O10" s="1">
        <v>231.12381699613732</v>
      </c>
      <c r="P10" s="1">
        <v>1108.9441611295842</v>
      </c>
      <c r="Q10" s="1">
        <v>1188.3827753732912</v>
      </c>
    </row>
    <row r="11" spans="1:17" x14ac:dyDescent="0.25">
      <c r="A11" s="1">
        <v>28</v>
      </c>
      <c r="B11" s="1">
        <v>1.1803743605463171</v>
      </c>
      <c r="C11" s="1">
        <v>292.50042783777911</v>
      </c>
      <c r="D11" s="1">
        <v>55.162399608891704</v>
      </c>
      <c r="E11" s="1">
        <v>0.12023453325991318</v>
      </c>
      <c r="F11" s="1">
        <v>100000</v>
      </c>
      <c r="G11" s="1">
        <v>6.9449023258555291</v>
      </c>
      <c r="H11" s="1">
        <v>0.4821484433640687</v>
      </c>
      <c r="I11" s="1">
        <v>834.22272064007916</v>
      </c>
      <c r="J11" s="1">
        <v>333.40811577693387</v>
      </c>
      <c r="K11" s="1">
        <v>3.2185383185525336E-2</v>
      </c>
      <c r="L11" s="1">
        <v>159645.23697853609</v>
      </c>
      <c r="M11" s="1">
        <v>0.1173736119540586</v>
      </c>
      <c r="N11" s="1">
        <v>0.46403063156334212</v>
      </c>
      <c r="O11" s="1">
        <v>225.42995189540224</v>
      </c>
      <c r="P11" s="1">
        <v>1693.325836016149</v>
      </c>
      <c r="Q11" s="1">
        <v>1583.0434304992086</v>
      </c>
    </row>
    <row r="12" spans="1:17" x14ac:dyDescent="0.25">
      <c r="A12" s="1">
        <v>30</v>
      </c>
      <c r="B12" s="1">
        <v>1.1822596563843559</v>
      </c>
      <c r="C12" s="1">
        <v>290.52976855858702</v>
      </c>
      <c r="D12" s="1">
        <v>50.901984208771253</v>
      </c>
      <c r="E12" s="1">
        <v>8.2247720754658818E-2</v>
      </c>
      <c r="F12" s="1">
        <v>100000</v>
      </c>
      <c r="G12" s="1">
        <v>3.4894544781100754</v>
      </c>
      <c r="H12" s="1">
        <v>0.48220518849797239</v>
      </c>
      <c r="I12" s="1">
        <v>796.27126818892498</v>
      </c>
      <c r="J12" s="1">
        <v>289.88215537812476</v>
      </c>
      <c r="K12" s="1">
        <v>5.4393787298488552E-2</v>
      </c>
      <c r="L12" s="1">
        <v>144739.52261839234</v>
      </c>
      <c r="M12" s="1">
        <v>0.10046345821613198</v>
      </c>
      <c r="N12" s="1">
        <v>0.57012080017709965</v>
      </c>
      <c r="O12" s="1">
        <v>236.06702878149272</v>
      </c>
      <c r="P12" s="1">
        <v>1183.7820914878321</v>
      </c>
      <c r="Q12" s="1">
        <v>1261.7377869253833</v>
      </c>
    </row>
    <row r="13" spans="1:17" x14ac:dyDescent="0.25">
      <c r="A13" s="1">
        <v>31</v>
      </c>
      <c r="B13" s="1">
        <v>1.1816712139682854</v>
      </c>
      <c r="C13" s="1">
        <v>291.20596849980427</v>
      </c>
      <c r="D13" s="1">
        <v>39.824842562255391</v>
      </c>
      <c r="E13" s="1">
        <v>0.11493359087726635</v>
      </c>
      <c r="F13" s="1">
        <v>100000</v>
      </c>
      <c r="G13" s="1">
        <v>4.5690088892961001</v>
      </c>
      <c r="H13" s="1">
        <v>0.48896651923643142</v>
      </c>
      <c r="I13" s="1">
        <v>805.33089656869765</v>
      </c>
      <c r="J13" s="1">
        <v>387.51678630079618</v>
      </c>
      <c r="K13" s="1">
        <v>3.1812024219931706E-2</v>
      </c>
      <c r="L13" s="1">
        <v>165791.71682959312</v>
      </c>
      <c r="M13" s="1">
        <v>0.11859838249777759</v>
      </c>
      <c r="N13" s="1">
        <v>0.55609199480772942</v>
      </c>
      <c r="O13" s="1">
        <v>215.25731955449476</v>
      </c>
      <c r="P13" s="1">
        <v>1746.2302158651219</v>
      </c>
      <c r="Q13" s="1">
        <v>1657.455454811221</v>
      </c>
    </row>
    <row r="14" spans="1:17" x14ac:dyDescent="0.25">
      <c r="A14" s="1">
        <v>32</v>
      </c>
      <c r="B14" s="1">
        <v>1.1837039216684568</v>
      </c>
      <c r="C14" s="1">
        <v>291.69998509905719</v>
      </c>
      <c r="D14" s="1">
        <v>53.273929829312962</v>
      </c>
      <c r="E14" s="1">
        <v>0.10302386411025102</v>
      </c>
      <c r="F14" s="1">
        <v>100000</v>
      </c>
      <c r="G14" s="1">
        <v>3.4340819164508769</v>
      </c>
      <c r="H14" s="1">
        <v>0.48444634860704505</v>
      </c>
      <c r="I14" s="1">
        <v>809.03865469197819</v>
      </c>
      <c r="J14" s="1">
        <v>345.1192939569591</v>
      </c>
      <c r="K14" s="1">
        <v>5.6396984582219103E-2</v>
      </c>
      <c r="L14" s="1">
        <v>161047.33416335963</v>
      </c>
      <c r="M14" s="1">
        <v>8.8712430225637628E-2</v>
      </c>
      <c r="N14" s="1">
        <v>0.5489035613038018</v>
      </c>
      <c r="O14" s="1">
        <v>215.61975848473568</v>
      </c>
      <c r="P14" s="1">
        <v>1572.7842803352323</v>
      </c>
      <c r="Q14" s="1">
        <v>1479.2521732056484</v>
      </c>
    </row>
    <row r="15" spans="1:17" x14ac:dyDescent="0.25">
      <c r="A15" s="1">
        <v>36</v>
      </c>
      <c r="B15" s="1">
        <v>1.1826837629542521</v>
      </c>
      <c r="C15" s="1">
        <v>291.78942040019996</v>
      </c>
      <c r="D15" s="1">
        <v>47.567088503219267</v>
      </c>
      <c r="E15" s="1">
        <v>9.0769074331067914E-2</v>
      </c>
      <c r="F15" s="1">
        <v>100000</v>
      </c>
      <c r="G15" s="1">
        <v>5.5760891482125086</v>
      </c>
      <c r="H15" s="1">
        <v>0.49129626298532675</v>
      </c>
      <c r="I15" s="1">
        <v>786.96717642514761</v>
      </c>
      <c r="J15" s="1">
        <v>248.01638633029575</v>
      </c>
      <c r="K15" s="1">
        <v>4.2739846348682602E-2</v>
      </c>
      <c r="L15" s="1">
        <v>150800.56657912294</v>
      </c>
      <c r="M15" s="1">
        <v>0.11543141489675825</v>
      </c>
      <c r="N15" s="1">
        <v>0.55589906377864096</v>
      </c>
      <c r="O15" s="1">
        <v>235.93033024104633</v>
      </c>
      <c r="P15" s="1">
        <v>1201.5651261323874</v>
      </c>
      <c r="Q15" s="1">
        <v>1280.1345645459514</v>
      </c>
    </row>
    <row r="16" spans="1:17" x14ac:dyDescent="0.25">
      <c r="A16" s="1">
        <v>47</v>
      </c>
      <c r="B16" s="1">
        <v>1.1842351937687596</v>
      </c>
      <c r="C16" s="1">
        <v>290.20417724977733</v>
      </c>
      <c r="D16" s="1">
        <v>41.138876345579718</v>
      </c>
      <c r="E16" s="1">
        <v>9.4094464303609363E-2</v>
      </c>
      <c r="F16" s="1">
        <v>100000</v>
      </c>
      <c r="G16" s="1">
        <v>4.7817726025707969</v>
      </c>
      <c r="H16" s="1">
        <v>0.48514582706319043</v>
      </c>
      <c r="I16" s="1">
        <v>807.95803692782329</v>
      </c>
      <c r="J16" s="1">
        <v>363.38852224455445</v>
      </c>
      <c r="K16" s="1">
        <v>4.7505795508652415E-2</v>
      </c>
      <c r="L16" s="1">
        <v>168527.28713077406</v>
      </c>
      <c r="M16" s="1">
        <v>0.10635992502547245</v>
      </c>
      <c r="N16" s="1">
        <v>0.52429896246273899</v>
      </c>
      <c r="O16" s="1">
        <v>227.24830973446223</v>
      </c>
      <c r="P16" s="1">
        <v>1736.6673217146235</v>
      </c>
      <c r="Q16" s="1">
        <v>1649.5603562824108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</vt:i4>
      </vt:variant>
    </vt:vector>
  </HeadingPairs>
  <TitlesOfParts>
    <vt:vector size="15" baseType="lpstr">
      <vt:lpstr>Executar</vt:lpstr>
      <vt:lpstr>Tabela Entrada-Saída</vt:lpstr>
      <vt:lpstr>Coordenadas dos Polos</vt:lpstr>
      <vt:lpstr>Cálculos Diversos</vt:lpstr>
      <vt:lpstr>Matrix (R)</vt:lpstr>
      <vt:lpstr>Matrix (R)^t</vt:lpstr>
      <vt:lpstr>Matrix (R)^t.(R)</vt:lpstr>
      <vt:lpstr>Matrix ((R)^t.(R))^(-1)</vt:lpstr>
      <vt:lpstr>Matrix (((R)^t.(R))^(-1)).(R)^t</vt:lpstr>
      <vt:lpstr>Solução</vt:lpstr>
      <vt:lpstr>Formulário</vt:lpstr>
      <vt:lpstr>Sem Outlayers</vt:lpstr>
      <vt:lpstr>Coeficiente de Acerto</vt:lpstr>
      <vt:lpstr>Outlayers</vt:lpstr>
      <vt:lpstr>'Sem Outlayers'!Titulos_de_impressao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Eden Denis</dc:creator>
  <cp:lastModifiedBy>Eden Denis</cp:lastModifiedBy>
  <cp:lastPrinted>2017-07-08T16:25:51Z</cp:lastPrinted>
  <dcterms:created xsi:type="dcterms:W3CDTF">2013-01-06T09:57:14Z</dcterms:created>
  <dcterms:modified xsi:type="dcterms:W3CDTF">2017-10-01T14:45:38Z</dcterms:modified>
</cp:coreProperties>
</file>