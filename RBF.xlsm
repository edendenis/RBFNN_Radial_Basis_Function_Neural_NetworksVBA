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xr:revisionPtr revIDLastSave="0" documentId="13_ncr:1_{4F9F29F7-E6A4-4362-B21A-090C383312FD}" xr6:coauthVersionLast="46" xr6:coauthVersionMax="46" xr10:uidLastSave="{00000000-0000-0000-0000-000000000000}"/>
  <bookViews>
    <workbookView xWindow="-108" yWindow="-108" windowWidth="23256" windowHeight="12576" tabRatio="870" activeTab="10" xr2:uid="{63C80811-F38B-4F05-9D3C-81B2B3A79E46}"/>
  </bookViews>
  <sheets>
    <sheet name="Execultar" sheetId="1" r:id="rId1"/>
    <sheet name="Tabela Entrada-saída" sheetId="2" state="veryHidden" r:id="rId2"/>
    <sheet name="coordenadas dos Polos" sheetId="3" state="veryHidden" r:id="rId3"/>
    <sheet name="Cálculos Diversos" sheetId="4" state="veryHidden" r:id="rId4"/>
    <sheet name="Matrix (R)" sheetId="5" state="veryHidden" r:id="rId5"/>
    <sheet name="Matrix (R)^t" sheetId="6" state="veryHidden" r:id="rId6"/>
    <sheet name="Matrix (R)^t.(R)" sheetId="7" state="veryHidden" r:id="rId7"/>
    <sheet name="Matrix ((R)^t.(R))^(-1)" sheetId="8" state="veryHidden" r:id="rId8"/>
    <sheet name="Matrix (((R)^t.(R))^(-1)).(R)^t" sheetId="9" state="veryHidden" r:id="rId9"/>
    <sheet name="Solução" sheetId="10" state="veryHidden" r:id="rId10"/>
    <sheet name="Formulário" sheetId="11" r:id="rId11"/>
    <sheet name="Coeficiente de Acerto" sheetId="12" state="veryHidden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12" l="1"/>
  <c r="B24" i="11" s="1"/>
  <c r="A34" i="12" a="1"/>
  <c r="A34" i="12" s="1"/>
  <c r="A36" i="12"/>
  <c r="A37" i="12"/>
  <c r="A40" i="12"/>
  <c r="A41" i="12"/>
  <c r="A44" i="12"/>
  <c r="A45" i="12"/>
  <c r="A48" i="12"/>
  <c r="A49" i="12"/>
  <c r="A52" i="12"/>
  <c r="A53" i="12"/>
  <c r="A56" i="12"/>
  <c r="A57" i="12"/>
  <c r="A60" i="12"/>
  <c r="A61" i="12"/>
  <c r="RR24" i="3"/>
  <c r="QV24" i="3"/>
  <c r="PZ24" i="3"/>
  <c r="PD24" i="3"/>
  <c r="OH24" i="3"/>
  <c r="NL24" i="3"/>
  <c r="MP24" i="3"/>
  <c r="LT24" i="3"/>
  <c r="KX24" i="3"/>
  <c r="KB24" i="3"/>
  <c r="JF24" i="3"/>
  <c r="IJ24" i="3"/>
  <c r="HN24" i="3"/>
  <c r="GR24" i="3"/>
  <c r="FV24" i="3"/>
  <c r="EZ24" i="3"/>
  <c r="ED24" i="3"/>
  <c r="DH24" i="3"/>
  <c r="CL24" i="3"/>
  <c r="BP24" i="3"/>
  <c r="AT24" i="3"/>
  <c r="X24" i="3"/>
  <c r="RR23" i="3"/>
  <c r="QV23" i="3"/>
  <c r="PZ23" i="3"/>
  <c r="PD23" i="3"/>
  <c r="OH23" i="3"/>
  <c r="NL23" i="3"/>
  <c r="MP23" i="3"/>
  <c r="LT23" i="3"/>
  <c r="KX23" i="3"/>
  <c r="KB23" i="3"/>
  <c r="JF23" i="3"/>
  <c r="IJ23" i="3"/>
  <c r="HN23" i="3"/>
  <c r="GR23" i="3"/>
  <c r="FV23" i="3"/>
  <c r="EZ23" i="3"/>
  <c r="ED23" i="3"/>
  <c r="DH23" i="3"/>
  <c r="CL23" i="3"/>
  <c r="BP23" i="3"/>
  <c r="AT23" i="3"/>
  <c r="X23" i="3"/>
  <c r="RR22" i="3"/>
  <c r="QV22" i="3"/>
  <c r="PZ22" i="3"/>
  <c r="PD22" i="3"/>
  <c r="OH22" i="3"/>
  <c r="NL22" i="3"/>
  <c r="MP22" i="3"/>
  <c r="LT22" i="3"/>
  <c r="KX22" i="3"/>
  <c r="KB22" i="3"/>
  <c r="JF22" i="3"/>
  <c r="IJ22" i="3"/>
  <c r="HN22" i="3"/>
  <c r="GR22" i="3"/>
  <c r="FV22" i="3"/>
  <c r="EZ22" i="3"/>
  <c r="ED22" i="3"/>
  <c r="DH22" i="3"/>
  <c r="CL22" i="3"/>
  <c r="BP22" i="3"/>
  <c r="AT22" i="3"/>
  <c r="X22" i="3"/>
  <c r="RR21" i="3"/>
  <c r="QV21" i="3"/>
  <c r="PZ21" i="3"/>
  <c r="PD21" i="3"/>
  <c r="OH21" i="3"/>
  <c r="NL21" i="3"/>
  <c r="MP21" i="3"/>
  <c r="LT21" i="3"/>
  <c r="KX21" i="3"/>
  <c r="KB21" i="3"/>
  <c r="JF21" i="3"/>
  <c r="IJ21" i="3"/>
  <c r="HN21" i="3"/>
  <c r="GR21" i="3"/>
  <c r="FV21" i="3"/>
  <c r="EZ21" i="3"/>
  <c r="ED21" i="3"/>
  <c r="DH21" i="3"/>
  <c r="CL21" i="3"/>
  <c r="BP21" i="3"/>
  <c r="AT21" i="3"/>
  <c r="X21" i="3"/>
  <c r="RR20" i="3"/>
  <c r="QV20" i="3"/>
  <c r="PZ20" i="3"/>
  <c r="PD20" i="3"/>
  <c r="OH20" i="3"/>
  <c r="NL20" i="3"/>
  <c r="MP20" i="3"/>
  <c r="LT20" i="3"/>
  <c r="KX20" i="3"/>
  <c r="KB20" i="3"/>
  <c r="JF20" i="3"/>
  <c r="IJ20" i="3"/>
  <c r="HN20" i="3"/>
  <c r="GR20" i="3"/>
  <c r="FV20" i="3"/>
  <c r="EZ20" i="3"/>
  <c r="ED20" i="3"/>
  <c r="DH20" i="3"/>
  <c r="CL20" i="3"/>
  <c r="BP20" i="3"/>
  <c r="AT20" i="3"/>
  <c r="X20" i="3"/>
  <c r="RR19" i="3"/>
  <c r="QV19" i="3"/>
  <c r="PZ19" i="3"/>
  <c r="PD19" i="3"/>
  <c r="OH19" i="3"/>
  <c r="NL19" i="3"/>
  <c r="MP19" i="3"/>
  <c r="LT19" i="3"/>
  <c r="KX19" i="3"/>
  <c r="KB19" i="3"/>
  <c r="JF19" i="3"/>
  <c r="IJ19" i="3"/>
  <c r="HN19" i="3"/>
  <c r="GR19" i="3"/>
  <c r="FV19" i="3"/>
  <c r="EZ19" i="3"/>
  <c r="ED19" i="3"/>
  <c r="DH19" i="3"/>
  <c r="CL19" i="3"/>
  <c r="BP19" i="3"/>
  <c r="AT19" i="3"/>
  <c r="X19" i="3"/>
  <c r="RR18" i="3"/>
  <c r="QV18" i="3"/>
  <c r="PZ18" i="3"/>
  <c r="PD18" i="3"/>
  <c r="OH18" i="3"/>
  <c r="NL18" i="3"/>
  <c r="MP18" i="3"/>
  <c r="LT18" i="3"/>
  <c r="KX18" i="3"/>
  <c r="KB18" i="3"/>
  <c r="JF18" i="3"/>
  <c r="IJ18" i="3"/>
  <c r="HN18" i="3"/>
  <c r="GR18" i="3"/>
  <c r="FV18" i="3"/>
  <c r="EZ18" i="3"/>
  <c r="ED18" i="3"/>
  <c r="DH18" i="3"/>
  <c r="CL18" i="3"/>
  <c r="BP18" i="3"/>
  <c r="AT18" i="3"/>
  <c r="X18" i="3"/>
  <c r="RR17" i="3"/>
  <c r="QV17" i="3"/>
  <c r="PZ17" i="3"/>
  <c r="PD17" i="3"/>
  <c r="OH17" i="3"/>
  <c r="NL17" i="3"/>
  <c r="MP17" i="3"/>
  <c r="LT17" i="3"/>
  <c r="KX17" i="3"/>
  <c r="KB17" i="3"/>
  <c r="JF17" i="3"/>
  <c r="IJ17" i="3"/>
  <c r="HN17" i="3"/>
  <c r="GR17" i="3"/>
  <c r="FV17" i="3"/>
  <c r="EZ17" i="3"/>
  <c r="ED17" i="3"/>
  <c r="DH17" i="3"/>
  <c r="CL17" i="3"/>
  <c r="BP17" i="3"/>
  <c r="AT17" i="3"/>
  <c r="X17" i="3"/>
  <c r="RR16" i="3"/>
  <c r="QV16" i="3"/>
  <c r="PZ16" i="3"/>
  <c r="PD16" i="3"/>
  <c r="OH16" i="3"/>
  <c r="NL16" i="3"/>
  <c r="MP16" i="3"/>
  <c r="LT16" i="3"/>
  <c r="KX16" i="3"/>
  <c r="KB16" i="3"/>
  <c r="JF16" i="3"/>
  <c r="IJ16" i="3"/>
  <c r="HN16" i="3"/>
  <c r="GR16" i="3"/>
  <c r="FV16" i="3"/>
  <c r="EZ16" i="3"/>
  <c r="ED16" i="3"/>
  <c r="DH16" i="3"/>
  <c r="CL16" i="3"/>
  <c r="BP16" i="3"/>
  <c r="AT16" i="3"/>
  <c r="X16" i="3"/>
  <c r="RR15" i="3"/>
  <c r="QV15" i="3"/>
  <c r="PZ15" i="3"/>
  <c r="PD15" i="3"/>
  <c r="OH15" i="3"/>
  <c r="NL15" i="3"/>
  <c r="MP15" i="3"/>
  <c r="LT15" i="3"/>
  <c r="KX15" i="3"/>
  <c r="KB15" i="3"/>
  <c r="JF15" i="3"/>
  <c r="IJ15" i="3"/>
  <c r="HN15" i="3"/>
  <c r="GR15" i="3"/>
  <c r="FV15" i="3"/>
  <c r="EZ15" i="3"/>
  <c r="ED15" i="3"/>
  <c r="DH15" i="3"/>
  <c r="CL15" i="3"/>
  <c r="BP15" i="3"/>
  <c r="AT15" i="3"/>
  <c r="X15" i="3"/>
  <c r="RR14" i="3"/>
  <c r="QV14" i="3"/>
  <c r="PZ14" i="3"/>
  <c r="PD14" i="3"/>
  <c r="OH14" i="3"/>
  <c r="NL14" i="3"/>
  <c r="MP14" i="3"/>
  <c r="LT14" i="3"/>
  <c r="KX14" i="3"/>
  <c r="KB14" i="3"/>
  <c r="JF14" i="3"/>
  <c r="IJ14" i="3"/>
  <c r="HN14" i="3"/>
  <c r="GR14" i="3"/>
  <c r="FV14" i="3"/>
  <c r="EZ14" i="3"/>
  <c r="ED14" i="3"/>
  <c r="DH14" i="3"/>
  <c r="CL14" i="3"/>
  <c r="BP14" i="3"/>
  <c r="AT14" i="3"/>
  <c r="X14" i="3"/>
  <c r="RR13" i="3"/>
  <c r="QV13" i="3"/>
  <c r="PZ13" i="3"/>
  <c r="PD13" i="3"/>
  <c r="OH13" i="3"/>
  <c r="NL13" i="3"/>
  <c r="MP13" i="3"/>
  <c r="LT13" i="3"/>
  <c r="KX13" i="3"/>
  <c r="KB13" i="3"/>
  <c r="JF13" i="3"/>
  <c r="IJ13" i="3"/>
  <c r="HN13" i="3"/>
  <c r="GR13" i="3"/>
  <c r="FV13" i="3"/>
  <c r="EZ13" i="3"/>
  <c r="ED13" i="3"/>
  <c r="DH13" i="3"/>
  <c r="CL13" i="3"/>
  <c r="BP13" i="3"/>
  <c r="AT13" i="3"/>
  <c r="X13" i="3"/>
  <c r="RR12" i="3"/>
  <c r="QV12" i="3"/>
  <c r="PZ12" i="3"/>
  <c r="PD12" i="3"/>
  <c r="OH12" i="3"/>
  <c r="NL12" i="3"/>
  <c r="MP12" i="3"/>
  <c r="LT12" i="3"/>
  <c r="KX12" i="3"/>
  <c r="KB12" i="3"/>
  <c r="JF12" i="3"/>
  <c r="IJ12" i="3"/>
  <c r="HN12" i="3"/>
  <c r="GR12" i="3"/>
  <c r="FV12" i="3"/>
  <c r="EZ12" i="3"/>
  <c r="ED12" i="3"/>
  <c r="DH12" i="3"/>
  <c r="CL12" i="3"/>
  <c r="BP12" i="3"/>
  <c r="AT12" i="3"/>
  <c r="X12" i="3"/>
  <c r="RR11" i="3"/>
  <c r="QV11" i="3"/>
  <c r="PZ11" i="3"/>
  <c r="PD11" i="3"/>
  <c r="OH11" i="3"/>
  <c r="NL11" i="3"/>
  <c r="MP11" i="3"/>
  <c r="LT11" i="3"/>
  <c r="KX11" i="3"/>
  <c r="KB11" i="3"/>
  <c r="JF11" i="3"/>
  <c r="IJ11" i="3"/>
  <c r="HN11" i="3"/>
  <c r="GR11" i="3"/>
  <c r="FV11" i="3"/>
  <c r="EZ11" i="3"/>
  <c r="ED11" i="3"/>
  <c r="DH11" i="3"/>
  <c r="CL11" i="3"/>
  <c r="BP11" i="3"/>
  <c r="AT11" i="3"/>
  <c r="X11" i="3"/>
  <c r="RR10" i="3"/>
  <c r="QV10" i="3"/>
  <c r="PZ10" i="3"/>
  <c r="PD10" i="3"/>
  <c r="OH10" i="3"/>
  <c r="NL10" i="3"/>
  <c r="MP10" i="3"/>
  <c r="LT10" i="3"/>
  <c r="KX10" i="3"/>
  <c r="KB10" i="3"/>
  <c r="JF10" i="3"/>
  <c r="IJ10" i="3"/>
  <c r="HN10" i="3"/>
  <c r="GR10" i="3"/>
  <c r="FV10" i="3"/>
  <c r="EZ10" i="3"/>
  <c r="ED10" i="3"/>
  <c r="DH10" i="3"/>
  <c r="CL10" i="3"/>
  <c r="BP10" i="3"/>
  <c r="AT10" i="3"/>
  <c r="X10" i="3"/>
  <c r="RR9" i="3"/>
  <c r="QV9" i="3"/>
  <c r="PZ9" i="3"/>
  <c r="PD9" i="3"/>
  <c r="OH9" i="3"/>
  <c r="NL9" i="3"/>
  <c r="MP9" i="3"/>
  <c r="LT9" i="3"/>
  <c r="KX9" i="3"/>
  <c r="KB9" i="3"/>
  <c r="JF9" i="3"/>
  <c r="IJ9" i="3"/>
  <c r="HN9" i="3"/>
  <c r="GR9" i="3"/>
  <c r="FV9" i="3"/>
  <c r="EZ9" i="3"/>
  <c r="ED9" i="3"/>
  <c r="DH9" i="3"/>
  <c r="CL9" i="3"/>
  <c r="BP9" i="3"/>
  <c r="AT9" i="3"/>
  <c r="X9" i="3"/>
  <c r="RR8" i="3"/>
  <c r="QV8" i="3"/>
  <c r="PZ8" i="3"/>
  <c r="PD8" i="3"/>
  <c r="OH8" i="3"/>
  <c r="NL8" i="3"/>
  <c r="MP8" i="3"/>
  <c r="LT8" i="3"/>
  <c r="KX8" i="3"/>
  <c r="KB8" i="3"/>
  <c r="JF8" i="3"/>
  <c r="IJ8" i="3"/>
  <c r="HN8" i="3"/>
  <c r="GR8" i="3"/>
  <c r="FV8" i="3"/>
  <c r="EZ8" i="3"/>
  <c r="ED8" i="3"/>
  <c r="DH8" i="3"/>
  <c r="CL8" i="3"/>
  <c r="BP8" i="3"/>
  <c r="AT8" i="3"/>
  <c r="X8" i="3"/>
  <c r="RR7" i="3"/>
  <c r="QV7" i="3"/>
  <c r="PZ7" i="3"/>
  <c r="PD7" i="3"/>
  <c r="OH7" i="3"/>
  <c r="NL7" i="3"/>
  <c r="MP7" i="3"/>
  <c r="LT7" i="3"/>
  <c r="KX7" i="3"/>
  <c r="KB7" i="3"/>
  <c r="JF7" i="3"/>
  <c r="IJ7" i="3"/>
  <c r="HN7" i="3"/>
  <c r="GR7" i="3"/>
  <c r="FV7" i="3"/>
  <c r="EZ7" i="3"/>
  <c r="ED7" i="3"/>
  <c r="DH7" i="3"/>
  <c r="CL7" i="3"/>
  <c r="BP7" i="3"/>
  <c r="AT7" i="3"/>
  <c r="X7" i="3"/>
  <c r="RR6" i="3"/>
  <c r="QV6" i="3"/>
  <c r="PZ6" i="3"/>
  <c r="PD6" i="3"/>
  <c r="OH6" i="3"/>
  <c r="NL6" i="3"/>
  <c r="MP6" i="3"/>
  <c r="LT6" i="3"/>
  <c r="KX6" i="3"/>
  <c r="KB6" i="3"/>
  <c r="JF6" i="3"/>
  <c r="IJ6" i="3"/>
  <c r="HN6" i="3"/>
  <c r="GR6" i="3"/>
  <c r="FV6" i="3"/>
  <c r="EZ6" i="3"/>
  <c r="ED6" i="3"/>
  <c r="DH6" i="3"/>
  <c r="CL6" i="3"/>
  <c r="BP6" i="3"/>
  <c r="AT6" i="3"/>
  <c r="X6" i="3"/>
  <c r="RR5" i="3"/>
  <c r="QV5" i="3"/>
  <c r="PZ5" i="3"/>
  <c r="PD5" i="3"/>
  <c r="OH5" i="3"/>
  <c r="NL5" i="3"/>
  <c r="MP5" i="3"/>
  <c r="LT5" i="3"/>
  <c r="KX5" i="3"/>
  <c r="KB5" i="3"/>
  <c r="JF5" i="3"/>
  <c r="IJ5" i="3"/>
  <c r="HN5" i="3"/>
  <c r="GR5" i="3"/>
  <c r="FV5" i="3"/>
  <c r="EZ5" i="3"/>
  <c r="ED5" i="3"/>
  <c r="DH5" i="3"/>
  <c r="CL5" i="3"/>
  <c r="BP5" i="3"/>
  <c r="AT5" i="3"/>
  <c r="X5" i="3"/>
  <c r="RR4" i="3"/>
  <c r="QV4" i="3"/>
  <c r="PZ4" i="3"/>
  <c r="PD4" i="3"/>
  <c r="OH4" i="3"/>
  <c r="NL4" i="3"/>
  <c r="MP4" i="3"/>
  <c r="LT4" i="3"/>
  <c r="KX4" i="3"/>
  <c r="KB4" i="3"/>
  <c r="JF4" i="3"/>
  <c r="IJ4" i="3"/>
  <c r="HN4" i="3"/>
  <c r="GR4" i="3"/>
  <c r="FV4" i="3"/>
  <c r="EZ4" i="3"/>
  <c r="ED4" i="3"/>
  <c r="DH4" i="3"/>
  <c r="CL4" i="3"/>
  <c r="BP4" i="3"/>
  <c r="AT4" i="3"/>
  <c r="X4" i="3"/>
  <c r="RR3" i="3"/>
  <c r="QV3" i="3"/>
  <c r="PZ3" i="3"/>
  <c r="PD3" i="3"/>
  <c r="OH3" i="3"/>
  <c r="NL3" i="3"/>
  <c r="MP3" i="3"/>
  <c r="LT3" i="3"/>
  <c r="KX3" i="3"/>
  <c r="KB3" i="3"/>
  <c r="JF3" i="3"/>
  <c r="IJ3" i="3"/>
  <c r="HN3" i="3"/>
  <c r="GR3" i="3"/>
  <c r="FV3" i="3"/>
  <c r="EZ3" i="3"/>
  <c r="ED3" i="3"/>
  <c r="DH3" i="3"/>
  <c r="CL3" i="3"/>
  <c r="BP3" i="3"/>
  <c r="AT3" i="3"/>
  <c r="X3" i="3"/>
  <c r="B3" i="4" l="1"/>
  <c r="B5" i="4" s="1"/>
  <c r="A63" i="12"/>
  <c r="A59" i="12"/>
  <c r="A55" i="12"/>
  <c r="A51" i="12"/>
  <c r="A47" i="12"/>
  <c r="A43" i="12"/>
  <c r="A39" i="12"/>
  <c r="A35" i="12"/>
  <c r="A62" i="12"/>
  <c r="A58" i="12"/>
  <c r="A54" i="12"/>
  <c r="A50" i="12"/>
  <c r="A46" i="12"/>
  <c r="A42" i="12"/>
  <c r="A38" i="12"/>
  <c r="C24" i="10" l="1"/>
  <c r="C20" i="10"/>
  <c r="C16" i="10"/>
  <c r="C12" i="10"/>
  <c r="C8" i="10"/>
  <c r="C4" i="10"/>
  <c r="C23" i="10"/>
  <c r="C19" i="10"/>
  <c r="C15" i="10"/>
  <c r="C11" i="10"/>
  <c r="C7" i="10"/>
  <c r="C3" i="10"/>
  <c r="C22" i="10"/>
  <c r="C18" i="10"/>
  <c r="C14" i="10"/>
  <c r="C10" i="10"/>
  <c r="C6" i="10"/>
  <c r="C21" i="10"/>
  <c r="C5" i="10"/>
  <c r="C17" i="10"/>
  <c r="C13" i="10"/>
  <c r="C9" i="10"/>
  <c r="T31" i="5"/>
  <c r="P31" i="5"/>
  <c r="L31" i="5"/>
  <c r="H31" i="5"/>
  <c r="D31" i="5"/>
  <c r="V30" i="5"/>
  <c r="R30" i="5"/>
  <c r="N30" i="5"/>
  <c r="J30" i="5"/>
  <c r="F30" i="5"/>
  <c r="B30" i="5"/>
  <c r="T29" i="5"/>
  <c r="P29" i="5"/>
  <c r="L29" i="5"/>
  <c r="H29" i="5"/>
  <c r="D29" i="5"/>
  <c r="V28" i="5"/>
  <c r="R28" i="5"/>
  <c r="N28" i="5"/>
  <c r="J28" i="5"/>
  <c r="F28" i="5"/>
  <c r="B28" i="5"/>
  <c r="T27" i="5"/>
  <c r="P27" i="5"/>
  <c r="L27" i="5"/>
  <c r="W31" i="5"/>
  <c r="S31" i="5"/>
  <c r="O31" i="5"/>
  <c r="K31" i="5"/>
  <c r="G31" i="5"/>
  <c r="C31" i="5"/>
  <c r="U30" i="5"/>
  <c r="Q30" i="5"/>
  <c r="M30" i="5"/>
  <c r="I30" i="5"/>
  <c r="E30" i="5"/>
  <c r="W29" i="5"/>
  <c r="S29" i="5"/>
  <c r="O29" i="5"/>
  <c r="K29" i="5"/>
  <c r="G29" i="5"/>
  <c r="C29" i="5"/>
  <c r="U28" i="5"/>
  <c r="Q31" i="5"/>
  <c r="I31" i="5"/>
  <c r="W30" i="5"/>
  <c r="O30" i="5"/>
  <c r="G30" i="5"/>
  <c r="U29" i="5"/>
  <c r="M29" i="5"/>
  <c r="E29" i="5"/>
  <c r="S28" i="5"/>
  <c r="M28" i="5"/>
  <c r="H28" i="5"/>
  <c r="C28" i="5"/>
  <c r="S27" i="5"/>
  <c r="N27" i="5"/>
  <c r="I27" i="5"/>
  <c r="E27" i="5"/>
  <c r="W26" i="5"/>
  <c r="S26" i="5"/>
  <c r="O26" i="5"/>
  <c r="K26" i="5"/>
  <c r="G26" i="5"/>
  <c r="C26" i="5"/>
  <c r="U25" i="5"/>
  <c r="Q25" i="5"/>
  <c r="M25" i="5"/>
  <c r="I25" i="5"/>
  <c r="E25" i="5"/>
  <c r="W24" i="5"/>
  <c r="S24" i="5"/>
  <c r="O24" i="5"/>
  <c r="K24" i="5"/>
  <c r="G24" i="5"/>
  <c r="C24" i="5"/>
  <c r="U23" i="5"/>
  <c r="Q23" i="5"/>
  <c r="M23" i="5"/>
  <c r="I23" i="5"/>
  <c r="E23" i="5"/>
  <c r="W22" i="5"/>
  <c r="S22" i="5"/>
  <c r="O22" i="5"/>
  <c r="K22" i="5"/>
  <c r="G22" i="5"/>
  <c r="C22" i="5"/>
  <c r="U21" i="5"/>
  <c r="Q21" i="5"/>
  <c r="M21" i="5"/>
  <c r="I21" i="5"/>
  <c r="E21" i="5"/>
  <c r="W20" i="5"/>
  <c r="S20" i="5"/>
  <c r="O20" i="5"/>
  <c r="K20" i="5"/>
  <c r="G20" i="5"/>
  <c r="C20" i="5"/>
  <c r="U19" i="5"/>
  <c r="Q19" i="5"/>
  <c r="M19" i="5"/>
  <c r="I19" i="5"/>
  <c r="E19" i="5"/>
  <c r="W18" i="5"/>
  <c r="S18" i="5"/>
  <c r="O18" i="5"/>
  <c r="K18" i="5"/>
  <c r="G18" i="5"/>
  <c r="C18" i="5"/>
  <c r="U17" i="5"/>
  <c r="Q17" i="5"/>
  <c r="M17" i="5"/>
  <c r="I17" i="5"/>
  <c r="E17" i="5"/>
  <c r="W16" i="5"/>
  <c r="S16" i="5"/>
  <c r="O16" i="5"/>
  <c r="K16" i="5"/>
  <c r="G16" i="5"/>
  <c r="C16" i="5"/>
  <c r="U15" i="5"/>
  <c r="Q15" i="5"/>
  <c r="M15" i="5"/>
  <c r="I15" i="5"/>
  <c r="E15" i="5"/>
  <c r="W14" i="5"/>
  <c r="S14" i="5"/>
  <c r="O14" i="5"/>
  <c r="K14" i="5"/>
  <c r="G14" i="5"/>
  <c r="C14" i="5"/>
  <c r="U13" i="5"/>
  <c r="Q13" i="5"/>
  <c r="M13" i="5"/>
  <c r="I13" i="5"/>
  <c r="E13" i="5"/>
  <c r="W12" i="5"/>
  <c r="S12" i="5"/>
  <c r="O12" i="5"/>
  <c r="K12" i="5"/>
  <c r="G12" i="5"/>
  <c r="C12" i="5"/>
  <c r="U11" i="5"/>
  <c r="Q11" i="5"/>
  <c r="M11" i="5"/>
  <c r="I11" i="5"/>
  <c r="E11" i="5"/>
  <c r="W10" i="5"/>
  <c r="S10" i="5"/>
  <c r="O10" i="5"/>
  <c r="K10" i="5"/>
  <c r="G10" i="5"/>
  <c r="C10" i="5"/>
  <c r="U9" i="5"/>
  <c r="V31" i="5"/>
  <c r="N31" i="5"/>
  <c r="F31" i="5"/>
  <c r="T30" i="5"/>
  <c r="L30" i="5"/>
  <c r="D30" i="5"/>
  <c r="R29" i="5"/>
  <c r="J29" i="5"/>
  <c r="B29" i="5"/>
  <c r="Q28" i="5"/>
  <c r="L28" i="5"/>
  <c r="G28" i="5"/>
  <c r="W27" i="5"/>
  <c r="U31" i="5"/>
  <c r="E31" i="5"/>
  <c r="K30" i="5"/>
  <c r="Q29" i="5"/>
  <c r="W28" i="5"/>
  <c r="K28" i="5"/>
  <c r="V27" i="5"/>
  <c r="O27" i="5"/>
  <c r="H27" i="5"/>
  <c r="C27" i="5"/>
  <c r="T26" i="5"/>
  <c r="N26" i="5"/>
  <c r="I26" i="5"/>
  <c r="D26" i="5"/>
  <c r="T25" i="5"/>
  <c r="O25" i="5"/>
  <c r="J25" i="5"/>
  <c r="D25" i="5"/>
  <c r="U24" i="5"/>
  <c r="P24" i="5"/>
  <c r="J24" i="5"/>
  <c r="E24" i="5"/>
  <c r="V23" i="5"/>
  <c r="P23" i="5"/>
  <c r="K23" i="5"/>
  <c r="F23" i="5"/>
  <c r="V22" i="5"/>
  <c r="Q22" i="5"/>
  <c r="L22" i="5"/>
  <c r="F22" i="5"/>
  <c r="W21" i="5"/>
  <c r="R21" i="5"/>
  <c r="L21" i="5"/>
  <c r="G21" i="5"/>
  <c r="B21" i="5"/>
  <c r="R20" i="5"/>
  <c r="M20" i="5"/>
  <c r="H20" i="5"/>
  <c r="B20" i="5"/>
  <c r="S19" i="5"/>
  <c r="N19" i="5"/>
  <c r="H19" i="5"/>
  <c r="C19" i="5"/>
  <c r="T18" i="5"/>
  <c r="N18" i="5"/>
  <c r="I18" i="5"/>
  <c r="D18" i="5"/>
  <c r="T17" i="5"/>
  <c r="O17" i="5"/>
  <c r="J17" i="5"/>
  <c r="D17" i="5"/>
  <c r="U16" i="5"/>
  <c r="P16" i="5"/>
  <c r="J16" i="5"/>
  <c r="E16" i="5"/>
  <c r="V15" i="5"/>
  <c r="P15" i="5"/>
  <c r="K15" i="5"/>
  <c r="F15" i="5"/>
  <c r="V14" i="5"/>
  <c r="Q14" i="5"/>
  <c r="L14" i="5"/>
  <c r="F14" i="5"/>
  <c r="W13" i="5"/>
  <c r="R13" i="5"/>
  <c r="L13" i="5"/>
  <c r="G13" i="5"/>
  <c r="B13" i="5"/>
  <c r="R12" i="5"/>
  <c r="M12" i="5"/>
  <c r="H12" i="5"/>
  <c r="B12" i="5"/>
  <c r="S11" i="5"/>
  <c r="N11" i="5"/>
  <c r="H11" i="5"/>
  <c r="C11" i="5"/>
  <c r="T10" i="5"/>
  <c r="N10" i="5"/>
  <c r="I10" i="5"/>
  <c r="D10" i="5"/>
  <c r="T9" i="5"/>
  <c r="P9" i="5"/>
  <c r="L9" i="5"/>
  <c r="H9" i="5"/>
  <c r="D9" i="5"/>
  <c r="V8" i="5"/>
  <c r="R8" i="5"/>
  <c r="N8" i="5"/>
  <c r="J8" i="5"/>
  <c r="F8" i="5"/>
  <c r="B8" i="5"/>
  <c r="T7" i="5"/>
  <c r="P7" i="5"/>
  <c r="L7" i="5"/>
  <c r="H7" i="5"/>
  <c r="D7" i="5"/>
  <c r="V6" i="5"/>
  <c r="R6" i="5"/>
  <c r="N6" i="5"/>
  <c r="J6" i="5"/>
  <c r="F6" i="5"/>
  <c r="B6" i="5"/>
  <c r="T5" i="5"/>
  <c r="P5" i="5"/>
  <c r="L5" i="5"/>
  <c r="H5" i="5"/>
  <c r="D5" i="5"/>
  <c r="V4" i="5"/>
  <c r="R4" i="5"/>
  <c r="N4" i="5"/>
  <c r="J4" i="5"/>
  <c r="F4" i="5"/>
  <c r="B4" i="5"/>
  <c r="T3" i="5"/>
  <c r="P3" i="5"/>
  <c r="L3" i="5"/>
  <c r="H3" i="5"/>
  <c r="D3" i="5"/>
  <c r="V2" i="5"/>
  <c r="R2" i="5"/>
  <c r="N2" i="5"/>
  <c r="J2" i="5"/>
  <c r="F2" i="5"/>
  <c r="B2" i="5"/>
  <c r="R31" i="5"/>
  <c r="B31" i="5"/>
  <c r="H30" i="5"/>
  <c r="N29" i="5"/>
  <c r="T28" i="5"/>
  <c r="I28" i="5"/>
  <c r="U27" i="5"/>
  <c r="M27" i="5"/>
  <c r="G27" i="5"/>
  <c r="B27" i="5"/>
  <c r="R26" i="5"/>
  <c r="M26" i="5"/>
  <c r="H26" i="5"/>
  <c r="B26" i="5"/>
  <c r="S25" i="5"/>
  <c r="N25" i="5"/>
  <c r="H25" i="5"/>
  <c r="C25" i="5"/>
  <c r="T24" i="5"/>
  <c r="N24" i="5"/>
  <c r="I24" i="5"/>
  <c r="D24" i="5"/>
  <c r="T23" i="5"/>
  <c r="O23" i="5"/>
  <c r="J23" i="5"/>
  <c r="D23" i="5"/>
  <c r="U22" i="5"/>
  <c r="P22" i="5"/>
  <c r="J22" i="5"/>
  <c r="E22" i="5"/>
  <c r="V21" i="5"/>
  <c r="P21" i="5"/>
  <c r="K21" i="5"/>
  <c r="F21" i="5"/>
  <c r="V20" i="5"/>
  <c r="Q20" i="5"/>
  <c r="L20" i="5"/>
  <c r="F20" i="5"/>
  <c r="W19" i="5"/>
  <c r="R19" i="5"/>
  <c r="L19" i="5"/>
  <c r="G19" i="5"/>
  <c r="B19" i="5"/>
  <c r="R18" i="5"/>
  <c r="M18" i="5"/>
  <c r="H18" i="5"/>
  <c r="B18" i="5"/>
  <c r="S17" i="5"/>
  <c r="N17" i="5"/>
  <c r="H17" i="5"/>
  <c r="C17" i="5"/>
  <c r="T16" i="5"/>
  <c r="N16" i="5"/>
  <c r="I16" i="5"/>
  <c r="D16" i="5"/>
  <c r="T15" i="5"/>
  <c r="O15" i="5"/>
  <c r="J15" i="5"/>
  <c r="D15" i="5"/>
  <c r="U14" i="5"/>
  <c r="P14" i="5"/>
  <c r="J14" i="5"/>
  <c r="E14" i="5"/>
  <c r="V13" i="5"/>
  <c r="P13" i="5"/>
  <c r="K13" i="5"/>
  <c r="F13" i="5"/>
  <c r="V12" i="5"/>
  <c r="Q12" i="5"/>
  <c r="L12" i="5"/>
  <c r="F12" i="5"/>
  <c r="W11" i="5"/>
  <c r="R11" i="5"/>
  <c r="L11" i="5"/>
  <c r="G11" i="5"/>
  <c r="B11" i="5"/>
  <c r="R10" i="5"/>
  <c r="M10" i="5"/>
  <c r="H10" i="5"/>
  <c r="B10" i="5"/>
  <c r="S9" i="5"/>
  <c r="O9" i="5"/>
  <c r="K9" i="5"/>
  <c r="G9" i="5"/>
  <c r="C9" i="5"/>
  <c r="U8" i="5"/>
  <c r="Q8" i="5"/>
  <c r="M8" i="5"/>
  <c r="I8" i="5"/>
  <c r="E8" i="5"/>
  <c r="W7" i="5"/>
  <c r="S7" i="5"/>
  <c r="O7" i="5"/>
  <c r="K7" i="5"/>
  <c r="G7" i="5"/>
  <c r="C7" i="5"/>
  <c r="U6" i="5"/>
  <c r="Q6" i="5"/>
  <c r="M6" i="5"/>
  <c r="I6" i="5"/>
  <c r="E6" i="5"/>
  <c r="W5" i="5"/>
  <c r="S5" i="5"/>
  <c r="O5" i="5"/>
  <c r="K5" i="5"/>
  <c r="G5" i="5"/>
  <c r="C5" i="5"/>
  <c r="U4" i="5"/>
  <c r="Q4" i="5"/>
  <c r="M4" i="5"/>
  <c r="I4" i="5"/>
  <c r="E4" i="5"/>
  <c r="W3" i="5"/>
  <c r="S3" i="5"/>
  <c r="O3" i="5"/>
  <c r="K3" i="5"/>
  <c r="G3" i="5"/>
  <c r="C3" i="5"/>
  <c r="U2" i="5"/>
  <c r="Q2" i="5"/>
  <c r="M2" i="5"/>
  <c r="I2" i="5"/>
  <c r="E2" i="5"/>
  <c r="M31" i="5"/>
  <c r="S30" i="5"/>
  <c r="C30" i="5"/>
  <c r="I29" i="5"/>
  <c r="P28" i="5"/>
  <c r="E28" i="5"/>
  <c r="R27" i="5"/>
  <c r="K27" i="5"/>
  <c r="F27" i="5"/>
  <c r="V26" i="5"/>
  <c r="Q26" i="5"/>
  <c r="L26" i="5"/>
  <c r="F26" i="5"/>
  <c r="W25" i="5"/>
  <c r="R25" i="5"/>
  <c r="L25" i="5"/>
  <c r="G25" i="5"/>
  <c r="B25" i="5"/>
  <c r="R24" i="5"/>
  <c r="M24" i="5"/>
  <c r="H24" i="5"/>
  <c r="B24" i="5"/>
  <c r="S23" i="5"/>
  <c r="N23" i="5"/>
  <c r="H23" i="5"/>
  <c r="C23" i="5"/>
  <c r="T22" i="5"/>
  <c r="N22" i="5"/>
  <c r="I22" i="5"/>
  <c r="D22" i="5"/>
  <c r="T21" i="5"/>
  <c r="O21" i="5"/>
  <c r="J21" i="5"/>
  <c r="D21" i="5"/>
  <c r="U20" i="5"/>
  <c r="P20" i="5"/>
  <c r="J20" i="5"/>
  <c r="E20" i="5"/>
  <c r="V19" i="5"/>
  <c r="P19" i="5"/>
  <c r="K19" i="5"/>
  <c r="F19" i="5"/>
  <c r="V18" i="5"/>
  <c r="Q18" i="5"/>
  <c r="L18" i="5"/>
  <c r="F18" i="5"/>
  <c r="W17" i="5"/>
  <c r="R17" i="5"/>
  <c r="L17" i="5"/>
  <c r="G17" i="5"/>
  <c r="B17" i="5"/>
  <c r="R16" i="5"/>
  <c r="M16" i="5"/>
  <c r="H16" i="5"/>
  <c r="B16" i="5"/>
  <c r="S15" i="5"/>
  <c r="N15" i="5"/>
  <c r="H15" i="5"/>
  <c r="C15" i="5"/>
  <c r="T14" i="5"/>
  <c r="N14" i="5"/>
  <c r="I14" i="5"/>
  <c r="D14" i="5"/>
  <c r="T13" i="5"/>
  <c r="O13" i="5"/>
  <c r="J13" i="5"/>
  <c r="D13" i="5"/>
  <c r="U12" i="5"/>
  <c r="P12" i="5"/>
  <c r="J12" i="5"/>
  <c r="E12" i="5"/>
  <c r="V11" i="5"/>
  <c r="P11" i="5"/>
  <c r="K11" i="5"/>
  <c r="F11" i="5"/>
  <c r="V10" i="5"/>
  <c r="Q10" i="5"/>
  <c r="L10" i="5"/>
  <c r="F10" i="5"/>
  <c r="W9" i="5"/>
  <c r="R9" i="5"/>
  <c r="N9" i="5"/>
  <c r="J9" i="5"/>
  <c r="F9" i="5"/>
  <c r="B9" i="5"/>
  <c r="T8" i="5"/>
  <c r="P8" i="5"/>
  <c r="L8" i="5"/>
  <c r="H8" i="5"/>
  <c r="D8" i="5"/>
  <c r="V7" i="5"/>
  <c r="R7" i="5"/>
  <c r="N7" i="5"/>
  <c r="J7" i="5"/>
  <c r="F7" i="5"/>
  <c r="B7" i="5"/>
  <c r="T6" i="5"/>
  <c r="P6" i="5"/>
  <c r="L6" i="5"/>
  <c r="H6" i="5"/>
  <c r="D6" i="5"/>
  <c r="V5" i="5"/>
  <c r="R5" i="5"/>
  <c r="N5" i="5"/>
  <c r="J5" i="5"/>
  <c r="F5" i="5"/>
  <c r="B5" i="5"/>
  <c r="T4" i="5"/>
  <c r="P4" i="5"/>
  <c r="L4" i="5"/>
  <c r="H4" i="5"/>
  <c r="D4" i="5"/>
  <c r="V3" i="5"/>
  <c r="R3" i="5"/>
  <c r="N3" i="5"/>
  <c r="J3" i="5"/>
  <c r="F3" i="5"/>
  <c r="B3" i="5"/>
  <c r="T2" i="5"/>
  <c r="P2" i="5"/>
  <c r="L2" i="5"/>
  <c r="H2" i="5"/>
  <c r="D2" i="5"/>
  <c r="J31" i="5"/>
  <c r="P30" i="5"/>
  <c r="V29" i="5"/>
  <c r="F29" i="5"/>
  <c r="O28" i="5"/>
  <c r="D28" i="5"/>
  <c r="Q27" i="5"/>
  <c r="J27" i="5"/>
  <c r="D27" i="5"/>
  <c r="U26" i="5"/>
  <c r="P26" i="5"/>
  <c r="J26" i="5"/>
  <c r="E26" i="5"/>
  <c r="V25" i="5"/>
  <c r="P25" i="5"/>
  <c r="K25" i="5"/>
  <c r="F25" i="5"/>
  <c r="V24" i="5"/>
  <c r="Q24" i="5"/>
  <c r="L24" i="5"/>
  <c r="F24" i="5"/>
  <c r="W23" i="5"/>
  <c r="R23" i="5"/>
  <c r="L23" i="5"/>
  <c r="G23" i="5"/>
  <c r="B23" i="5"/>
  <c r="R22" i="5"/>
  <c r="M22" i="5"/>
  <c r="H22" i="5"/>
  <c r="B22" i="5"/>
  <c r="S21" i="5"/>
  <c r="N21" i="5"/>
  <c r="H21" i="5"/>
  <c r="C21" i="5"/>
  <c r="T20" i="5"/>
  <c r="N20" i="5"/>
  <c r="I20" i="5"/>
  <c r="D20" i="5"/>
  <c r="T19" i="5"/>
  <c r="O19" i="5"/>
  <c r="J19" i="5"/>
  <c r="D19" i="5"/>
  <c r="U18" i="5"/>
  <c r="P18" i="5"/>
  <c r="J18" i="5"/>
  <c r="E18" i="5"/>
  <c r="V17" i="5"/>
  <c r="P17" i="5"/>
  <c r="K17" i="5"/>
  <c r="F17" i="5"/>
  <c r="V16" i="5"/>
  <c r="Q16" i="5"/>
  <c r="L16" i="5"/>
  <c r="F16" i="5"/>
  <c r="W15" i="5"/>
  <c r="R15" i="5"/>
  <c r="L15" i="5"/>
  <c r="G15" i="5"/>
  <c r="B15" i="5"/>
  <c r="R14" i="5"/>
  <c r="M14" i="5"/>
  <c r="H14" i="5"/>
  <c r="B14" i="5"/>
  <c r="S13" i="5"/>
  <c r="N13" i="5"/>
  <c r="H13" i="5"/>
  <c r="C13" i="5"/>
  <c r="T12" i="5"/>
  <c r="N12" i="5"/>
  <c r="I12" i="5"/>
  <c r="D12" i="5"/>
  <c r="T11" i="5"/>
  <c r="O11" i="5"/>
  <c r="J11" i="5"/>
  <c r="D11" i="5"/>
  <c r="U10" i="5"/>
  <c r="P10" i="5"/>
  <c r="J10" i="5"/>
  <c r="E10" i="5"/>
  <c r="V9" i="5"/>
  <c r="Q9" i="5"/>
  <c r="M9" i="5"/>
  <c r="I9" i="5"/>
  <c r="E9" i="5"/>
  <c r="W8" i="5"/>
  <c r="S8" i="5"/>
  <c r="O8" i="5"/>
  <c r="K8" i="5"/>
  <c r="G8" i="5"/>
  <c r="C8" i="5"/>
  <c r="U7" i="5"/>
  <c r="Q7" i="5"/>
  <c r="M7" i="5"/>
  <c r="I7" i="5"/>
  <c r="E7" i="5"/>
  <c r="W6" i="5"/>
  <c r="S6" i="5"/>
  <c r="O6" i="5"/>
  <c r="K6" i="5"/>
  <c r="G6" i="5"/>
  <c r="C6" i="5"/>
  <c r="U5" i="5"/>
  <c r="Q5" i="5"/>
  <c r="M5" i="5"/>
  <c r="I5" i="5"/>
  <c r="E5" i="5"/>
  <c r="W4" i="5"/>
  <c r="S4" i="5"/>
  <c r="O4" i="5"/>
  <c r="K4" i="5"/>
  <c r="G4" i="5"/>
  <c r="C4" i="5"/>
  <c r="U3" i="5"/>
  <c r="M3" i="5"/>
  <c r="S2" i="5"/>
  <c r="C2" i="5"/>
  <c r="I3" i="5"/>
  <c r="O2" i="5"/>
  <c r="E3" i="5"/>
  <c r="K2" i="5"/>
  <c r="Q3" i="5"/>
  <c r="W2" i="5"/>
  <c r="G2" i="5"/>
  <c r="A2" i="6" l="1" a="1"/>
  <c r="B2" i="6" l="1"/>
  <c r="F2" i="6"/>
  <c r="J2" i="6"/>
  <c r="N2" i="6"/>
  <c r="R2" i="6"/>
  <c r="V2" i="6"/>
  <c r="Z2" i="6"/>
  <c r="AD2" i="6"/>
  <c r="D3" i="6"/>
  <c r="H3" i="6"/>
  <c r="L3" i="6"/>
  <c r="P3" i="6"/>
  <c r="T3" i="6"/>
  <c r="X3" i="6"/>
  <c r="AB3" i="6"/>
  <c r="B4" i="6"/>
  <c r="F4" i="6"/>
  <c r="J4" i="6"/>
  <c r="N4" i="6"/>
  <c r="R4" i="6"/>
  <c r="V4" i="6"/>
  <c r="Z4" i="6"/>
  <c r="AD4" i="6"/>
  <c r="D5" i="6"/>
  <c r="H5" i="6"/>
  <c r="L5" i="6"/>
  <c r="P5" i="6"/>
  <c r="T5" i="6"/>
  <c r="X5" i="6"/>
  <c r="AB5" i="6"/>
  <c r="B6" i="6"/>
  <c r="F6" i="6"/>
  <c r="J6" i="6"/>
  <c r="N6" i="6"/>
  <c r="R6" i="6"/>
  <c r="V6" i="6"/>
  <c r="Z6" i="6"/>
  <c r="AD6" i="6"/>
  <c r="D7" i="6"/>
  <c r="H7" i="6"/>
  <c r="L7" i="6"/>
  <c r="P7" i="6"/>
  <c r="T7" i="6"/>
  <c r="X7" i="6"/>
  <c r="AB7" i="6"/>
  <c r="B8" i="6"/>
  <c r="F8" i="6"/>
  <c r="J8" i="6"/>
  <c r="N8" i="6"/>
  <c r="R8" i="6"/>
  <c r="V8" i="6"/>
  <c r="Z8" i="6"/>
  <c r="AD8" i="6"/>
  <c r="D9" i="6"/>
  <c r="H9" i="6"/>
  <c r="L9" i="6"/>
  <c r="P9" i="6"/>
  <c r="T9" i="6"/>
  <c r="X9" i="6"/>
  <c r="AB9" i="6"/>
  <c r="B10" i="6"/>
  <c r="F10" i="6"/>
  <c r="J10" i="6"/>
  <c r="N10" i="6"/>
  <c r="R10" i="6"/>
  <c r="V10" i="6"/>
  <c r="Z10" i="6"/>
  <c r="AD10" i="6"/>
  <c r="D11" i="6"/>
  <c r="H11" i="6"/>
  <c r="L11" i="6"/>
  <c r="P11" i="6"/>
  <c r="T11" i="6"/>
  <c r="X11" i="6"/>
  <c r="AB11" i="6"/>
  <c r="B12" i="6"/>
  <c r="F12" i="6"/>
  <c r="J12" i="6"/>
  <c r="N12" i="6"/>
  <c r="R12" i="6"/>
  <c r="V12" i="6"/>
  <c r="Z12" i="6"/>
  <c r="AD12" i="6"/>
  <c r="D13" i="6"/>
  <c r="H13" i="6"/>
  <c r="L13" i="6"/>
  <c r="P13" i="6"/>
  <c r="T13" i="6"/>
  <c r="X13" i="6"/>
  <c r="AB13" i="6"/>
  <c r="B14" i="6"/>
  <c r="F14" i="6"/>
  <c r="J14" i="6"/>
  <c r="N14" i="6"/>
  <c r="R14" i="6"/>
  <c r="V14" i="6"/>
  <c r="Z14" i="6"/>
  <c r="AD14" i="6"/>
  <c r="D15" i="6"/>
  <c r="H15" i="6"/>
  <c r="L15" i="6"/>
  <c r="P15" i="6"/>
  <c r="T15" i="6"/>
  <c r="X15" i="6"/>
  <c r="AB15" i="6"/>
  <c r="B16" i="6"/>
  <c r="F16" i="6"/>
  <c r="J16" i="6"/>
  <c r="N16" i="6"/>
  <c r="R16" i="6"/>
  <c r="V16" i="6"/>
  <c r="Z16" i="6"/>
  <c r="AD16" i="6"/>
  <c r="D17" i="6"/>
  <c r="H17" i="6"/>
  <c r="L17" i="6"/>
  <c r="P17" i="6"/>
  <c r="T17" i="6"/>
  <c r="X17" i="6"/>
  <c r="AB17" i="6"/>
  <c r="B18" i="6"/>
  <c r="F18" i="6"/>
  <c r="J18" i="6"/>
  <c r="N18" i="6"/>
  <c r="R18" i="6"/>
  <c r="V18" i="6"/>
  <c r="Z18" i="6"/>
  <c r="AD18" i="6"/>
  <c r="D19" i="6"/>
  <c r="H19" i="6"/>
  <c r="L19" i="6"/>
  <c r="P19" i="6"/>
  <c r="T19" i="6"/>
  <c r="X19" i="6"/>
  <c r="AB19" i="6"/>
  <c r="B20" i="6"/>
  <c r="F20" i="6"/>
  <c r="J20" i="6"/>
  <c r="N20" i="6"/>
  <c r="R20" i="6"/>
  <c r="V20" i="6"/>
  <c r="Z20" i="6"/>
  <c r="AD20" i="6"/>
  <c r="D21" i="6"/>
  <c r="H21" i="6"/>
  <c r="L21" i="6"/>
  <c r="P21" i="6"/>
  <c r="T21" i="6"/>
  <c r="X21" i="6"/>
  <c r="AB21" i="6"/>
  <c r="B22" i="6"/>
  <c r="F22" i="6"/>
  <c r="J22" i="6"/>
  <c r="N22" i="6"/>
  <c r="R22" i="6"/>
  <c r="V22" i="6"/>
  <c r="Z22" i="6"/>
  <c r="AD22" i="6"/>
  <c r="D23" i="6"/>
  <c r="H23" i="6"/>
  <c r="L23" i="6"/>
  <c r="P23" i="6"/>
  <c r="T23" i="6"/>
  <c r="X23" i="6"/>
  <c r="AB23" i="6"/>
  <c r="B24" i="6"/>
  <c r="F24" i="6"/>
  <c r="J24" i="6"/>
  <c r="N24" i="6"/>
  <c r="R24" i="6"/>
  <c r="V24" i="6"/>
  <c r="Z24" i="6"/>
  <c r="AD24" i="6"/>
  <c r="C2" i="6"/>
  <c r="G2" i="6"/>
  <c r="K2" i="6"/>
  <c r="O2" i="6"/>
  <c r="S2" i="6"/>
  <c r="W2" i="6"/>
  <c r="AA2" i="6"/>
  <c r="A3" i="6"/>
  <c r="E3" i="6"/>
  <c r="I3" i="6"/>
  <c r="M3" i="6"/>
  <c r="Q3" i="6"/>
  <c r="U3" i="6"/>
  <c r="Y3" i="6"/>
  <c r="AC3" i="6"/>
  <c r="C4" i="6"/>
  <c r="G4" i="6"/>
  <c r="K4" i="6"/>
  <c r="O4" i="6"/>
  <c r="S4" i="6"/>
  <c r="W4" i="6"/>
  <c r="AA4" i="6"/>
  <c r="A5" i="6"/>
  <c r="E5" i="6"/>
  <c r="I5" i="6"/>
  <c r="M5" i="6"/>
  <c r="Q5" i="6"/>
  <c r="U5" i="6"/>
  <c r="Y5" i="6"/>
  <c r="AC5" i="6"/>
  <c r="C6" i="6"/>
  <c r="G6" i="6"/>
  <c r="K6" i="6"/>
  <c r="O6" i="6"/>
  <c r="S6" i="6"/>
  <c r="W6" i="6"/>
  <c r="AA6" i="6"/>
  <c r="A7" i="6"/>
  <c r="E7" i="6"/>
  <c r="I7" i="6"/>
  <c r="M7" i="6"/>
  <c r="Q7" i="6"/>
  <c r="U7" i="6"/>
  <c r="Y7" i="6"/>
  <c r="AC7" i="6"/>
  <c r="C8" i="6"/>
  <c r="G8" i="6"/>
  <c r="K8" i="6"/>
  <c r="O8" i="6"/>
  <c r="S8" i="6"/>
  <c r="W8" i="6"/>
  <c r="AA8" i="6"/>
  <c r="A9" i="6"/>
  <c r="E9" i="6"/>
  <c r="I9" i="6"/>
  <c r="M9" i="6"/>
  <c r="Q9" i="6"/>
  <c r="U9" i="6"/>
  <c r="Y9" i="6"/>
  <c r="AC9" i="6"/>
  <c r="C10" i="6"/>
  <c r="G10" i="6"/>
  <c r="K10" i="6"/>
  <c r="O10" i="6"/>
  <c r="S10" i="6"/>
  <c r="W10" i="6"/>
  <c r="AA10" i="6"/>
  <c r="A11" i="6"/>
  <c r="E11" i="6"/>
  <c r="I11" i="6"/>
  <c r="M11" i="6"/>
  <c r="Q11" i="6"/>
  <c r="U11" i="6"/>
  <c r="Y11" i="6"/>
  <c r="AC11" i="6"/>
  <c r="C12" i="6"/>
  <c r="G12" i="6"/>
  <c r="K12" i="6"/>
  <c r="O12" i="6"/>
  <c r="S12" i="6"/>
  <c r="W12" i="6"/>
  <c r="AA12" i="6"/>
  <c r="A13" i="6"/>
  <c r="E13" i="6"/>
  <c r="I13" i="6"/>
  <c r="M13" i="6"/>
  <c r="Q13" i="6"/>
  <c r="U13" i="6"/>
  <c r="Y13" i="6"/>
  <c r="AC13" i="6"/>
  <c r="C14" i="6"/>
  <c r="G14" i="6"/>
  <c r="K14" i="6"/>
  <c r="O14" i="6"/>
  <c r="S14" i="6"/>
  <c r="W14" i="6"/>
  <c r="AA14" i="6"/>
  <c r="A15" i="6"/>
  <c r="E15" i="6"/>
  <c r="I15" i="6"/>
  <c r="M15" i="6"/>
  <c r="Q15" i="6"/>
  <c r="U15" i="6"/>
  <c r="Y15" i="6"/>
  <c r="AC15" i="6"/>
  <c r="C16" i="6"/>
  <c r="G16" i="6"/>
  <c r="K16" i="6"/>
  <c r="O16" i="6"/>
  <c r="S16" i="6"/>
  <c r="W16" i="6"/>
  <c r="AA16" i="6"/>
  <c r="A17" i="6"/>
  <c r="E17" i="6"/>
  <c r="I17" i="6"/>
  <c r="M17" i="6"/>
  <c r="Q17" i="6"/>
  <c r="U17" i="6"/>
  <c r="Y17" i="6"/>
  <c r="AC17" i="6"/>
  <c r="C18" i="6"/>
  <c r="G18" i="6"/>
  <c r="K18" i="6"/>
  <c r="O18" i="6"/>
  <c r="S18" i="6"/>
  <c r="W18" i="6"/>
  <c r="AA18" i="6"/>
  <c r="A19" i="6"/>
  <c r="E19" i="6"/>
  <c r="I19" i="6"/>
  <c r="M19" i="6"/>
  <c r="Q19" i="6"/>
  <c r="U19" i="6"/>
  <c r="Y19" i="6"/>
  <c r="AC19" i="6"/>
  <c r="C20" i="6"/>
  <c r="G20" i="6"/>
  <c r="K20" i="6"/>
  <c r="O20" i="6"/>
  <c r="S20" i="6"/>
  <c r="W20" i="6"/>
  <c r="AA20" i="6"/>
  <c r="A21" i="6"/>
  <c r="E21" i="6"/>
  <c r="I21" i="6"/>
  <c r="M21" i="6"/>
  <c r="Q21" i="6"/>
  <c r="U21" i="6"/>
  <c r="Y21" i="6"/>
  <c r="AC21" i="6"/>
  <c r="C22" i="6"/>
  <c r="G22" i="6"/>
  <c r="K22" i="6"/>
  <c r="O22" i="6"/>
  <c r="S22" i="6"/>
  <c r="W22" i="6"/>
  <c r="AA22" i="6"/>
  <c r="A23" i="6"/>
  <c r="E23" i="6"/>
  <c r="I23" i="6"/>
  <c r="M23" i="6"/>
  <c r="Q23" i="6"/>
  <c r="U23" i="6"/>
  <c r="Y23" i="6"/>
  <c r="AC23" i="6"/>
  <c r="C24" i="6"/>
  <c r="G24" i="6"/>
  <c r="K24" i="6"/>
  <c r="O24" i="6"/>
  <c r="S24" i="6"/>
  <c r="W24" i="6"/>
  <c r="AA24" i="6"/>
  <c r="H2" i="6"/>
  <c r="P2" i="6"/>
  <c r="X2" i="6"/>
  <c r="B3" i="6"/>
  <c r="J3" i="6"/>
  <c r="R3" i="6"/>
  <c r="Z3" i="6"/>
  <c r="D4" i="6"/>
  <c r="L4" i="6"/>
  <c r="T4" i="6"/>
  <c r="AB4" i="6"/>
  <c r="F5" i="6"/>
  <c r="N5" i="6"/>
  <c r="V5" i="6"/>
  <c r="AD5" i="6"/>
  <c r="H6" i="6"/>
  <c r="P6" i="6"/>
  <c r="X6" i="6"/>
  <c r="B7" i="6"/>
  <c r="A2" i="6"/>
  <c r="I2" i="6"/>
  <c r="Q2" i="6"/>
  <c r="Y2" i="6"/>
  <c r="C3" i="6"/>
  <c r="K3" i="6"/>
  <c r="S3" i="6"/>
  <c r="AA3" i="6"/>
  <c r="E4" i="6"/>
  <c r="M4" i="6"/>
  <c r="U4" i="6"/>
  <c r="AC4" i="6"/>
  <c r="G5" i="6"/>
  <c r="O5" i="6"/>
  <c r="W5" i="6"/>
  <c r="A6" i="6"/>
  <c r="I6" i="6"/>
  <c r="Q6" i="6"/>
  <c r="Y6" i="6"/>
  <c r="C7" i="6"/>
  <c r="K7" i="6"/>
  <c r="S7" i="6"/>
  <c r="AA7" i="6"/>
  <c r="E8" i="6"/>
  <c r="M8" i="6"/>
  <c r="U8" i="6"/>
  <c r="AC8" i="6"/>
  <c r="G9" i="6"/>
  <c r="O9" i="6"/>
  <c r="W9" i="6"/>
  <c r="A10" i="6"/>
  <c r="I10" i="6"/>
  <c r="Q10" i="6"/>
  <c r="Y10" i="6"/>
  <c r="C11" i="6"/>
  <c r="K11" i="6"/>
  <c r="S11" i="6"/>
  <c r="AA11" i="6"/>
  <c r="E12" i="6"/>
  <c r="M12" i="6"/>
  <c r="U12" i="6"/>
  <c r="AC12" i="6"/>
  <c r="G13" i="6"/>
  <c r="O13" i="6"/>
  <c r="W13" i="6"/>
  <c r="A14" i="6"/>
  <c r="I14" i="6"/>
  <c r="Q14" i="6"/>
  <c r="Y14" i="6"/>
  <c r="C15" i="6"/>
  <c r="K15" i="6"/>
  <c r="S15" i="6"/>
  <c r="AA15" i="6"/>
  <c r="E16" i="6"/>
  <c r="M16" i="6"/>
  <c r="U16" i="6"/>
  <c r="AC16" i="6"/>
  <c r="G17" i="6"/>
  <c r="O17" i="6"/>
  <c r="W17" i="6"/>
  <c r="A18" i="6"/>
  <c r="I18" i="6"/>
  <c r="Q18" i="6"/>
  <c r="Y18" i="6"/>
  <c r="C19" i="6"/>
  <c r="K19" i="6"/>
  <c r="S19" i="6"/>
  <c r="AA19" i="6"/>
  <c r="E20" i="6"/>
  <c r="M20" i="6"/>
  <c r="U20" i="6"/>
  <c r="AC20" i="6"/>
  <c r="G21" i="6"/>
  <c r="O21" i="6"/>
  <c r="W21" i="6"/>
  <c r="A22" i="6"/>
  <c r="I22" i="6"/>
  <c r="Q22" i="6"/>
  <c r="Y22" i="6"/>
  <c r="C23" i="6"/>
  <c r="K23" i="6"/>
  <c r="S23" i="6"/>
  <c r="AA23" i="6"/>
  <c r="E24" i="6"/>
  <c r="M24" i="6"/>
  <c r="U24" i="6"/>
  <c r="AC24" i="6"/>
  <c r="D2" i="6"/>
  <c r="L2" i="6"/>
  <c r="T2" i="6"/>
  <c r="AB2" i="6"/>
  <c r="F3" i="6"/>
  <c r="N3" i="6"/>
  <c r="V3" i="6"/>
  <c r="AD3" i="6"/>
  <c r="H4" i="6"/>
  <c r="P4" i="6"/>
  <c r="X4" i="6"/>
  <c r="B5" i="6"/>
  <c r="J5" i="6"/>
  <c r="R5" i="6"/>
  <c r="Z5" i="6"/>
  <c r="D6" i="6"/>
  <c r="L6" i="6"/>
  <c r="T6" i="6"/>
  <c r="AB6" i="6"/>
  <c r="F7" i="6"/>
  <c r="N7" i="6"/>
  <c r="V7" i="6"/>
  <c r="AD7" i="6"/>
  <c r="H8" i="6"/>
  <c r="P8" i="6"/>
  <c r="X8" i="6"/>
  <c r="B9" i="6"/>
  <c r="J9" i="6"/>
  <c r="R9" i="6"/>
  <c r="Z9" i="6"/>
  <c r="D10" i="6"/>
  <c r="L10" i="6"/>
  <c r="T10" i="6"/>
  <c r="AB10" i="6"/>
  <c r="F11" i="6"/>
  <c r="N11" i="6"/>
  <c r="V11" i="6"/>
  <c r="AD11" i="6"/>
  <c r="H12" i="6"/>
  <c r="P12" i="6"/>
  <c r="X12" i="6"/>
  <c r="B13" i="6"/>
  <c r="J13" i="6"/>
  <c r="R13" i="6"/>
  <c r="Z13" i="6"/>
  <c r="D14" i="6"/>
  <c r="L14" i="6"/>
  <c r="T14" i="6"/>
  <c r="AB14" i="6"/>
  <c r="F15" i="6"/>
  <c r="N15" i="6"/>
  <c r="V15" i="6"/>
  <c r="AD15" i="6"/>
  <c r="H16" i="6"/>
  <c r="P16" i="6"/>
  <c r="X16" i="6"/>
  <c r="B17" i="6"/>
  <c r="J17" i="6"/>
  <c r="R17" i="6"/>
  <c r="Z17" i="6"/>
  <c r="D18" i="6"/>
  <c r="L18" i="6"/>
  <c r="T18" i="6"/>
  <c r="AB18" i="6"/>
  <c r="F19" i="6"/>
  <c r="N19" i="6"/>
  <c r="V19" i="6"/>
  <c r="AD19" i="6"/>
  <c r="H20" i="6"/>
  <c r="P20" i="6"/>
  <c r="X20" i="6"/>
  <c r="B21" i="6"/>
  <c r="J21" i="6"/>
  <c r="R21" i="6"/>
  <c r="Z21" i="6"/>
  <c r="D22" i="6"/>
  <c r="L22" i="6"/>
  <c r="T22" i="6"/>
  <c r="AB22" i="6"/>
  <c r="F23" i="6"/>
  <c r="N23" i="6"/>
  <c r="V23" i="6"/>
  <c r="AD23" i="6"/>
  <c r="H24" i="6"/>
  <c r="P24" i="6"/>
  <c r="X24" i="6"/>
  <c r="M2" i="6"/>
  <c r="O3" i="6"/>
  <c r="Q4" i="6"/>
  <c r="S5" i="6"/>
  <c r="U6" i="6"/>
  <c r="O7" i="6"/>
  <c r="A8" i="6"/>
  <c r="Q8" i="6"/>
  <c r="C9" i="6"/>
  <c r="S9" i="6"/>
  <c r="E10" i="6"/>
  <c r="U10" i="6"/>
  <c r="G11" i="6"/>
  <c r="W11" i="6"/>
  <c r="I12" i="6"/>
  <c r="Y12" i="6"/>
  <c r="K13" i="6"/>
  <c r="AA13" i="6"/>
  <c r="M14" i="6"/>
  <c r="AC14" i="6"/>
  <c r="O15" i="6"/>
  <c r="A16" i="6"/>
  <c r="Q16" i="6"/>
  <c r="C17" i="6"/>
  <c r="S17" i="6"/>
  <c r="E18" i="6"/>
  <c r="U18" i="6"/>
  <c r="G19" i="6"/>
  <c r="W19" i="6"/>
  <c r="I20" i="6"/>
  <c r="Y20" i="6"/>
  <c r="K21" i="6"/>
  <c r="AA21" i="6"/>
  <c r="M22" i="6"/>
  <c r="AC22" i="6"/>
  <c r="O23" i="6"/>
  <c r="A24" i="6"/>
  <c r="Q24" i="6"/>
  <c r="U2" i="6"/>
  <c r="W3" i="6"/>
  <c r="Y4" i="6"/>
  <c r="AA5" i="6"/>
  <c r="AC6" i="6"/>
  <c r="R7" i="6"/>
  <c r="D8" i="6"/>
  <c r="T8" i="6"/>
  <c r="F9" i="6"/>
  <c r="V9" i="6"/>
  <c r="H10" i="6"/>
  <c r="X10" i="6"/>
  <c r="J11" i="6"/>
  <c r="Z11" i="6"/>
  <c r="L12" i="6"/>
  <c r="AB12" i="6"/>
  <c r="N13" i="6"/>
  <c r="AD13" i="6"/>
  <c r="P14" i="6"/>
  <c r="B15" i="6"/>
  <c r="R15" i="6"/>
  <c r="D16" i="6"/>
  <c r="T16" i="6"/>
  <c r="F17" i="6"/>
  <c r="V17" i="6"/>
  <c r="H18" i="6"/>
  <c r="X18" i="6"/>
  <c r="J19" i="6"/>
  <c r="Z19" i="6"/>
  <c r="L20" i="6"/>
  <c r="AB20" i="6"/>
  <c r="N21" i="6"/>
  <c r="AD21" i="6"/>
  <c r="P22" i="6"/>
  <c r="B23" i="6"/>
  <c r="R23" i="6"/>
  <c r="D24" i="6"/>
  <c r="T24" i="6"/>
  <c r="AC2" i="6"/>
  <c r="A4" i="6"/>
  <c r="C5" i="6"/>
  <c r="E6" i="6"/>
  <c r="G7" i="6"/>
  <c r="W7" i="6"/>
  <c r="I8" i="6"/>
  <c r="Y8" i="6"/>
  <c r="K9" i="6"/>
  <c r="AA9" i="6"/>
  <c r="M10" i="6"/>
  <c r="AC10" i="6"/>
  <c r="O11" i="6"/>
  <c r="A12" i="6"/>
  <c r="Q12" i="6"/>
  <c r="C13" i="6"/>
  <c r="S13" i="6"/>
  <c r="E14" i="6"/>
  <c r="U14" i="6"/>
  <c r="G15" i="6"/>
  <c r="W15" i="6"/>
  <c r="I16" i="6"/>
  <c r="Y16" i="6"/>
  <c r="K17" i="6"/>
  <c r="AA17" i="6"/>
  <c r="M18" i="6"/>
  <c r="AC18" i="6"/>
  <c r="O19" i="6"/>
  <c r="A20" i="6"/>
  <c r="Q20" i="6"/>
  <c r="C21" i="6"/>
  <c r="S21" i="6"/>
  <c r="E22" i="6"/>
  <c r="U22" i="6"/>
  <c r="G23" i="6"/>
  <c r="W23" i="6"/>
  <c r="I24" i="6"/>
  <c r="Y24" i="6"/>
  <c r="E2" i="6"/>
  <c r="G3" i="6"/>
  <c r="I4" i="6"/>
  <c r="K5" i="6"/>
  <c r="M6" i="6"/>
  <c r="J7" i="6"/>
  <c r="Z7" i="6"/>
  <c r="L8" i="6"/>
  <c r="AB8" i="6"/>
  <c r="N9" i="6"/>
  <c r="AD9" i="6"/>
  <c r="P10" i="6"/>
  <c r="B11" i="6"/>
  <c r="R11" i="6"/>
  <c r="D12" i="6"/>
  <c r="T12" i="6"/>
  <c r="F13" i="6"/>
  <c r="V13" i="6"/>
  <c r="H14" i="6"/>
  <c r="X14" i="6"/>
  <c r="J15" i="6"/>
  <c r="Z15" i="6"/>
  <c r="L16" i="6"/>
  <c r="AB16" i="6"/>
  <c r="N17" i="6"/>
  <c r="AD17" i="6"/>
  <c r="P18" i="6"/>
  <c r="B19" i="6"/>
  <c r="R19" i="6"/>
  <c r="D20" i="6"/>
  <c r="T20" i="6"/>
  <c r="F21" i="6"/>
  <c r="V21" i="6"/>
  <c r="H22" i="6"/>
  <c r="X22" i="6"/>
  <c r="J23" i="6"/>
  <c r="Z23" i="6"/>
  <c r="L24" i="6"/>
  <c r="AB24" i="6"/>
  <c r="A2" i="7" l="1" a="1"/>
  <c r="C2" i="7" l="1"/>
  <c r="G2" i="7"/>
  <c r="K2" i="7"/>
  <c r="O2" i="7"/>
  <c r="S2" i="7"/>
  <c r="W2" i="7"/>
  <c r="D3" i="7"/>
  <c r="H3" i="7"/>
  <c r="L3" i="7"/>
  <c r="P3" i="7"/>
  <c r="T3" i="7"/>
  <c r="A4" i="7"/>
  <c r="E4" i="7"/>
  <c r="I4" i="7"/>
  <c r="M4" i="7"/>
  <c r="Q4" i="7"/>
  <c r="U4" i="7"/>
  <c r="B5" i="7"/>
  <c r="F5" i="7"/>
  <c r="J5" i="7"/>
  <c r="N5" i="7"/>
  <c r="R5" i="7"/>
  <c r="V5" i="7"/>
  <c r="C6" i="7"/>
  <c r="G6" i="7"/>
  <c r="K6" i="7"/>
  <c r="O6" i="7"/>
  <c r="S6" i="7"/>
  <c r="W6" i="7"/>
  <c r="D7" i="7"/>
  <c r="H7" i="7"/>
  <c r="L7" i="7"/>
  <c r="P7" i="7"/>
  <c r="T7" i="7"/>
  <c r="A8" i="7"/>
  <c r="E8" i="7"/>
  <c r="I8" i="7"/>
  <c r="M8" i="7"/>
  <c r="Q8" i="7"/>
  <c r="U8" i="7"/>
  <c r="B9" i="7"/>
  <c r="F9" i="7"/>
  <c r="J9" i="7"/>
  <c r="N9" i="7"/>
  <c r="R9" i="7"/>
  <c r="V9" i="7"/>
  <c r="C10" i="7"/>
  <c r="G10" i="7"/>
  <c r="K10" i="7"/>
  <c r="O10" i="7"/>
  <c r="S10" i="7"/>
  <c r="W10" i="7"/>
  <c r="D11" i="7"/>
  <c r="H11" i="7"/>
  <c r="L11" i="7"/>
  <c r="P11" i="7"/>
  <c r="T11" i="7"/>
  <c r="A12" i="7"/>
  <c r="E12" i="7"/>
  <c r="I12" i="7"/>
  <c r="M12" i="7"/>
  <c r="Q12" i="7"/>
  <c r="U12" i="7"/>
  <c r="B13" i="7"/>
  <c r="F13" i="7"/>
  <c r="J13" i="7"/>
  <c r="N13" i="7"/>
  <c r="R13" i="7"/>
  <c r="V13" i="7"/>
  <c r="C14" i="7"/>
  <c r="G14" i="7"/>
  <c r="K14" i="7"/>
  <c r="O14" i="7"/>
  <c r="S14" i="7"/>
  <c r="W14" i="7"/>
  <c r="D15" i="7"/>
  <c r="H15" i="7"/>
  <c r="L15" i="7"/>
  <c r="P15" i="7"/>
  <c r="T15" i="7"/>
  <c r="A16" i="7"/>
  <c r="E16" i="7"/>
  <c r="I16" i="7"/>
  <c r="M16" i="7"/>
  <c r="Q16" i="7"/>
  <c r="U16" i="7"/>
  <c r="B17" i="7"/>
  <c r="F17" i="7"/>
  <c r="J17" i="7"/>
  <c r="N17" i="7"/>
  <c r="R17" i="7"/>
  <c r="V17" i="7"/>
  <c r="C18" i="7"/>
  <c r="G18" i="7"/>
  <c r="K18" i="7"/>
  <c r="O18" i="7"/>
  <c r="S18" i="7"/>
  <c r="W18" i="7"/>
  <c r="D19" i="7"/>
  <c r="A2" i="7"/>
  <c r="F2" i="7"/>
  <c r="L2" i="7"/>
  <c r="Q2" i="7"/>
  <c r="V2" i="7"/>
  <c r="E3" i="7"/>
  <c r="J3" i="7"/>
  <c r="O3" i="7"/>
  <c r="U3" i="7"/>
  <c r="C4" i="7"/>
  <c r="H4" i="7"/>
  <c r="N4" i="7"/>
  <c r="S4" i="7"/>
  <c r="A5" i="7"/>
  <c r="G5" i="7"/>
  <c r="L5" i="7"/>
  <c r="Q5" i="7"/>
  <c r="W5" i="7"/>
  <c r="E6" i="7"/>
  <c r="J6" i="7"/>
  <c r="P6" i="7"/>
  <c r="U6" i="7"/>
  <c r="C7" i="7"/>
  <c r="I7" i="7"/>
  <c r="N7" i="7"/>
  <c r="S7" i="7"/>
  <c r="B8" i="7"/>
  <c r="G8" i="7"/>
  <c r="L8" i="7"/>
  <c r="R8" i="7"/>
  <c r="W8" i="7"/>
  <c r="E9" i="7"/>
  <c r="K9" i="7"/>
  <c r="P9" i="7"/>
  <c r="U9" i="7"/>
  <c r="D10" i="7"/>
  <c r="I10" i="7"/>
  <c r="N10" i="7"/>
  <c r="T10" i="7"/>
  <c r="B11" i="7"/>
  <c r="G11" i="7"/>
  <c r="M11" i="7"/>
  <c r="R11" i="7"/>
  <c r="W11" i="7"/>
  <c r="F12" i="7"/>
  <c r="K12" i="7"/>
  <c r="P12" i="7"/>
  <c r="V12" i="7"/>
  <c r="D13" i="7"/>
  <c r="I13" i="7"/>
  <c r="O13" i="7"/>
  <c r="T13" i="7"/>
  <c r="B14" i="7"/>
  <c r="H14" i="7"/>
  <c r="M14" i="7"/>
  <c r="R14" i="7"/>
  <c r="A15" i="7"/>
  <c r="F15" i="7"/>
  <c r="K15" i="7"/>
  <c r="Q15" i="7"/>
  <c r="V15" i="7"/>
  <c r="D16" i="7"/>
  <c r="J16" i="7"/>
  <c r="O16" i="7"/>
  <c r="T16" i="7"/>
  <c r="C17" i="7"/>
  <c r="H17" i="7"/>
  <c r="M17" i="7"/>
  <c r="S17" i="7"/>
  <c r="A18" i="7"/>
  <c r="F18" i="7"/>
  <c r="L18" i="7"/>
  <c r="Q18" i="7"/>
  <c r="V18" i="7"/>
  <c r="E19" i="7"/>
  <c r="I19" i="7"/>
  <c r="M19" i="7"/>
  <c r="Q19" i="7"/>
  <c r="U19" i="7"/>
  <c r="B20" i="7"/>
  <c r="F20" i="7"/>
  <c r="J20" i="7"/>
  <c r="N20" i="7"/>
  <c r="R20" i="7"/>
  <c r="V20" i="7"/>
  <c r="C21" i="7"/>
  <c r="G21" i="7"/>
  <c r="K21" i="7"/>
  <c r="O21" i="7"/>
  <c r="S21" i="7"/>
  <c r="W21" i="7"/>
  <c r="D22" i="7"/>
  <c r="H22" i="7"/>
  <c r="L22" i="7"/>
  <c r="P22" i="7"/>
  <c r="T22" i="7"/>
  <c r="A23" i="7"/>
  <c r="E23" i="7"/>
  <c r="I23" i="7"/>
  <c r="M23" i="7"/>
  <c r="Q23" i="7"/>
  <c r="U23" i="7"/>
  <c r="B24" i="7"/>
  <c r="F24" i="7"/>
  <c r="J24" i="7"/>
  <c r="N24" i="7"/>
  <c r="R24" i="7"/>
  <c r="V24" i="7"/>
  <c r="B2" i="7"/>
  <c r="H2" i="7"/>
  <c r="M2" i="7"/>
  <c r="R2" i="7"/>
  <c r="A3" i="7"/>
  <c r="F3" i="7"/>
  <c r="K3" i="7"/>
  <c r="Q3" i="7"/>
  <c r="V3" i="7"/>
  <c r="D4" i="7"/>
  <c r="J4" i="7"/>
  <c r="O4" i="7"/>
  <c r="T4" i="7"/>
  <c r="C5" i="7"/>
  <c r="H5" i="7"/>
  <c r="M5" i="7"/>
  <c r="S5" i="7"/>
  <c r="A6" i="7"/>
  <c r="F6" i="7"/>
  <c r="L6" i="7"/>
  <c r="Q6" i="7"/>
  <c r="V6" i="7"/>
  <c r="E7" i="7"/>
  <c r="J7" i="7"/>
  <c r="O7" i="7"/>
  <c r="U7" i="7"/>
  <c r="C8" i="7"/>
  <c r="H8" i="7"/>
  <c r="N8" i="7"/>
  <c r="S8" i="7"/>
  <c r="A9" i="7"/>
  <c r="G9" i="7"/>
  <c r="L9" i="7"/>
  <c r="Q9" i="7"/>
  <c r="W9" i="7"/>
  <c r="E10" i="7"/>
  <c r="J10" i="7"/>
  <c r="P10" i="7"/>
  <c r="U10" i="7"/>
  <c r="C11" i="7"/>
  <c r="I11" i="7"/>
  <c r="N11" i="7"/>
  <c r="S11" i="7"/>
  <c r="B12" i="7"/>
  <c r="G12" i="7"/>
  <c r="L12" i="7"/>
  <c r="R12" i="7"/>
  <c r="W12" i="7"/>
  <c r="E13" i="7"/>
  <c r="K13" i="7"/>
  <c r="P13" i="7"/>
  <c r="U13" i="7"/>
  <c r="D14" i="7"/>
  <c r="I14" i="7"/>
  <c r="N14" i="7"/>
  <c r="T14" i="7"/>
  <c r="B15" i="7"/>
  <c r="G15" i="7"/>
  <c r="M15" i="7"/>
  <c r="R15" i="7"/>
  <c r="W15" i="7"/>
  <c r="F16" i="7"/>
  <c r="K16" i="7"/>
  <c r="P16" i="7"/>
  <c r="V16" i="7"/>
  <c r="D17" i="7"/>
  <c r="I17" i="7"/>
  <c r="O17" i="7"/>
  <c r="T17" i="7"/>
  <c r="B18" i="7"/>
  <c r="H18" i="7"/>
  <c r="M18" i="7"/>
  <c r="R18" i="7"/>
  <c r="A19" i="7"/>
  <c r="F19" i="7"/>
  <c r="J19" i="7"/>
  <c r="N19" i="7"/>
  <c r="R19" i="7"/>
  <c r="V19" i="7"/>
  <c r="C20" i="7"/>
  <c r="G20" i="7"/>
  <c r="K20" i="7"/>
  <c r="O20" i="7"/>
  <c r="S20" i="7"/>
  <c r="W20" i="7"/>
  <c r="D21" i="7"/>
  <c r="H21" i="7"/>
  <c r="L21" i="7"/>
  <c r="P21" i="7"/>
  <c r="T21" i="7"/>
  <c r="A22" i="7"/>
  <c r="E22" i="7"/>
  <c r="I22" i="7"/>
  <c r="M22" i="7"/>
  <c r="Q22" i="7"/>
  <c r="U22" i="7"/>
  <c r="B23" i="7"/>
  <c r="F23" i="7"/>
  <c r="J23" i="7"/>
  <c r="N23" i="7"/>
  <c r="R23" i="7"/>
  <c r="V23" i="7"/>
  <c r="C24" i="7"/>
  <c r="G24" i="7"/>
  <c r="K24" i="7"/>
  <c r="O24" i="7"/>
  <c r="S24" i="7"/>
  <c r="W24" i="7"/>
  <c r="I2" i="7"/>
  <c r="T2" i="7"/>
  <c r="G3" i="7"/>
  <c r="R3" i="7"/>
  <c r="F4" i="7"/>
  <c r="P4" i="7"/>
  <c r="D5" i="7"/>
  <c r="O5" i="7"/>
  <c r="B6" i="7"/>
  <c r="M6" i="7"/>
  <c r="A7" i="7"/>
  <c r="K7" i="7"/>
  <c r="V7" i="7"/>
  <c r="J8" i="7"/>
  <c r="T8" i="7"/>
  <c r="H9" i="7"/>
  <c r="S9" i="7"/>
  <c r="F10" i="7"/>
  <c r="Q10" i="7"/>
  <c r="E11" i="7"/>
  <c r="O11" i="7"/>
  <c r="C12" i="7"/>
  <c r="N12" i="7"/>
  <c r="A13" i="7"/>
  <c r="L13" i="7"/>
  <c r="W13" i="7"/>
  <c r="J14" i="7"/>
  <c r="U14" i="7"/>
  <c r="I15" i="7"/>
  <c r="S15" i="7"/>
  <c r="G16" i="7"/>
  <c r="R16" i="7"/>
  <c r="E17" i="7"/>
  <c r="P17" i="7"/>
  <c r="D18" i="7"/>
  <c r="N18" i="7"/>
  <c r="B19" i="7"/>
  <c r="K19" i="7"/>
  <c r="S19" i="7"/>
  <c r="D20" i="7"/>
  <c r="L20" i="7"/>
  <c r="T20" i="7"/>
  <c r="E21" i="7"/>
  <c r="M21" i="7"/>
  <c r="U21" i="7"/>
  <c r="F22" i="7"/>
  <c r="N22" i="7"/>
  <c r="V22" i="7"/>
  <c r="G23" i="7"/>
  <c r="O23" i="7"/>
  <c r="W23" i="7"/>
  <c r="H24" i="7"/>
  <c r="P24" i="7"/>
  <c r="J2" i="7"/>
  <c r="U2" i="7"/>
  <c r="I3" i="7"/>
  <c r="S3" i="7"/>
  <c r="G4" i="7"/>
  <c r="R4" i="7"/>
  <c r="E5" i="7"/>
  <c r="P5" i="7"/>
  <c r="D6" i="7"/>
  <c r="N6" i="7"/>
  <c r="B7" i="7"/>
  <c r="M7" i="7"/>
  <c r="W7" i="7"/>
  <c r="K8" i="7"/>
  <c r="V8" i="7"/>
  <c r="I9" i="7"/>
  <c r="T9" i="7"/>
  <c r="H10" i="7"/>
  <c r="R10" i="7"/>
  <c r="F11" i="7"/>
  <c r="Q11" i="7"/>
  <c r="D12" i="7"/>
  <c r="O12" i="7"/>
  <c r="C13" i="7"/>
  <c r="M13" i="7"/>
  <c r="A14" i="7"/>
  <c r="L14" i="7"/>
  <c r="V14" i="7"/>
  <c r="J15" i="7"/>
  <c r="U15" i="7"/>
  <c r="H16" i="7"/>
  <c r="S16" i="7"/>
  <c r="G17" i="7"/>
  <c r="Q17" i="7"/>
  <c r="E18" i="7"/>
  <c r="P18" i="7"/>
  <c r="C19" i="7"/>
  <c r="L19" i="7"/>
  <c r="T19" i="7"/>
  <c r="E20" i="7"/>
  <c r="M20" i="7"/>
  <c r="U20" i="7"/>
  <c r="F21" i="7"/>
  <c r="N21" i="7"/>
  <c r="V21" i="7"/>
  <c r="G22" i="7"/>
  <c r="O22" i="7"/>
  <c r="W22" i="7"/>
  <c r="H23" i="7"/>
  <c r="P23" i="7"/>
  <c r="A24" i="7"/>
  <c r="I24" i="7"/>
  <c r="Q24" i="7"/>
  <c r="D2" i="7"/>
  <c r="N2" i="7"/>
  <c r="B3" i="7"/>
  <c r="M3" i="7"/>
  <c r="W3" i="7"/>
  <c r="K4" i="7"/>
  <c r="V4" i="7"/>
  <c r="I5" i="7"/>
  <c r="T5" i="7"/>
  <c r="H6" i="7"/>
  <c r="R6" i="7"/>
  <c r="F7" i="7"/>
  <c r="Q7" i="7"/>
  <c r="D8" i="7"/>
  <c r="O8" i="7"/>
  <c r="C9" i="7"/>
  <c r="M9" i="7"/>
  <c r="A10" i="7"/>
  <c r="L10" i="7"/>
  <c r="V10" i="7"/>
  <c r="J11" i="7"/>
  <c r="U11" i="7"/>
  <c r="H12" i="7"/>
  <c r="S12" i="7"/>
  <c r="G13" i="7"/>
  <c r="Q13" i="7"/>
  <c r="E14" i="7"/>
  <c r="P14" i="7"/>
  <c r="C15" i="7"/>
  <c r="N15" i="7"/>
  <c r="B16" i="7"/>
  <c r="L16" i="7"/>
  <c r="W16" i="7"/>
  <c r="K17" i="7"/>
  <c r="U17" i="7"/>
  <c r="I18" i="7"/>
  <c r="T18" i="7"/>
  <c r="G19" i="7"/>
  <c r="O19" i="7"/>
  <c r="W19" i="7"/>
  <c r="H20" i="7"/>
  <c r="P20" i="7"/>
  <c r="A21" i="7"/>
  <c r="I21" i="7"/>
  <c r="Q21" i="7"/>
  <c r="B22" i="7"/>
  <c r="J22" i="7"/>
  <c r="R22" i="7"/>
  <c r="C23" i="7"/>
  <c r="K23" i="7"/>
  <c r="S23" i="7"/>
  <c r="D24" i="7"/>
  <c r="L24" i="7"/>
  <c r="T24" i="7"/>
  <c r="N3" i="7"/>
  <c r="K5" i="7"/>
  <c r="G7" i="7"/>
  <c r="D9" i="7"/>
  <c r="A11" i="7"/>
  <c r="T12" i="7"/>
  <c r="Q14" i="7"/>
  <c r="N16" i="7"/>
  <c r="J18" i="7"/>
  <c r="A20" i="7"/>
  <c r="J21" i="7"/>
  <c r="S22" i="7"/>
  <c r="E24" i="7"/>
  <c r="E2" i="7"/>
  <c r="B4" i="7"/>
  <c r="U5" i="7"/>
  <c r="R7" i="7"/>
  <c r="O9" i="7"/>
  <c r="K11" i="7"/>
  <c r="H13" i="7"/>
  <c r="E15" i="7"/>
  <c r="A17" i="7"/>
  <c r="U18" i="7"/>
  <c r="I20" i="7"/>
  <c r="R21" i="7"/>
  <c r="D23" i="7"/>
  <c r="M24" i="7"/>
  <c r="P2" i="7"/>
  <c r="L4" i="7"/>
  <c r="I6" i="7"/>
  <c r="F8" i="7"/>
  <c r="B10" i="7"/>
  <c r="V11" i="7"/>
  <c r="S13" i="7"/>
  <c r="O15" i="7"/>
  <c r="L17" i="7"/>
  <c r="H19" i="7"/>
  <c r="Q20" i="7"/>
  <c r="C22" i="7"/>
  <c r="L23" i="7"/>
  <c r="U24" i="7"/>
  <c r="C3" i="7"/>
  <c r="W4" i="7"/>
  <c r="T6" i="7"/>
  <c r="P8" i="7"/>
  <c r="M10" i="7"/>
  <c r="J12" i="7"/>
  <c r="F14" i="7"/>
  <c r="C16" i="7"/>
  <c r="W17" i="7"/>
  <c r="P19" i="7"/>
  <c r="B21" i="7"/>
  <c r="K22" i="7"/>
  <c r="T23" i="7"/>
  <c r="A2" i="8" l="1" a="1"/>
  <c r="B2" i="8" l="1"/>
  <c r="F2" i="8"/>
  <c r="J2" i="8"/>
  <c r="N2" i="8"/>
  <c r="R2" i="8"/>
  <c r="V2" i="8"/>
  <c r="C3" i="8"/>
  <c r="G3" i="8"/>
  <c r="K3" i="8"/>
  <c r="O3" i="8"/>
  <c r="S3" i="8"/>
  <c r="W3" i="8"/>
  <c r="D4" i="8"/>
  <c r="H4" i="8"/>
  <c r="L4" i="8"/>
  <c r="P4" i="8"/>
  <c r="T4" i="8"/>
  <c r="A5" i="8"/>
  <c r="D2" i="8"/>
  <c r="I2" i="8"/>
  <c r="O2" i="8"/>
  <c r="T2" i="8"/>
  <c r="B3" i="8"/>
  <c r="H3" i="8"/>
  <c r="M3" i="8"/>
  <c r="R3" i="8"/>
  <c r="A4" i="8"/>
  <c r="F4" i="8"/>
  <c r="K4" i="8"/>
  <c r="Q4" i="8"/>
  <c r="V4" i="8"/>
  <c r="D5" i="8"/>
  <c r="H5" i="8"/>
  <c r="L5" i="8"/>
  <c r="P5" i="8"/>
  <c r="T5" i="8"/>
  <c r="A6" i="8"/>
  <c r="E6" i="8"/>
  <c r="I6" i="8"/>
  <c r="M6" i="8"/>
  <c r="Q6" i="8"/>
  <c r="U6" i="8"/>
  <c r="B7" i="8"/>
  <c r="F7" i="8"/>
  <c r="J7" i="8"/>
  <c r="N7" i="8"/>
  <c r="R7" i="8"/>
  <c r="V7" i="8"/>
  <c r="C8" i="8"/>
  <c r="G8" i="8"/>
  <c r="K8" i="8"/>
  <c r="O8" i="8"/>
  <c r="S8" i="8"/>
  <c r="W8" i="8"/>
  <c r="D9" i="8"/>
  <c r="H9" i="8"/>
  <c r="L9" i="8"/>
  <c r="P9" i="8"/>
  <c r="T9" i="8"/>
  <c r="A10" i="8"/>
  <c r="E10" i="8"/>
  <c r="I10" i="8"/>
  <c r="M10" i="8"/>
  <c r="Q10" i="8"/>
  <c r="U10" i="8"/>
  <c r="B11" i="8"/>
  <c r="F11" i="8"/>
  <c r="J11" i="8"/>
  <c r="N11" i="8"/>
  <c r="R11" i="8"/>
  <c r="V11" i="8"/>
  <c r="C12" i="8"/>
  <c r="G12" i="8"/>
  <c r="K12" i="8"/>
  <c r="O12" i="8"/>
  <c r="S12" i="8"/>
  <c r="W12" i="8"/>
  <c r="D13" i="8"/>
  <c r="H13" i="8"/>
  <c r="L13" i="8"/>
  <c r="P13" i="8"/>
  <c r="T13" i="8"/>
  <c r="A14" i="8"/>
  <c r="E14" i="8"/>
  <c r="I14" i="8"/>
  <c r="M14" i="8"/>
  <c r="Q14" i="8"/>
  <c r="U14" i="8"/>
  <c r="B15" i="8"/>
  <c r="F15" i="8"/>
  <c r="A2" i="8"/>
  <c r="G2" i="8"/>
  <c r="L2" i="8"/>
  <c r="Q2" i="8"/>
  <c r="W2" i="8"/>
  <c r="E3" i="8"/>
  <c r="J3" i="8"/>
  <c r="P3" i="8"/>
  <c r="U3" i="8"/>
  <c r="C4" i="8"/>
  <c r="I4" i="8"/>
  <c r="N4" i="8"/>
  <c r="S4" i="8"/>
  <c r="B5" i="8"/>
  <c r="E2" i="8"/>
  <c r="P2" i="8"/>
  <c r="D3" i="8"/>
  <c r="N3" i="8"/>
  <c r="B4" i="8"/>
  <c r="M4" i="8"/>
  <c r="W4" i="8"/>
  <c r="G5" i="8"/>
  <c r="M5" i="8"/>
  <c r="R5" i="8"/>
  <c r="W5" i="8"/>
  <c r="F6" i="8"/>
  <c r="K6" i="8"/>
  <c r="P6" i="8"/>
  <c r="V6" i="8"/>
  <c r="D7" i="8"/>
  <c r="I7" i="8"/>
  <c r="O7" i="8"/>
  <c r="T7" i="8"/>
  <c r="B8" i="8"/>
  <c r="H8" i="8"/>
  <c r="M8" i="8"/>
  <c r="R8" i="8"/>
  <c r="A9" i="8"/>
  <c r="F9" i="8"/>
  <c r="K9" i="8"/>
  <c r="Q9" i="8"/>
  <c r="V9" i="8"/>
  <c r="D10" i="8"/>
  <c r="J10" i="8"/>
  <c r="O10" i="8"/>
  <c r="T10" i="8"/>
  <c r="C11" i="8"/>
  <c r="H11" i="8"/>
  <c r="M11" i="8"/>
  <c r="S11" i="8"/>
  <c r="A12" i="8"/>
  <c r="F12" i="8"/>
  <c r="L12" i="8"/>
  <c r="Q12" i="8"/>
  <c r="V12" i="8"/>
  <c r="E13" i="8"/>
  <c r="J13" i="8"/>
  <c r="O13" i="8"/>
  <c r="U13" i="8"/>
  <c r="C14" i="8"/>
  <c r="H14" i="8"/>
  <c r="N14" i="8"/>
  <c r="S14" i="8"/>
  <c r="A15" i="8"/>
  <c r="G15" i="8"/>
  <c r="K15" i="8"/>
  <c r="O15" i="8"/>
  <c r="S15" i="8"/>
  <c r="W15" i="8"/>
  <c r="D16" i="8"/>
  <c r="H16" i="8"/>
  <c r="L16" i="8"/>
  <c r="P16" i="8"/>
  <c r="T16" i="8"/>
  <c r="A17" i="8"/>
  <c r="E17" i="8"/>
  <c r="I17" i="8"/>
  <c r="M17" i="8"/>
  <c r="Q17" i="8"/>
  <c r="U17" i="8"/>
  <c r="B18" i="8"/>
  <c r="F18" i="8"/>
  <c r="J18" i="8"/>
  <c r="N18" i="8"/>
  <c r="R18" i="8"/>
  <c r="V18" i="8"/>
  <c r="C19" i="8"/>
  <c r="G19" i="8"/>
  <c r="K19" i="8"/>
  <c r="O19" i="8"/>
  <c r="S19" i="8"/>
  <c r="W19" i="8"/>
  <c r="D20" i="8"/>
  <c r="H20" i="8"/>
  <c r="L20" i="8"/>
  <c r="P20" i="8"/>
  <c r="T20" i="8"/>
  <c r="A21" i="8"/>
  <c r="E21" i="8"/>
  <c r="I21" i="8"/>
  <c r="M21" i="8"/>
  <c r="Q21" i="8"/>
  <c r="U21" i="8"/>
  <c r="B22" i="8"/>
  <c r="F22" i="8"/>
  <c r="J22" i="8"/>
  <c r="N22" i="8"/>
  <c r="R22" i="8"/>
  <c r="V22" i="8"/>
  <c r="C23" i="8"/>
  <c r="G23" i="8"/>
  <c r="K23" i="8"/>
  <c r="O23" i="8"/>
  <c r="C2" i="8"/>
  <c r="M2" i="8"/>
  <c r="A3" i="8"/>
  <c r="L3" i="8"/>
  <c r="V3" i="8"/>
  <c r="J4" i="8"/>
  <c r="U4" i="8"/>
  <c r="F5" i="8"/>
  <c r="K5" i="8"/>
  <c r="Q5" i="8"/>
  <c r="V5" i="8"/>
  <c r="D6" i="8"/>
  <c r="J6" i="8"/>
  <c r="O6" i="8"/>
  <c r="T6" i="8"/>
  <c r="C7" i="8"/>
  <c r="H7" i="8"/>
  <c r="M7" i="8"/>
  <c r="S7" i="8"/>
  <c r="A8" i="8"/>
  <c r="F8" i="8"/>
  <c r="L8" i="8"/>
  <c r="Q8" i="8"/>
  <c r="V8" i="8"/>
  <c r="E9" i="8"/>
  <c r="J9" i="8"/>
  <c r="O9" i="8"/>
  <c r="U9" i="8"/>
  <c r="C10" i="8"/>
  <c r="H10" i="8"/>
  <c r="N10" i="8"/>
  <c r="S10" i="8"/>
  <c r="A11" i="8"/>
  <c r="G11" i="8"/>
  <c r="L11" i="8"/>
  <c r="Q11" i="8"/>
  <c r="W11" i="8"/>
  <c r="E12" i="8"/>
  <c r="J12" i="8"/>
  <c r="P12" i="8"/>
  <c r="U12" i="8"/>
  <c r="C13" i="8"/>
  <c r="I13" i="8"/>
  <c r="N13" i="8"/>
  <c r="S13" i="8"/>
  <c r="B14" i="8"/>
  <c r="G14" i="8"/>
  <c r="L14" i="8"/>
  <c r="R14" i="8"/>
  <c r="W14" i="8"/>
  <c r="E15" i="8"/>
  <c r="J15" i="8"/>
  <c r="N15" i="8"/>
  <c r="R15" i="8"/>
  <c r="V15" i="8"/>
  <c r="C16" i="8"/>
  <c r="G16" i="8"/>
  <c r="K16" i="8"/>
  <c r="O16" i="8"/>
  <c r="S16" i="8"/>
  <c r="W16" i="8"/>
  <c r="D17" i="8"/>
  <c r="H17" i="8"/>
  <c r="L17" i="8"/>
  <c r="P17" i="8"/>
  <c r="T17" i="8"/>
  <c r="A18" i="8"/>
  <c r="S2" i="8"/>
  <c r="Q3" i="8"/>
  <c r="O4" i="8"/>
  <c r="I5" i="8"/>
  <c r="S5" i="8"/>
  <c r="G6" i="8"/>
  <c r="R6" i="8"/>
  <c r="E7" i="8"/>
  <c r="P7" i="8"/>
  <c r="D8" i="8"/>
  <c r="N8" i="8"/>
  <c r="B9" i="8"/>
  <c r="M9" i="8"/>
  <c r="W9" i="8"/>
  <c r="K10" i="8"/>
  <c r="V10" i="8"/>
  <c r="I11" i="8"/>
  <c r="T11" i="8"/>
  <c r="H12" i="8"/>
  <c r="R12" i="8"/>
  <c r="F13" i="8"/>
  <c r="Q13" i="8"/>
  <c r="D14" i="8"/>
  <c r="O14" i="8"/>
  <c r="C15" i="8"/>
  <c r="L15" i="8"/>
  <c r="T15" i="8"/>
  <c r="E16" i="8"/>
  <c r="M16" i="8"/>
  <c r="U16" i="8"/>
  <c r="F17" i="8"/>
  <c r="N17" i="8"/>
  <c r="V17" i="8"/>
  <c r="E18" i="8"/>
  <c r="K18" i="8"/>
  <c r="P18" i="8"/>
  <c r="U18" i="8"/>
  <c r="D19" i="8"/>
  <c r="I19" i="8"/>
  <c r="N19" i="8"/>
  <c r="T19" i="8"/>
  <c r="B20" i="8"/>
  <c r="G20" i="8"/>
  <c r="M20" i="8"/>
  <c r="R20" i="8"/>
  <c r="W20" i="8"/>
  <c r="F21" i="8"/>
  <c r="K21" i="8"/>
  <c r="P21" i="8"/>
  <c r="V21" i="8"/>
  <c r="D22" i="8"/>
  <c r="I22" i="8"/>
  <c r="O22" i="8"/>
  <c r="T22" i="8"/>
  <c r="B23" i="8"/>
  <c r="H23" i="8"/>
  <c r="M23" i="8"/>
  <c r="R23" i="8"/>
  <c r="V23" i="8"/>
  <c r="C24" i="8"/>
  <c r="G24" i="8"/>
  <c r="K24" i="8"/>
  <c r="O24" i="8"/>
  <c r="S24" i="8"/>
  <c r="W24" i="8"/>
  <c r="U2" i="8"/>
  <c r="T3" i="8"/>
  <c r="R4" i="8"/>
  <c r="J5" i="8"/>
  <c r="U5" i="8"/>
  <c r="H6" i="8"/>
  <c r="S6" i="8"/>
  <c r="G7" i="8"/>
  <c r="Q7" i="8"/>
  <c r="E8" i="8"/>
  <c r="P8" i="8"/>
  <c r="C9" i="8"/>
  <c r="N9" i="8"/>
  <c r="B10" i="8"/>
  <c r="L10" i="8"/>
  <c r="W10" i="8"/>
  <c r="K11" i="8"/>
  <c r="U11" i="8"/>
  <c r="I12" i="8"/>
  <c r="T12" i="8"/>
  <c r="G13" i="8"/>
  <c r="R13" i="8"/>
  <c r="F14" i="8"/>
  <c r="P14" i="8"/>
  <c r="D15" i="8"/>
  <c r="M15" i="8"/>
  <c r="U15" i="8"/>
  <c r="F16" i="8"/>
  <c r="N16" i="8"/>
  <c r="V16" i="8"/>
  <c r="G17" i="8"/>
  <c r="O17" i="8"/>
  <c r="W17" i="8"/>
  <c r="G18" i="8"/>
  <c r="L18" i="8"/>
  <c r="Q18" i="8"/>
  <c r="W18" i="8"/>
  <c r="E19" i="8"/>
  <c r="J19" i="8"/>
  <c r="P19" i="8"/>
  <c r="U19" i="8"/>
  <c r="C20" i="8"/>
  <c r="I20" i="8"/>
  <c r="N20" i="8"/>
  <c r="S20" i="8"/>
  <c r="B21" i="8"/>
  <c r="G21" i="8"/>
  <c r="L21" i="8"/>
  <c r="R21" i="8"/>
  <c r="W21" i="8"/>
  <c r="E22" i="8"/>
  <c r="K22" i="8"/>
  <c r="P22" i="8"/>
  <c r="U22" i="8"/>
  <c r="D23" i="8"/>
  <c r="I23" i="8"/>
  <c r="N23" i="8"/>
  <c r="S23" i="8"/>
  <c r="W23" i="8"/>
  <c r="D24" i="8"/>
  <c r="H24" i="8"/>
  <c r="L24" i="8"/>
  <c r="P24" i="8"/>
  <c r="T24" i="8"/>
  <c r="F3" i="8"/>
  <c r="C5" i="8"/>
  <c r="B6" i="8"/>
  <c r="W6" i="8"/>
  <c r="U7" i="8"/>
  <c r="T8" i="8"/>
  <c r="R9" i="8"/>
  <c r="P10" i="8"/>
  <c r="O11" i="8"/>
  <c r="M12" i="8"/>
  <c r="K13" i="8"/>
  <c r="J14" i="8"/>
  <c r="H15" i="8"/>
  <c r="A16" i="8"/>
  <c r="Q16" i="8"/>
  <c r="J17" i="8"/>
  <c r="C18" i="8"/>
  <c r="M18" i="8"/>
  <c r="A19" i="8"/>
  <c r="L19" i="8"/>
  <c r="V19" i="8"/>
  <c r="J20" i="8"/>
  <c r="U20" i="8"/>
  <c r="H21" i="8"/>
  <c r="S21" i="8"/>
  <c r="G22" i="8"/>
  <c r="Q22" i="8"/>
  <c r="E23" i="8"/>
  <c r="P23" i="8"/>
  <c r="A24" i="8"/>
  <c r="I24" i="8"/>
  <c r="Q24" i="8"/>
  <c r="I3" i="8"/>
  <c r="E5" i="8"/>
  <c r="C6" i="8"/>
  <c r="A7" i="8"/>
  <c r="W7" i="8"/>
  <c r="U8" i="8"/>
  <c r="S9" i="8"/>
  <c r="R10" i="8"/>
  <c r="P11" i="8"/>
  <c r="N12" i="8"/>
  <c r="M13" i="8"/>
  <c r="K14" i="8"/>
  <c r="I15" i="8"/>
  <c r="B16" i="8"/>
  <c r="R16" i="8"/>
  <c r="K17" i="8"/>
  <c r="D18" i="8"/>
  <c r="O18" i="8"/>
  <c r="B19" i="8"/>
  <c r="M19" i="8"/>
  <c r="A20" i="8"/>
  <c r="K20" i="8"/>
  <c r="V20" i="8"/>
  <c r="J21" i="8"/>
  <c r="T21" i="8"/>
  <c r="H22" i="8"/>
  <c r="S22" i="8"/>
  <c r="F23" i="8"/>
  <c r="Q23" i="8"/>
  <c r="B24" i="8"/>
  <c r="J24" i="8"/>
  <c r="R24" i="8"/>
  <c r="H2" i="8"/>
  <c r="N5" i="8"/>
  <c r="K7" i="8"/>
  <c r="G9" i="8"/>
  <c r="D11" i="8"/>
  <c r="A13" i="8"/>
  <c r="T14" i="8"/>
  <c r="I16" i="8"/>
  <c r="R17" i="8"/>
  <c r="S18" i="8"/>
  <c r="Q19" i="8"/>
  <c r="O20" i="8"/>
  <c r="N21" i="8"/>
  <c r="L22" i="8"/>
  <c r="J23" i="8"/>
  <c r="E24" i="8"/>
  <c r="U24" i="8"/>
  <c r="K2" i="8"/>
  <c r="O5" i="8"/>
  <c r="L7" i="8"/>
  <c r="I9" i="8"/>
  <c r="E11" i="8"/>
  <c r="B13" i="8"/>
  <c r="V14" i="8"/>
  <c r="J16" i="8"/>
  <c r="S17" i="8"/>
  <c r="T18" i="8"/>
  <c r="R19" i="8"/>
  <c r="Q20" i="8"/>
  <c r="O21" i="8"/>
  <c r="M22" i="8"/>
  <c r="L23" i="8"/>
  <c r="F24" i="8"/>
  <c r="V24" i="8"/>
  <c r="E4" i="8"/>
  <c r="L6" i="8"/>
  <c r="I8" i="8"/>
  <c r="F10" i="8"/>
  <c r="B12" i="8"/>
  <c r="V13" i="8"/>
  <c r="P15" i="8"/>
  <c r="B17" i="8"/>
  <c r="H18" i="8"/>
  <c r="F19" i="8"/>
  <c r="E20" i="8"/>
  <c r="C21" i="8"/>
  <c r="A22" i="8"/>
  <c r="W22" i="8"/>
  <c r="T23" i="8"/>
  <c r="M24" i="8"/>
  <c r="G10" i="8"/>
  <c r="C17" i="8"/>
  <c r="D21" i="8"/>
  <c r="N24" i="8"/>
  <c r="G4" i="8"/>
  <c r="D12" i="8"/>
  <c r="I18" i="8"/>
  <c r="C22" i="8"/>
  <c r="N6" i="8"/>
  <c r="W13" i="8"/>
  <c r="H19" i="8"/>
  <c r="A23" i="8"/>
  <c r="J8" i="8"/>
  <c r="Q15" i="8"/>
  <c r="F20" i="8"/>
  <c r="U23" i="8"/>
  <c r="A2" i="9" l="1" a="1"/>
  <c r="B2" i="9" l="1"/>
  <c r="F2" i="9"/>
  <c r="J2" i="9"/>
  <c r="N2" i="9"/>
  <c r="R2" i="9"/>
  <c r="V2" i="9"/>
  <c r="Z2" i="9"/>
  <c r="AD2" i="9"/>
  <c r="D3" i="9"/>
  <c r="H3" i="9"/>
  <c r="L3" i="9"/>
  <c r="P3" i="9"/>
  <c r="T3" i="9"/>
  <c r="X3" i="9"/>
  <c r="AB3" i="9"/>
  <c r="B4" i="9"/>
  <c r="F4" i="9"/>
  <c r="J4" i="9"/>
  <c r="N4" i="9"/>
  <c r="R4" i="9"/>
  <c r="V4" i="9"/>
  <c r="Z4" i="9"/>
  <c r="AD4" i="9"/>
  <c r="D5" i="9"/>
  <c r="H5" i="9"/>
  <c r="L5" i="9"/>
  <c r="P5" i="9"/>
  <c r="T5" i="9"/>
  <c r="X5" i="9"/>
  <c r="AB5" i="9"/>
  <c r="B6" i="9"/>
  <c r="F6" i="9"/>
  <c r="J6" i="9"/>
  <c r="N6" i="9"/>
  <c r="R6" i="9"/>
  <c r="C2" i="9"/>
  <c r="G2" i="9"/>
  <c r="K2" i="9"/>
  <c r="O2" i="9"/>
  <c r="S2" i="9"/>
  <c r="W2" i="9"/>
  <c r="AA2" i="9"/>
  <c r="A3" i="9"/>
  <c r="E3" i="9"/>
  <c r="I3" i="9"/>
  <c r="M3" i="9"/>
  <c r="Q3" i="9"/>
  <c r="U3" i="9"/>
  <c r="Y3" i="9"/>
  <c r="AC3" i="9"/>
  <c r="C4" i="9"/>
  <c r="G4" i="9"/>
  <c r="K4" i="9"/>
  <c r="O4" i="9"/>
  <c r="S4" i="9"/>
  <c r="W4" i="9"/>
  <c r="AA4" i="9"/>
  <c r="A5" i="9"/>
  <c r="E5" i="9"/>
  <c r="I5" i="9"/>
  <c r="M5" i="9"/>
  <c r="Q5" i="9"/>
  <c r="U5" i="9"/>
  <c r="Y5" i="9"/>
  <c r="AC5" i="9"/>
  <c r="C6" i="9"/>
  <c r="G6" i="9"/>
  <c r="K6" i="9"/>
  <c r="O6" i="9"/>
  <c r="S6" i="9"/>
  <c r="W6" i="9"/>
  <c r="AA6" i="9"/>
  <c r="A7" i="9"/>
  <c r="E7" i="9"/>
  <c r="I7" i="9"/>
  <c r="M7" i="9"/>
  <c r="Q7" i="9"/>
  <c r="U7" i="9"/>
  <c r="Y7" i="9"/>
  <c r="AC7" i="9"/>
  <c r="C8" i="9"/>
  <c r="G8" i="9"/>
  <c r="K8" i="9"/>
  <c r="O8" i="9"/>
  <c r="S8" i="9"/>
  <c r="W8" i="9"/>
  <c r="AA8" i="9"/>
  <c r="A9" i="9"/>
  <c r="E9" i="9"/>
  <c r="I9" i="9"/>
  <c r="M9" i="9"/>
  <c r="Q9" i="9"/>
  <c r="U9" i="9"/>
  <c r="Y9" i="9"/>
  <c r="AC9" i="9"/>
  <c r="C10" i="9"/>
  <c r="G10" i="9"/>
  <c r="K10" i="9"/>
  <c r="O10" i="9"/>
  <c r="S10" i="9"/>
  <c r="A2" i="9"/>
  <c r="I2" i="9"/>
  <c r="Q2" i="9"/>
  <c r="Y2" i="9"/>
  <c r="C3" i="9"/>
  <c r="K3" i="9"/>
  <c r="S3" i="9"/>
  <c r="AA3" i="9"/>
  <c r="E4" i="9"/>
  <c r="M4" i="9"/>
  <c r="U4" i="9"/>
  <c r="AC4" i="9"/>
  <c r="G5" i="9"/>
  <c r="O5" i="9"/>
  <c r="W5" i="9"/>
  <c r="A6" i="9"/>
  <c r="I6" i="9"/>
  <c r="Q6" i="9"/>
  <c r="X6" i="9"/>
  <c r="AC6" i="9"/>
  <c r="D7" i="9"/>
  <c r="J7" i="9"/>
  <c r="O7" i="9"/>
  <c r="T7" i="9"/>
  <c r="Z7" i="9"/>
  <c r="A8" i="9"/>
  <c r="F8" i="9"/>
  <c r="L8" i="9"/>
  <c r="Q8" i="9"/>
  <c r="V8" i="9"/>
  <c r="AB8" i="9"/>
  <c r="C9" i="9"/>
  <c r="H9" i="9"/>
  <c r="N9" i="9"/>
  <c r="S9" i="9"/>
  <c r="X9" i="9"/>
  <c r="AD9" i="9"/>
  <c r="E10" i="9"/>
  <c r="J10" i="9"/>
  <c r="P10" i="9"/>
  <c r="U10" i="9"/>
  <c r="Y10" i="9"/>
  <c r="AC10" i="9"/>
  <c r="C11" i="9"/>
  <c r="G11" i="9"/>
  <c r="K11" i="9"/>
  <c r="O11" i="9"/>
  <c r="S11" i="9"/>
  <c r="W11" i="9"/>
  <c r="AA11" i="9"/>
  <c r="A12" i="9"/>
  <c r="E12" i="9"/>
  <c r="I12" i="9"/>
  <c r="M12" i="9"/>
  <c r="Q12" i="9"/>
  <c r="U12" i="9"/>
  <c r="Y12" i="9"/>
  <c r="AC12" i="9"/>
  <c r="C13" i="9"/>
  <c r="G13" i="9"/>
  <c r="K13" i="9"/>
  <c r="O13" i="9"/>
  <c r="S13" i="9"/>
  <c r="W13" i="9"/>
  <c r="AA13" i="9"/>
  <c r="A14" i="9"/>
  <c r="E14" i="9"/>
  <c r="I14" i="9"/>
  <c r="M14" i="9"/>
  <c r="Q14" i="9"/>
  <c r="U14" i="9"/>
  <c r="Y14" i="9"/>
  <c r="AC14" i="9"/>
  <c r="C15" i="9"/>
  <c r="G15" i="9"/>
  <c r="K15" i="9"/>
  <c r="O15" i="9"/>
  <c r="S15" i="9"/>
  <c r="W15" i="9"/>
  <c r="AA15" i="9"/>
  <c r="A16" i="9"/>
  <c r="E16" i="9"/>
  <c r="I16" i="9"/>
  <c r="M16" i="9"/>
  <c r="Q16" i="9"/>
  <c r="U16" i="9"/>
  <c r="Y16" i="9"/>
  <c r="AC16" i="9"/>
  <c r="C17" i="9"/>
  <c r="G17" i="9"/>
  <c r="K17" i="9"/>
  <c r="O17" i="9"/>
  <c r="S17" i="9"/>
  <c r="W17" i="9"/>
  <c r="AA17" i="9"/>
  <c r="A18" i="9"/>
  <c r="E18" i="9"/>
  <c r="I18" i="9"/>
  <c r="M18" i="9"/>
  <c r="Q18" i="9"/>
  <c r="U18" i="9"/>
  <c r="Y18" i="9"/>
  <c r="AC18" i="9"/>
  <c r="C19" i="9"/>
  <c r="G19" i="9"/>
  <c r="K19" i="9"/>
  <c r="O19" i="9"/>
  <c r="S19" i="9"/>
  <c r="W19" i="9"/>
  <c r="AA19" i="9"/>
  <c r="A20" i="9"/>
  <c r="E20" i="9"/>
  <c r="I20" i="9"/>
  <c r="M20" i="9"/>
  <c r="Q20" i="9"/>
  <c r="U20" i="9"/>
  <c r="Y20" i="9"/>
  <c r="AC20" i="9"/>
  <c r="C21" i="9"/>
  <c r="G21" i="9"/>
  <c r="K21" i="9"/>
  <c r="O21" i="9"/>
  <c r="S21" i="9"/>
  <c r="W21" i="9"/>
  <c r="AA21" i="9"/>
  <c r="A22" i="9"/>
  <c r="E22" i="9"/>
  <c r="I22" i="9"/>
  <c r="M22" i="9"/>
  <c r="Q22" i="9"/>
  <c r="U22" i="9"/>
  <c r="Y22" i="9"/>
  <c r="AC22" i="9"/>
  <c r="C23" i="9"/>
  <c r="G23" i="9"/>
  <c r="K23" i="9"/>
  <c r="O23" i="9"/>
  <c r="S23" i="9"/>
  <c r="W23" i="9"/>
  <c r="AA23" i="9"/>
  <c r="A24" i="9"/>
  <c r="E24" i="9"/>
  <c r="I24" i="9"/>
  <c r="M24" i="9"/>
  <c r="Q24" i="9"/>
  <c r="U24" i="9"/>
  <c r="Y24" i="9"/>
  <c r="AC24" i="9"/>
  <c r="H2" i="9"/>
  <c r="T2" i="9"/>
  <c r="AC2" i="9"/>
  <c r="J3" i="9"/>
  <c r="V3" i="9"/>
  <c r="A4" i="9"/>
  <c r="L4" i="9"/>
  <c r="X4" i="9"/>
  <c r="C5" i="9"/>
  <c r="N5" i="9"/>
  <c r="Z5" i="9"/>
  <c r="E6" i="9"/>
  <c r="P6" i="9"/>
  <c r="Y6" i="9"/>
  <c r="B7" i="9"/>
  <c r="H7" i="9"/>
  <c r="P7" i="9"/>
  <c r="W7" i="9"/>
  <c r="AD7" i="9"/>
  <c r="H8" i="9"/>
  <c r="N8" i="9"/>
  <c r="U8" i="9"/>
  <c r="AC8" i="9"/>
  <c r="F9" i="9"/>
  <c r="L9" i="9"/>
  <c r="T9" i="9"/>
  <c r="AA9" i="9"/>
  <c r="D10" i="9"/>
  <c r="L10" i="9"/>
  <c r="R10" i="9"/>
  <c r="X10" i="9"/>
  <c r="AD10" i="9"/>
  <c r="E11" i="9"/>
  <c r="J11" i="9"/>
  <c r="P11" i="9"/>
  <c r="U11" i="9"/>
  <c r="Z11" i="9"/>
  <c r="B12" i="9"/>
  <c r="G12" i="9"/>
  <c r="L12" i="9"/>
  <c r="R12" i="9"/>
  <c r="W12" i="9"/>
  <c r="AB12" i="9"/>
  <c r="D13" i="9"/>
  <c r="I13" i="9"/>
  <c r="N13" i="9"/>
  <c r="T13" i="9"/>
  <c r="Y13" i="9"/>
  <c r="AD13" i="9"/>
  <c r="F14" i="9"/>
  <c r="K14" i="9"/>
  <c r="P14" i="9"/>
  <c r="V14" i="9"/>
  <c r="AA14" i="9"/>
  <c r="B15" i="9"/>
  <c r="H15" i="9"/>
  <c r="M15" i="9"/>
  <c r="R15" i="9"/>
  <c r="X15" i="9"/>
  <c r="AC15" i="9"/>
  <c r="D16" i="9"/>
  <c r="J16" i="9"/>
  <c r="O16" i="9"/>
  <c r="T16" i="9"/>
  <c r="Z16" i="9"/>
  <c r="A17" i="9"/>
  <c r="F17" i="9"/>
  <c r="L17" i="9"/>
  <c r="Q17" i="9"/>
  <c r="V17" i="9"/>
  <c r="AB17" i="9"/>
  <c r="C18" i="9"/>
  <c r="H18" i="9"/>
  <c r="N18" i="9"/>
  <c r="S18" i="9"/>
  <c r="X18" i="9"/>
  <c r="AD18" i="9"/>
  <c r="E19" i="9"/>
  <c r="J19" i="9"/>
  <c r="P19" i="9"/>
  <c r="U19" i="9"/>
  <c r="Z19" i="9"/>
  <c r="B20" i="9"/>
  <c r="D2" i="9"/>
  <c r="M2" i="9"/>
  <c r="X2" i="9"/>
  <c r="F3" i="9"/>
  <c r="O3" i="9"/>
  <c r="Z3" i="9"/>
  <c r="H4" i="9"/>
  <c r="Q4" i="9"/>
  <c r="AB4" i="9"/>
  <c r="J5" i="9"/>
  <c r="S5" i="9"/>
  <c r="AD5" i="9"/>
  <c r="L6" i="9"/>
  <c r="U6" i="9"/>
  <c r="AB6" i="9"/>
  <c r="F7" i="9"/>
  <c r="L7" i="9"/>
  <c r="S7" i="9"/>
  <c r="AA7" i="9"/>
  <c r="D8" i="9"/>
  <c r="J8" i="9"/>
  <c r="R8" i="9"/>
  <c r="Y8" i="9"/>
  <c r="B9" i="9"/>
  <c r="J9" i="9"/>
  <c r="P9" i="9"/>
  <c r="W9" i="9"/>
  <c r="A10" i="9"/>
  <c r="H10" i="9"/>
  <c r="N10" i="9"/>
  <c r="V10" i="9"/>
  <c r="AA10" i="9"/>
  <c r="B11" i="9"/>
  <c r="H11" i="9"/>
  <c r="M11" i="9"/>
  <c r="R11" i="9"/>
  <c r="X11" i="9"/>
  <c r="AC11" i="9"/>
  <c r="D12" i="9"/>
  <c r="J12" i="9"/>
  <c r="O12" i="9"/>
  <c r="T12" i="9"/>
  <c r="Z12" i="9"/>
  <c r="A13" i="9"/>
  <c r="F13" i="9"/>
  <c r="L13" i="9"/>
  <c r="Q13" i="9"/>
  <c r="V13" i="9"/>
  <c r="AB13" i="9"/>
  <c r="E2" i="9"/>
  <c r="P2" i="9"/>
  <c r="AB2" i="9"/>
  <c r="G3" i="9"/>
  <c r="R3" i="9"/>
  <c r="AD3" i="9"/>
  <c r="I4" i="9"/>
  <c r="T4" i="9"/>
  <c r="B5" i="9"/>
  <c r="K5" i="9"/>
  <c r="V5" i="9"/>
  <c r="D6" i="9"/>
  <c r="M6" i="9"/>
  <c r="V6" i="9"/>
  <c r="AD6" i="9"/>
  <c r="G7" i="9"/>
  <c r="N7" i="9"/>
  <c r="V7" i="9"/>
  <c r="AB7" i="9"/>
  <c r="E8" i="9"/>
  <c r="M8" i="9"/>
  <c r="T8" i="9"/>
  <c r="Z8" i="9"/>
  <c r="D9" i="9"/>
  <c r="K9" i="9"/>
  <c r="R9" i="9"/>
  <c r="N3" i="9"/>
  <c r="Y4" i="9"/>
  <c r="H6" i="9"/>
  <c r="K7" i="9"/>
  <c r="I8" i="9"/>
  <c r="G9" i="9"/>
  <c r="AB9" i="9"/>
  <c r="M10" i="9"/>
  <c r="Z10" i="9"/>
  <c r="F11" i="9"/>
  <c r="Q11" i="9"/>
  <c r="AB11" i="9"/>
  <c r="H12" i="9"/>
  <c r="S12" i="9"/>
  <c r="AD12" i="9"/>
  <c r="J13" i="9"/>
  <c r="U13" i="9"/>
  <c r="B14" i="9"/>
  <c r="H14" i="9"/>
  <c r="O14" i="9"/>
  <c r="W14" i="9"/>
  <c r="AD14" i="9"/>
  <c r="F15" i="9"/>
  <c r="N15" i="9"/>
  <c r="U15" i="9"/>
  <c r="AB15" i="9"/>
  <c r="F16" i="9"/>
  <c r="L16" i="9"/>
  <c r="S16" i="9"/>
  <c r="AA16" i="9"/>
  <c r="D17" i="9"/>
  <c r="J17" i="9"/>
  <c r="R17" i="9"/>
  <c r="Y17" i="9"/>
  <c r="B18" i="9"/>
  <c r="J18" i="9"/>
  <c r="P18" i="9"/>
  <c r="W18" i="9"/>
  <c r="A19" i="9"/>
  <c r="H19" i="9"/>
  <c r="N19" i="9"/>
  <c r="V19" i="9"/>
  <c r="AC19" i="9"/>
  <c r="F20" i="9"/>
  <c r="K20" i="9"/>
  <c r="P20" i="9"/>
  <c r="V20" i="9"/>
  <c r="AA20" i="9"/>
  <c r="B21" i="9"/>
  <c r="H21" i="9"/>
  <c r="M21" i="9"/>
  <c r="R21" i="9"/>
  <c r="X21" i="9"/>
  <c r="AC21" i="9"/>
  <c r="D22" i="9"/>
  <c r="J22" i="9"/>
  <c r="O22" i="9"/>
  <c r="T22" i="9"/>
  <c r="Z22" i="9"/>
  <c r="A23" i="9"/>
  <c r="F23" i="9"/>
  <c r="L23" i="9"/>
  <c r="Q23" i="9"/>
  <c r="V23" i="9"/>
  <c r="AB23" i="9"/>
  <c r="C24" i="9"/>
  <c r="H24" i="9"/>
  <c r="N24" i="9"/>
  <c r="S24" i="9"/>
  <c r="X24" i="9"/>
  <c r="AD24" i="9"/>
  <c r="L2" i="9"/>
  <c r="W3" i="9"/>
  <c r="F5" i="9"/>
  <c r="T6" i="9"/>
  <c r="R7" i="9"/>
  <c r="P8" i="9"/>
  <c r="O9" i="9"/>
  <c r="B10" i="9"/>
  <c r="Q10" i="9"/>
  <c r="AB10" i="9"/>
  <c r="I11" i="9"/>
  <c r="T11" i="9"/>
  <c r="AD11" i="9"/>
  <c r="K12" i="9"/>
  <c r="V12" i="9"/>
  <c r="B13" i="9"/>
  <c r="M13" i="9"/>
  <c r="X13" i="9"/>
  <c r="C14" i="9"/>
  <c r="J14" i="9"/>
  <c r="R14" i="9"/>
  <c r="X14" i="9"/>
  <c r="A15" i="9"/>
  <c r="I15" i="9"/>
  <c r="P15" i="9"/>
  <c r="V15" i="9"/>
  <c r="AD15" i="9"/>
  <c r="G16" i="9"/>
  <c r="N16" i="9"/>
  <c r="V16" i="9"/>
  <c r="AB16" i="9"/>
  <c r="E17" i="9"/>
  <c r="M17" i="9"/>
  <c r="T17" i="9"/>
  <c r="Z17" i="9"/>
  <c r="D18" i="9"/>
  <c r="K18" i="9"/>
  <c r="R18" i="9"/>
  <c r="Z18" i="9"/>
  <c r="B19" i="9"/>
  <c r="I19" i="9"/>
  <c r="Q19" i="9"/>
  <c r="X19" i="9"/>
  <c r="AD19" i="9"/>
  <c r="G20" i="9"/>
  <c r="L20" i="9"/>
  <c r="R20" i="9"/>
  <c r="W20" i="9"/>
  <c r="AB20" i="9"/>
  <c r="D21" i="9"/>
  <c r="I21" i="9"/>
  <c r="N21" i="9"/>
  <c r="T21" i="9"/>
  <c r="Y21" i="9"/>
  <c r="AD21" i="9"/>
  <c r="F22" i="9"/>
  <c r="K22" i="9"/>
  <c r="P22" i="9"/>
  <c r="V22" i="9"/>
  <c r="AA22" i="9"/>
  <c r="B23" i="9"/>
  <c r="H23" i="9"/>
  <c r="M23" i="9"/>
  <c r="R23" i="9"/>
  <c r="X23" i="9"/>
  <c r="AC23" i="9"/>
  <c r="D24" i="9"/>
  <c r="J24" i="9"/>
  <c r="O24" i="9"/>
  <c r="T24" i="9"/>
  <c r="Z24" i="9"/>
  <c r="U2" i="9"/>
  <c r="D4" i="9"/>
  <c r="R5" i="9"/>
  <c r="Z6" i="9"/>
  <c r="X7" i="9"/>
  <c r="X8" i="9"/>
  <c r="V9" i="9"/>
  <c r="F10" i="9"/>
  <c r="T10" i="9"/>
  <c r="A11" i="9"/>
  <c r="L11" i="9"/>
  <c r="V11" i="9"/>
  <c r="C12" i="9"/>
  <c r="N12" i="9"/>
  <c r="X12" i="9"/>
  <c r="E13" i="9"/>
  <c r="P13" i="9"/>
  <c r="Z13" i="9"/>
  <c r="D14" i="9"/>
  <c r="L14" i="9"/>
  <c r="S14" i="9"/>
  <c r="Z14" i="9"/>
  <c r="D15" i="9"/>
  <c r="J15" i="9"/>
  <c r="Q15" i="9"/>
  <c r="Y15" i="9"/>
  <c r="B16" i="9"/>
  <c r="H16" i="9"/>
  <c r="P16" i="9"/>
  <c r="W16" i="9"/>
  <c r="AD16" i="9"/>
  <c r="H17" i="9"/>
  <c r="N17" i="9"/>
  <c r="U17" i="9"/>
  <c r="AC17" i="9"/>
  <c r="F18" i="9"/>
  <c r="L18" i="9"/>
  <c r="T18" i="9"/>
  <c r="AA18" i="9"/>
  <c r="D19" i="9"/>
  <c r="L19" i="9"/>
  <c r="R19" i="9"/>
  <c r="Y19" i="9"/>
  <c r="C20" i="9"/>
  <c r="H20" i="9"/>
  <c r="N20" i="9"/>
  <c r="S20" i="9"/>
  <c r="X20" i="9"/>
  <c r="AD20" i="9"/>
  <c r="E21" i="9"/>
  <c r="J21" i="9"/>
  <c r="P21" i="9"/>
  <c r="U21" i="9"/>
  <c r="Z21" i="9"/>
  <c r="B22" i="9"/>
  <c r="G22" i="9"/>
  <c r="L22" i="9"/>
  <c r="R22" i="9"/>
  <c r="W22" i="9"/>
  <c r="AB22" i="9"/>
  <c r="D23" i="9"/>
  <c r="I23" i="9"/>
  <c r="N23" i="9"/>
  <c r="T23" i="9"/>
  <c r="Y23" i="9"/>
  <c r="AD23" i="9"/>
  <c r="F24" i="9"/>
  <c r="K24" i="9"/>
  <c r="P24" i="9"/>
  <c r="V24" i="9"/>
  <c r="AA24" i="9"/>
  <c r="B3" i="9"/>
  <c r="B8" i="9"/>
  <c r="W10" i="9"/>
  <c r="F12" i="9"/>
  <c r="R13" i="9"/>
  <c r="T14" i="9"/>
  <c r="T15" i="9"/>
  <c r="R16" i="9"/>
  <c r="P17" i="9"/>
  <c r="O18" i="9"/>
  <c r="M19" i="9"/>
  <c r="J20" i="9"/>
  <c r="A21" i="9"/>
  <c r="V21" i="9"/>
  <c r="N22" i="9"/>
  <c r="E23" i="9"/>
  <c r="Z23" i="9"/>
  <c r="R24" i="9"/>
  <c r="AA5" i="9"/>
  <c r="Z9" i="9"/>
  <c r="N11" i="9"/>
  <c r="AA12" i="9"/>
  <c r="G14" i="9"/>
  <c r="E15" i="9"/>
  <c r="C16" i="9"/>
  <c r="B17" i="9"/>
  <c r="AD17" i="9"/>
  <c r="AB18" i="9"/>
  <c r="AB19" i="9"/>
  <c r="T20" i="9"/>
  <c r="L21" i="9"/>
  <c r="C7" i="9"/>
  <c r="I10" i="9"/>
  <c r="Y11" i="9"/>
  <c r="H13" i="9"/>
  <c r="N14" i="9"/>
  <c r="L15" i="9"/>
  <c r="K16" i="9"/>
  <c r="I17" i="9"/>
  <c r="G18" i="9"/>
  <c r="F19" i="9"/>
  <c r="D20" i="9"/>
  <c r="Z20" i="9"/>
  <c r="Q21" i="9"/>
  <c r="H22" i="9"/>
  <c r="AD22" i="9"/>
  <c r="U23" i="9"/>
  <c r="L24" i="9"/>
  <c r="AD8" i="9"/>
  <c r="AB14" i="9"/>
  <c r="V18" i="9"/>
  <c r="AB21" i="9"/>
  <c r="J23" i="9"/>
  <c r="W24" i="9"/>
  <c r="D11" i="9"/>
  <c r="Z15" i="9"/>
  <c r="T19" i="9"/>
  <c r="C22" i="9"/>
  <c r="P23" i="9"/>
  <c r="AB24" i="9"/>
  <c r="P12" i="9"/>
  <c r="O20" i="9"/>
  <c r="B24" i="9"/>
  <c r="AC13" i="9"/>
  <c r="F21" i="9"/>
  <c r="G24" i="9"/>
  <c r="X16" i="9"/>
  <c r="X17" i="9"/>
  <c r="S22" i="9"/>
  <c r="X22" i="9"/>
  <c r="P4" i="9"/>
  <c r="B3" i="10" l="1" a="1"/>
  <c r="B4" i="10" l="1"/>
  <c r="B8" i="10"/>
  <c r="B12" i="10"/>
  <c r="B16" i="10"/>
  <c r="B20" i="10"/>
  <c r="B24" i="10"/>
  <c r="B5" i="10"/>
  <c r="B9" i="10"/>
  <c r="B13" i="10"/>
  <c r="B17" i="10"/>
  <c r="B21" i="10"/>
  <c r="B25" i="10"/>
  <c r="B10" i="10"/>
  <c r="B18" i="10"/>
  <c r="B3" i="10"/>
  <c r="B11" i="10"/>
  <c r="B19" i="10"/>
  <c r="B6" i="10"/>
  <c r="B22" i="10"/>
  <c r="B14" i="10"/>
  <c r="B15" i="10"/>
  <c r="B23" i="10"/>
  <c r="B7" i="10"/>
  <c r="B23" i="11" l="1"/>
</calcChain>
</file>

<file path=xl/sharedStrings.xml><?xml version="1.0" encoding="utf-8"?>
<sst xmlns="http://schemas.openxmlformats.org/spreadsheetml/2006/main" count="157" uniqueCount="86">
  <si>
    <t>C(1)</t>
  </si>
  <si>
    <t>C(2)</t>
  </si>
  <si>
    <t>C(3)</t>
  </si>
  <si>
    <t>Distância Máxima Entre os Polos</t>
  </si>
  <si>
    <t>sigma ao 2</t>
  </si>
  <si>
    <t>lições (1)</t>
  </si>
  <si>
    <t>Matrix de Base Radial [R]</t>
  </si>
  <si>
    <t>Matrix [R]^t.[R]</t>
  </si>
  <si>
    <t>Matrix ([R]^t.[R])^(-1)</t>
  </si>
  <si>
    <t>Matrix (((R)^t.(R))^(-1)).(R)^t</t>
  </si>
  <si>
    <t>solução</t>
  </si>
  <si>
    <t>([VS]=(1/[R]).[a]</t>
  </si>
  <si>
    <t>Função de Basa Radial</t>
  </si>
  <si>
    <t>VS(1)</t>
  </si>
  <si>
    <t>VS(2)</t>
  </si>
  <si>
    <t>VS(3)</t>
  </si>
  <si>
    <t>b</t>
  </si>
  <si>
    <t>Média</t>
  </si>
  <si>
    <t>Tabela Teórica</t>
  </si>
  <si>
    <t>Número de Polos (P)</t>
  </si>
  <si>
    <t>Matrix (R)^t</t>
  </si>
  <si>
    <t>Descrição</t>
  </si>
  <si>
    <t>C(4)</t>
  </si>
  <si>
    <t>C(5)</t>
  </si>
  <si>
    <t>C(6)</t>
  </si>
  <si>
    <t>VS(4)</t>
  </si>
  <si>
    <t>VS(5)</t>
  </si>
  <si>
    <t>VS(6)</t>
  </si>
  <si>
    <t>Coeficiente de Acerto (R^2)</t>
  </si>
  <si>
    <t>R^2</t>
  </si>
  <si>
    <t>Lições</t>
  </si>
  <si>
    <t>Idade</t>
  </si>
  <si>
    <t>Sexo</t>
  </si>
  <si>
    <t>Ultra-som
5 mim</t>
  </si>
  <si>
    <t>Ultra-som
10 min</t>
  </si>
  <si>
    <t>Ultra-som
15 min</t>
  </si>
  <si>
    <t>Choque
15 min</t>
  </si>
  <si>
    <t>Choque
20 min</t>
  </si>
  <si>
    <t>Gelo
10 min</t>
  </si>
  <si>
    <t>Gelo
15 min</t>
  </si>
  <si>
    <t>Calor
10 min</t>
  </si>
  <si>
    <t>Calor
15 min</t>
  </si>
  <si>
    <t>Exercíci A
10 min</t>
  </si>
  <si>
    <t>Exercíci A
15 min</t>
  </si>
  <si>
    <t>Exercíci B
10 min</t>
  </si>
  <si>
    <t>Exercíci B
15 min</t>
  </si>
  <si>
    <t>Alongamento
A</t>
  </si>
  <si>
    <t>Alongamento
B</t>
  </si>
  <si>
    <t>Alongamento
C</t>
  </si>
  <si>
    <t>Remédio
A</t>
  </si>
  <si>
    <t>Remédio
B</t>
  </si>
  <si>
    <t>Remédio
C</t>
  </si>
  <si>
    <t>Remédio
D</t>
  </si>
  <si>
    <t>Número de Seções de Fisioterapia</t>
  </si>
  <si>
    <t>C(7)</t>
  </si>
  <si>
    <t>C(8)</t>
  </si>
  <si>
    <t>C(9)</t>
  </si>
  <si>
    <t>C(10)</t>
  </si>
  <si>
    <t>C(11)</t>
  </si>
  <si>
    <t>C(12)</t>
  </si>
  <si>
    <t>C(13)</t>
  </si>
  <si>
    <t>C(14)</t>
  </si>
  <si>
    <t>C(15)</t>
  </si>
  <si>
    <t>C(16)</t>
  </si>
  <si>
    <t>C(17)</t>
  </si>
  <si>
    <t>C(18)</t>
  </si>
  <si>
    <t>C(19)</t>
  </si>
  <si>
    <t>C(20)</t>
  </si>
  <si>
    <t>C(21)</t>
  </si>
  <si>
    <t>C(22)</t>
  </si>
  <si>
    <t>VS(7)</t>
  </si>
  <si>
    <t>VS(8)</t>
  </si>
  <si>
    <t>VS(9)</t>
  </si>
  <si>
    <t>VS(10)</t>
  </si>
  <si>
    <t>VS(11)</t>
  </si>
  <si>
    <t>VS(12)</t>
  </si>
  <si>
    <t>VS(13)</t>
  </si>
  <si>
    <t>VS(14)</t>
  </si>
  <si>
    <t>VS(15)</t>
  </si>
  <si>
    <t>VS(16)</t>
  </si>
  <si>
    <t>VS(17)</t>
  </si>
  <si>
    <t>VS(18)</t>
  </si>
  <si>
    <t>VS(19)</t>
  </si>
  <si>
    <t>VS(20)</t>
  </si>
  <si>
    <t>VS(21)</t>
  </si>
  <si>
    <t>VS(22)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</si>
</sst>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A5A5A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">
    <xf numFmtId="0" fontId="0" fillId="0" borderId="0"/>
    <xf numFmtId="0" fontId="1" fillId="2" borderId="2" applyNumberFormat="0" applyAlignment="0" applyProtection="0"/>
    <xf numFmtId="0" fontId="2" fillId="2" borderId="1" applyNumberFormat="0" applyAlignment="0" applyProtection="0"/>
    <xf numFmtId="0" fontId="3" fillId="3" borderId="3" applyNumberFormat="0" applyAlignment="0" applyProtection="0"/>
  </cellStyleXfs>
  <cellXfs count="9">
    <xf numFmtId="0" fontId="0" fillId="0" borderId="0" xfId="0"/>
    <xf numFmtId="0" fontId="4" fillId="3" borderId="3" xfId="3" applyFont="1" applyProtection="1">
      <protection hidden="1"/>
    </xf>
    <xf numFmtId="0" fontId="1" fillId="2" borderId="2" xfId="1" applyProtection="1">
      <protection locked="0" hidden="1"/>
    </xf>
    <xf numFmtId="164" fontId="2" fillId="2" borderId="1" xfId="2" applyNumberFormat="1" applyProtection="1">
      <protection hidden="1"/>
    </xf>
    <xf numFmtId="0" fontId="0" fillId="0" borderId="0" xfId="0"/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3" borderId="3" xfId="3" applyFont="1" applyAlignment="1" applyProtection="1">
      <alignment wrapText="1"/>
      <protection hidden="1"/>
    </xf>
  </cellXfs>
  <cellStyles count="4">
    <cellStyle name="Cálculo" xfId="2" builtinId="22"/>
    <cellStyle name="Célula de Verificação" xfId="3" builtinId="23"/>
    <cellStyle name="Normal" xfId="0" builtinId="0"/>
    <cellStyle name="Saída" xfId="1" builtinId="21"/>
  </cellStyles>
  <dxfs count="3"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3</xdr:row>
          <xdr:rowOff>160020</xdr:rowOff>
        </xdr:from>
        <xdr:to>
          <xdr:col>14</xdr:col>
          <xdr:colOff>129540</xdr:colOff>
          <xdr:row>16</xdr:row>
          <xdr:rowOff>53340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Formulário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F965F95-2672-4E64-8563-A0C645707B2E}" name="Tabela2" displayName="Tabela2" ref="A1:X31" totalsRowShown="0" headerRowDxfId="2">
  <tableColumns count="24">
    <tableColumn id="1" xr3:uid="{78003E81-B571-48DA-A01D-8E29612265D1}" name="Lições"/>
    <tableColumn id="24" xr3:uid="{59462AF0-5053-477B-A0D5-2771E6948DC0}" name="Idade"/>
    <tableColumn id="2" xr3:uid="{88CD4F49-7B67-4215-98C1-9BFB163B17DC}" name="Sexo"/>
    <tableColumn id="3" xr3:uid="{1C8D9B16-7673-4697-A447-23FCCC861A41}" name="Ultra-som_x000a_5 mim"/>
    <tableColumn id="4" xr3:uid="{1E922D20-C92C-4B12-9DEC-5BCDCD2E5DE8}" name="Ultra-som_x000a_10 min"/>
    <tableColumn id="5" xr3:uid="{8D75A439-3BEE-4476-AA70-6CFD11DC61E8}" name="Ultra-som_x000a_15 min"/>
    <tableColumn id="6" xr3:uid="{D19D8FFE-5BBF-4EDE-AAF7-B251C3B61EE9}" name="Choque_x000a_15 min"/>
    <tableColumn id="7" xr3:uid="{8679D26E-BAED-458F-8F8B-D99FBB4A3793}" name="Choque_x000a_20 min"/>
    <tableColumn id="8" xr3:uid="{AD16090D-0889-4951-92DC-33DB1DE82540}" name="Gelo_x000a_10 min"/>
    <tableColumn id="9" xr3:uid="{856BCA6E-F61B-4C3D-A6CF-310EAA01EF65}" name="Gelo_x000a_15 min"/>
    <tableColumn id="10" xr3:uid="{1DD4F514-6C74-4D98-9254-FC423322C87C}" name="Calor_x000a_10 min"/>
    <tableColumn id="11" xr3:uid="{4D81A76A-354F-4CF9-95F9-98C3FC798518}" name="Calor_x000a_15 min"/>
    <tableColumn id="20" xr3:uid="{518C86C9-74B3-4CDE-9870-C6E3A6450C2C}" name="Exercíci A_x000a_10 min"/>
    <tableColumn id="19" xr3:uid="{2E795AD3-A9B0-4DE8-8790-27543D20A769}" name="Exercíci A_x000a_15 min"/>
    <tableColumn id="22" xr3:uid="{911B8B43-446C-4692-9361-70E3BA4566A8}" name="Exercíci B_x000a_10 min"/>
    <tableColumn id="21" xr3:uid="{B8DF9825-1A55-4021-8535-4DC890614696}" name="Exercíci B_x000a_15 min"/>
    <tableColumn id="12" xr3:uid="{859CF17D-B01C-4B0F-8F48-23EAEE43F07D}" name="Alongamento_x000a_A"/>
    <tableColumn id="13" xr3:uid="{4C0298D4-6751-49E3-9DF8-9C0EE1CB75E6}" name="Alongamento_x000a_B"/>
    <tableColumn id="14" xr3:uid="{B0648CBF-EB65-4403-A43B-F7A9B5C60929}" name="Alongamento_x000a_C"/>
    <tableColumn id="15" xr3:uid="{28A52671-11B5-4614-8362-6F2B1E595447}" name="Remédio_x000a_A"/>
    <tableColumn id="16" xr3:uid="{2BF14474-7DDD-451F-A39D-B3C1A7FD1FDF}" name="Remédio_x000a_B"/>
    <tableColumn id="17" xr3:uid="{8FEBF73D-B449-4E70-96AA-B5FC2AF14B1D}" name="Remédio_x000a_C"/>
    <tableColumn id="18" xr3:uid="{247168DC-6853-4E78-BB7A-733B667DDFD6}" name="Remédio_x000a_D"/>
    <tableColumn id="23" xr3:uid="{77E21036-27A0-49E0-AE33-A472D1DE8414}" name="Número de Seções de Fisioterapi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A5C18A-2D56-4941-84A8-96EE84313509}" name="Tabela23" displayName="Tabela23" ref="A1:X31" totalsRowShown="0" headerRowDxfId="1">
  <tableColumns count="24">
    <tableColumn id="1" xr3:uid="{5FE052C7-CEE3-4A26-8F8B-6604252D6AE3}" name="Lições"/>
    <tableColumn id="24" xr3:uid="{2DE35BCB-C942-40F0-9107-470F545E15D7}" name="Idade"/>
    <tableColumn id="2" xr3:uid="{76C3C444-E84D-4708-A0AC-4D7DA529AE69}" name="Sexo"/>
    <tableColumn id="3" xr3:uid="{3EA1CBE7-5705-4B9E-93EC-894F14FA7C29}" name="Ultra-som_x000a_5 mim"/>
    <tableColumn id="4" xr3:uid="{0FF25673-BCEF-43AD-B450-89E6AD336686}" name="Ultra-som_x000a_10 min"/>
    <tableColumn id="5" xr3:uid="{D68D4C98-D6A7-4F3F-8DFA-5CB3ADCC6E09}" name="Ultra-som_x000a_15 min"/>
    <tableColumn id="6" xr3:uid="{A210036F-6523-4DD4-8E44-5B6CC7EDE88A}" name="Choque_x000a_15 min"/>
    <tableColumn id="7" xr3:uid="{57A825B5-E9CB-4485-A911-56BD009751E3}" name="Choque_x000a_20 min"/>
    <tableColumn id="8" xr3:uid="{3B905BEA-234C-4C84-96A2-0AEEBCCAAADD}" name="Gelo_x000a_10 min"/>
    <tableColumn id="9" xr3:uid="{7EF91ACE-E6F5-4EDF-9099-00CBCF09F815}" name="Gelo_x000a_15 min"/>
    <tableColumn id="10" xr3:uid="{98910DC5-D0EC-49DC-B5A0-D5BC5BEF7C82}" name="Calor_x000a_10 min"/>
    <tableColumn id="11" xr3:uid="{2E656D82-85D2-47DE-BF5F-DDAFA2547D1B}" name="Calor_x000a_15 min"/>
    <tableColumn id="20" xr3:uid="{B2DE6528-4370-4F6C-817D-3484604D387E}" name="Exercíci A_x000a_10 min"/>
    <tableColumn id="19" xr3:uid="{AECA5760-6A51-40AC-9F97-C3F654FBF573}" name="Exercíci A_x000a_15 min"/>
    <tableColumn id="22" xr3:uid="{567CF478-C531-4F43-AF4C-09E65D554207}" name="Exercíci B_x000a_10 min"/>
    <tableColumn id="21" xr3:uid="{5FB93955-4043-4F5C-B20B-54A45355912C}" name="Exercíci B_x000a_15 min"/>
    <tableColumn id="12" xr3:uid="{1FBE1636-69D5-4BB0-8408-DC1B325C8895}" name="Alongamento_x000a_A"/>
    <tableColumn id="13" xr3:uid="{6876F887-BABE-45BB-8ABD-FA46DDAD0B51}" name="Alongamento_x000a_B"/>
    <tableColumn id="14" xr3:uid="{684A7F21-5948-4256-ADB3-BA8D8FFB8245}" name="Alongamento_x000a_C"/>
    <tableColumn id="15" xr3:uid="{0358B9EF-E977-4742-9D03-7769A60831EB}" name="Remédio_x000a_A"/>
    <tableColumn id="16" xr3:uid="{F5C71A3D-A5F2-4540-AFA2-952EF240EBCD}" name="Remédio_x000a_B"/>
    <tableColumn id="17" xr3:uid="{E9415A70-58B9-45D3-8613-7ADFB6E63FA4}" name="Remédio_x000a_C"/>
    <tableColumn id="18" xr3:uid="{2093C4C0-6316-4053-9475-C10D47A09E9B}" name="Remédio_x000a_D"/>
    <tableColumn id="23" xr3:uid="{6B8FB128-5EB3-40E6-9162-132651581CF8}" name="Número de Seções de Fisioterap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EF70F0-76A6-4413-AC04-7BD6A03D5EEE}" name="Tabela234" displayName="Tabela234" ref="A66:X96" totalsRowShown="0" headerRowDxfId="0">
  <tableColumns count="24">
    <tableColumn id="1" xr3:uid="{D2800DAF-8A6C-4E76-BF33-FC7F902C454D}" name="Lições"/>
    <tableColumn id="24" xr3:uid="{E79298CA-D94A-4656-83AD-65D8C7480675}" name="Idade"/>
    <tableColumn id="2" xr3:uid="{F4028B30-3294-4445-9E7D-0D4D3A85FD57}" name="Sexo"/>
    <tableColumn id="3" xr3:uid="{60DDA293-D717-44E2-92C0-BA946F69AE7B}" name="Ultra-som_x000a_5 mim"/>
    <tableColumn id="4" xr3:uid="{B61E3D17-EEEE-4C5A-8DCE-948A683B60F9}" name="Ultra-som_x000a_10 min"/>
    <tableColumn id="5" xr3:uid="{37B971D3-DD32-4332-AF80-44F841FC8307}" name="Ultra-som_x000a_15 min"/>
    <tableColumn id="6" xr3:uid="{50CD60C3-B885-498B-A3AF-7A2AC9B700C0}" name="Choque_x000a_15 min"/>
    <tableColumn id="7" xr3:uid="{A8071C8A-9839-4EE3-AC78-F7A52F138A5B}" name="Choque_x000a_20 min"/>
    <tableColumn id="8" xr3:uid="{DC48A668-87DA-4673-A450-FDC8666C021A}" name="Gelo_x000a_10 min"/>
    <tableColumn id="9" xr3:uid="{432BE253-7F01-4A9A-8AD7-F6AEBD917D8A}" name="Gelo_x000a_15 min"/>
    <tableColumn id="10" xr3:uid="{D7C34138-3539-45E8-AC86-3E0AA806F0EB}" name="Calor_x000a_10 min"/>
    <tableColumn id="11" xr3:uid="{75299D7C-A544-4C3E-8810-BAC8E43A5839}" name="Calor_x000a_15 min"/>
    <tableColumn id="20" xr3:uid="{0FA80589-E1E9-42B7-A075-9567D1852041}" name="Exercíci A_x000a_10 min"/>
    <tableColumn id="19" xr3:uid="{86267679-6C34-4E9E-9E09-0D97F20CDFE8}" name="Exercíci A_x000a_15 min"/>
    <tableColumn id="22" xr3:uid="{D1912842-913E-4EBD-81ED-26FAE19E516C}" name="Exercíci B_x000a_10 min"/>
    <tableColumn id="21" xr3:uid="{C268C8C1-0EFD-4930-9266-EF45B37B5FF5}" name="Exercíci B_x000a_15 min"/>
    <tableColumn id="12" xr3:uid="{274191F2-8CD4-4D46-AC10-226E490A294D}" name="Alongamento_x000a_A"/>
    <tableColumn id="13" xr3:uid="{10499F54-9D2A-49DE-91EB-2A854074A4DA}" name="Alongamento_x000a_B"/>
    <tableColumn id="14" xr3:uid="{1AE25064-0AA3-4800-A933-C47867036D17}" name="Alongamento_x000a_C"/>
    <tableColumn id="15" xr3:uid="{5D52918E-FA56-49D0-BB30-9FEF01AFDCC6}" name="Remédio_x000a_A"/>
    <tableColumn id="16" xr3:uid="{01EFA362-7FF0-44E1-B442-18FA608F2787}" name="Remédio_x000a_B"/>
    <tableColumn id="17" xr3:uid="{29F53862-08ED-4A9E-855B-D3B62DFF3AF0}" name="Remédio_x000a_C"/>
    <tableColumn id="18" xr3:uid="{FBF2763B-2B69-4DFE-8370-C209993CE7C7}" name="Remédio_x000a_D"/>
    <tableColumn id="23" xr3:uid="{865DC300-D089-41A6-8C1C-17A81C5ABA78}" name="Número de Seções de Fisioterapi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1B40-8182-4170-BCC2-7C4825589FDD}">
  <sheetPr codeName="Planilha1"/>
  <dimension ref="A1"/>
  <sheetViews>
    <sheetView workbookViewId="0">
      <selection activeCell="D29" sqref="D29"/>
    </sheetView>
  </sheetViews>
  <sheetFormatPr defaultRowHeight="14.4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strarForm">
                <anchor moveWithCells="1" sizeWithCells="1">
                  <from>
                    <xdr:col>6</xdr:col>
                    <xdr:colOff>175260</xdr:colOff>
                    <xdr:row>3</xdr:row>
                    <xdr:rowOff>160020</xdr:rowOff>
                  </from>
                  <to>
                    <xdr:col>14</xdr:col>
                    <xdr:colOff>129540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1C805-410B-4E0B-AFB9-ABD3FDFA5385}">
  <sheetPr codeName="Planilha2"/>
  <dimension ref="A1:X31"/>
  <sheetViews>
    <sheetView workbookViewId="0"/>
  </sheetViews>
  <sheetFormatPr defaultRowHeight="14.4"/>
  <sheetData>
    <row r="1" spans="1:24" ht="86.4">
      <c r="A1" s="6" t="s">
        <v>30</v>
      </c>
      <c r="B1" s="7" t="s">
        <v>31</v>
      </c>
      <c r="C1" s="7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6" t="s">
        <v>38</v>
      </c>
      <c r="J1" s="6" t="s">
        <v>39</v>
      </c>
      <c r="K1" s="6" t="s">
        <v>40</v>
      </c>
      <c r="L1" s="6" t="s">
        <v>41</v>
      </c>
      <c r="M1" s="6" t="s">
        <v>42</v>
      </c>
      <c r="N1" s="6" t="s">
        <v>43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50</v>
      </c>
      <c r="V1" s="6" t="s">
        <v>51</v>
      </c>
      <c r="W1" s="6" t="s">
        <v>52</v>
      </c>
      <c r="X1" s="6" t="s">
        <v>53</v>
      </c>
    </row>
    <row r="2" spans="1:24">
      <c r="A2" s="4">
        <v>1</v>
      </c>
      <c r="B2" s="4">
        <v>20</v>
      </c>
      <c r="C2" s="4">
        <v>1</v>
      </c>
      <c r="D2" s="4">
        <v>0</v>
      </c>
      <c r="E2" s="4">
        <v>1</v>
      </c>
      <c r="F2" s="4">
        <v>0</v>
      </c>
      <c r="G2" s="4">
        <v>1</v>
      </c>
      <c r="H2" s="4">
        <v>0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0</v>
      </c>
      <c r="Q2" s="4">
        <v>0</v>
      </c>
      <c r="R2" s="4">
        <v>1</v>
      </c>
      <c r="S2" s="4">
        <v>1</v>
      </c>
      <c r="T2" s="4">
        <v>1</v>
      </c>
      <c r="U2" s="4">
        <v>1</v>
      </c>
      <c r="V2" s="4">
        <v>0</v>
      </c>
      <c r="W2" s="4">
        <v>1</v>
      </c>
      <c r="X2" s="4">
        <v>25</v>
      </c>
    </row>
    <row r="3" spans="1:24">
      <c r="A3" s="4">
        <v>2</v>
      </c>
      <c r="B3" s="4">
        <v>34</v>
      </c>
      <c r="C3" s="4">
        <v>0</v>
      </c>
      <c r="D3" s="4">
        <v>1</v>
      </c>
      <c r="E3" s="4">
        <v>0</v>
      </c>
      <c r="F3" s="4">
        <v>1</v>
      </c>
      <c r="G3" s="4">
        <v>1</v>
      </c>
      <c r="H3" s="4">
        <v>1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1</v>
      </c>
      <c r="P3" s="4">
        <v>1</v>
      </c>
      <c r="Q3" s="4">
        <v>1</v>
      </c>
      <c r="R3" s="4">
        <v>0</v>
      </c>
      <c r="S3" s="4">
        <v>0</v>
      </c>
      <c r="T3" s="4">
        <v>1</v>
      </c>
      <c r="U3" s="4">
        <v>1</v>
      </c>
      <c r="V3" s="4">
        <v>0</v>
      </c>
      <c r="W3" s="4">
        <v>0</v>
      </c>
      <c r="X3" s="4">
        <v>18</v>
      </c>
    </row>
    <row r="4" spans="1:24">
      <c r="A4" s="4">
        <v>3</v>
      </c>
      <c r="B4" s="4">
        <v>60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4">
        <v>1</v>
      </c>
      <c r="I4" s="4">
        <v>0</v>
      </c>
      <c r="J4" s="4">
        <v>1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1</v>
      </c>
      <c r="R4" s="4">
        <v>1</v>
      </c>
      <c r="S4" s="4">
        <v>1</v>
      </c>
      <c r="T4" s="4">
        <v>0</v>
      </c>
      <c r="U4" s="4">
        <v>0</v>
      </c>
      <c r="V4" s="4">
        <v>1</v>
      </c>
      <c r="W4" s="4">
        <v>0</v>
      </c>
      <c r="X4" s="4">
        <v>17</v>
      </c>
    </row>
    <row r="5" spans="1:24">
      <c r="A5" s="4">
        <v>4</v>
      </c>
      <c r="B5" s="4">
        <v>79</v>
      </c>
      <c r="C5" s="4">
        <v>0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1</v>
      </c>
      <c r="P5" s="4">
        <v>1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1</v>
      </c>
      <c r="W5" s="4">
        <v>0</v>
      </c>
      <c r="X5" s="4">
        <v>20</v>
      </c>
    </row>
    <row r="6" spans="1:24">
      <c r="A6" s="4">
        <v>5</v>
      </c>
      <c r="B6" s="4">
        <v>28</v>
      </c>
      <c r="C6" s="4">
        <v>0</v>
      </c>
      <c r="D6" s="4">
        <v>0</v>
      </c>
      <c r="E6" s="4">
        <v>1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1</v>
      </c>
      <c r="L6" s="4">
        <v>1</v>
      </c>
      <c r="M6" s="4">
        <v>0</v>
      </c>
      <c r="N6" s="4">
        <v>0</v>
      </c>
      <c r="O6" s="4">
        <v>1</v>
      </c>
      <c r="P6" s="4">
        <v>0</v>
      </c>
      <c r="Q6" s="4">
        <v>1</v>
      </c>
      <c r="R6" s="4">
        <v>1</v>
      </c>
      <c r="S6" s="4">
        <v>0</v>
      </c>
      <c r="T6" s="4">
        <v>1</v>
      </c>
      <c r="U6" s="4">
        <v>1</v>
      </c>
      <c r="V6" s="4">
        <v>1</v>
      </c>
      <c r="W6" s="4">
        <v>1</v>
      </c>
      <c r="X6" s="4">
        <v>21</v>
      </c>
    </row>
    <row r="7" spans="1:24">
      <c r="A7" s="4">
        <v>6</v>
      </c>
      <c r="B7" s="4">
        <v>35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1</v>
      </c>
      <c r="I7" s="4">
        <v>0</v>
      </c>
      <c r="J7" s="4">
        <v>0</v>
      </c>
      <c r="K7" s="4">
        <v>1</v>
      </c>
      <c r="L7" s="4">
        <v>1</v>
      </c>
      <c r="M7" s="4">
        <v>0</v>
      </c>
      <c r="N7" s="4">
        <v>1</v>
      </c>
      <c r="O7" s="4">
        <v>0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0</v>
      </c>
      <c r="V7" s="4">
        <v>1</v>
      </c>
      <c r="W7" s="4">
        <v>0</v>
      </c>
      <c r="X7" s="4">
        <v>21</v>
      </c>
    </row>
    <row r="8" spans="1:24">
      <c r="A8" s="4">
        <v>7</v>
      </c>
      <c r="B8" s="4">
        <v>78</v>
      </c>
      <c r="C8" s="4">
        <v>0</v>
      </c>
      <c r="D8" s="4">
        <v>0</v>
      </c>
      <c r="E8" s="4">
        <v>0</v>
      </c>
      <c r="F8" s="4">
        <v>1</v>
      </c>
      <c r="G8" s="4">
        <v>1</v>
      </c>
      <c r="H8" s="4">
        <v>1</v>
      </c>
      <c r="I8" s="4">
        <v>0</v>
      </c>
      <c r="J8" s="4">
        <v>1</v>
      </c>
      <c r="K8" s="4">
        <v>1</v>
      </c>
      <c r="L8" s="4">
        <v>0</v>
      </c>
      <c r="M8" s="4">
        <v>1</v>
      </c>
      <c r="N8" s="4">
        <v>0</v>
      </c>
      <c r="O8" s="4">
        <v>1</v>
      </c>
      <c r="P8" s="4">
        <v>1</v>
      </c>
      <c r="Q8" s="4">
        <v>1</v>
      </c>
      <c r="R8" s="4">
        <v>0</v>
      </c>
      <c r="S8" s="4">
        <v>1</v>
      </c>
      <c r="T8" s="4">
        <v>1</v>
      </c>
      <c r="U8" s="4">
        <v>1</v>
      </c>
      <c r="V8" s="4">
        <v>1</v>
      </c>
      <c r="W8" s="4">
        <v>0</v>
      </c>
      <c r="X8" s="4">
        <v>21</v>
      </c>
    </row>
    <row r="9" spans="1:24">
      <c r="A9" s="4">
        <v>8</v>
      </c>
      <c r="B9" s="4">
        <v>83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1</v>
      </c>
      <c r="J9" s="4">
        <v>0</v>
      </c>
      <c r="K9" s="4">
        <v>1</v>
      </c>
      <c r="L9" s="4">
        <v>1</v>
      </c>
      <c r="M9" s="4">
        <v>1</v>
      </c>
      <c r="N9" s="4">
        <v>1</v>
      </c>
      <c r="O9" s="4">
        <v>0</v>
      </c>
      <c r="P9" s="4">
        <v>1</v>
      </c>
      <c r="Q9" s="4">
        <v>1</v>
      </c>
      <c r="R9" s="4">
        <v>1</v>
      </c>
      <c r="S9" s="4">
        <v>1</v>
      </c>
      <c r="T9" s="4">
        <v>0</v>
      </c>
      <c r="U9" s="4">
        <v>0</v>
      </c>
      <c r="V9" s="4">
        <v>1</v>
      </c>
      <c r="W9" s="4">
        <v>1</v>
      </c>
      <c r="X9" s="4">
        <v>25</v>
      </c>
    </row>
    <row r="10" spans="1:24">
      <c r="A10" s="4">
        <v>9</v>
      </c>
      <c r="B10" s="4">
        <v>30</v>
      </c>
      <c r="C10" s="4">
        <v>1</v>
      </c>
      <c r="D10" s="4">
        <v>1</v>
      </c>
      <c r="E10" s="4">
        <v>1</v>
      </c>
      <c r="F10" s="4">
        <v>0</v>
      </c>
      <c r="G10" s="4">
        <v>1</v>
      </c>
      <c r="H10" s="4">
        <v>1</v>
      </c>
      <c r="I10" s="4">
        <v>0</v>
      </c>
      <c r="J10" s="4">
        <v>1</v>
      </c>
      <c r="K10" s="4">
        <v>1</v>
      </c>
      <c r="L10" s="4">
        <v>1</v>
      </c>
      <c r="M10" s="4">
        <v>0</v>
      </c>
      <c r="N10" s="4">
        <v>0</v>
      </c>
      <c r="O10" s="4">
        <v>0</v>
      </c>
      <c r="P10" s="4">
        <v>1</v>
      </c>
      <c r="Q10" s="4">
        <v>1</v>
      </c>
      <c r="R10" s="4">
        <v>0</v>
      </c>
      <c r="S10" s="4">
        <v>1</v>
      </c>
      <c r="T10" s="4">
        <v>1</v>
      </c>
      <c r="U10" s="4">
        <v>1</v>
      </c>
      <c r="V10" s="4">
        <v>1</v>
      </c>
      <c r="W10" s="4">
        <v>0</v>
      </c>
      <c r="X10" s="4">
        <v>23</v>
      </c>
    </row>
    <row r="11" spans="1:24">
      <c r="A11" s="4">
        <v>10</v>
      </c>
      <c r="B11" s="4">
        <v>53</v>
      </c>
      <c r="C11" s="4">
        <v>1</v>
      </c>
      <c r="D11" s="4">
        <v>1</v>
      </c>
      <c r="E11" s="4">
        <v>0</v>
      </c>
      <c r="F11" s="4">
        <v>1</v>
      </c>
      <c r="G11" s="4">
        <v>1</v>
      </c>
      <c r="H11" s="4">
        <v>1</v>
      </c>
      <c r="I11" s="4">
        <v>0</v>
      </c>
      <c r="J11" s="4">
        <v>1</v>
      </c>
      <c r="K11" s="4">
        <v>1</v>
      </c>
      <c r="L11" s="4">
        <v>1</v>
      </c>
      <c r="M11" s="4">
        <v>1</v>
      </c>
      <c r="N11" s="4">
        <v>0</v>
      </c>
      <c r="O11" s="4">
        <v>1</v>
      </c>
      <c r="P11" s="4">
        <v>1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1</v>
      </c>
      <c r="X11" s="4">
        <v>21</v>
      </c>
    </row>
    <row r="12" spans="1:24">
      <c r="A12" s="4">
        <v>11</v>
      </c>
      <c r="B12" s="4">
        <v>81</v>
      </c>
      <c r="C12" s="4">
        <v>0</v>
      </c>
      <c r="D12" s="4">
        <v>0</v>
      </c>
      <c r="E12" s="4">
        <v>0</v>
      </c>
      <c r="F12" s="4">
        <v>1</v>
      </c>
      <c r="G12" s="4">
        <v>1</v>
      </c>
      <c r="H12" s="4">
        <v>1</v>
      </c>
      <c r="I12" s="4">
        <v>0</v>
      </c>
      <c r="J12" s="4">
        <v>0</v>
      </c>
      <c r="K12" s="4">
        <v>0</v>
      </c>
      <c r="L12" s="4">
        <v>1</v>
      </c>
      <c r="M12" s="4">
        <v>1</v>
      </c>
      <c r="N12" s="4">
        <v>0</v>
      </c>
      <c r="O12" s="4">
        <v>1</v>
      </c>
      <c r="P12" s="4">
        <v>0</v>
      </c>
      <c r="Q12" s="4">
        <v>1</v>
      </c>
      <c r="R12" s="4">
        <v>1</v>
      </c>
      <c r="S12" s="4">
        <v>0</v>
      </c>
      <c r="T12" s="4">
        <v>1</v>
      </c>
      <c r="U12" s="4">
        <v>1</v>
      </c>
      <c r="V12" s="4">
        <v>1</v>
      </c>
      <c r="W12" s="4">
        <v>1</v>
      </c>
      <c r="X12" s="4">
        <v>16</v>
      </c>
    </row>
    <row r="13" spans="1:24">
      <c r="A13" s="4">
        <v>12</v>
      </c>
      <c r="B13" s="4">
        <v>34</v>
      </c>
      <c r="C13" s="4">
        <v>1</v>
      </c>
      <c r="D13" s="4">
        <v>0</v>
      </c>
      <c r="E13" s="4">
        <v>0</v>
      </c>
      <c r="F13" s="4">
        <v>0</v>
      </c>
      <c r="G13" s="4">
        <v>1</v>
      </c>
      <c r="H13" s="4">
        <v>0</v>
      </c>
      <c r="I13" s="4">
        <v>0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</v>
      </c>
      <c r="U13" s="4">
        <v>0</v>
      </c>
      <c r="V13" s="4">
        <v>1</v>
      </c>
      <c r="W13" s="4">
        <v>1</v>
      </c>
      <c r="X13" s="4">
        <v>15</v>
      </c>
    </row>
    <row r="14" spans="1:24">
      <c r="A14" s="4">
        <v>13</v>
      </c>
      <c r="B14" s="4">
        <v>66</v>
      </c>
      <c r="C14" s="4">
        <v>1</v>
      </c>
      <c r="D14" s="4">
        <v>1</v>
      </c>
      <c r="E14" s="4">
        <v>1</v>
      </c>
      <c r="F14" s="4">
        <v>1</v>
      </c>
      <c r="G14" s="4">
        <v>0</v>
      </c>
      <c r="H14" s="4">
        <v>0</v>
      </c>
      <c r="I14" s="4">
        <v>1</v>
      </c>
      <c r="J14" s="4">
        <v>0</v>
      </c>
      <c r="K14" s="4">
        <v>1</v>
      </c>
      <c r="L14" s="4">
        <v>1</v>
      </c>
      <c r="M14" s="4">
        <v>1</v>
      </c>
      <c r="N14" s="4">
        <v>1</v>
      </c>
      <c r="O14" s="4">
        <v>0</v>
      </c>
      <c r="P14" s="4">
        <v>1</v>
      </c>
      <c r="Q14" s="4">
        <v>0</v>
      </c>
      <c r="R14" s="4">
        <v>1</v>
      </c>
      <c r="S14" s="4">
        <v>1</v>
      </c>
      <c r="T14" s="4">
        <v>0</v>
      </c>
      <c r="U14" s="4">
        <v>0</v>
      </c>
      <c r="V14" s="4">
        <v>0</v>
      </c>
      <c r="W14" s="4">
        <v>1</v>
      </c>
      <c r="X14" s="4">
        <v>19</v>
      </c>
    </row>
    <row r="15" spans="1:24">
      <c r="A15" s="4">
        <v>14</v>
      </c>
      <c r="B15" s="4">
        <v>16</v>
      </c>
      <c r="C15" s="4">
        <v>1</v>
      </c>
      <c r="D15" s="4">
        <v>1</v>
      </c>
      <c r="E15" s="4">
        <v>0</v>
      </c>
      <c r="F15" s="4">
        <v>1</v>
      </c>
      <c r="G15" s="4">
        <v>1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1</v>
      </c>
      <c r="U15" s="4">
        <v>0</v>
      </c>
      <c r="V15" s="4">
        <v>1</v>
      </c>
      <c r="W15" s="4">
        <v>0</v>
      </c>
      <c r="X15" s="4">
        <v>21</v>
      </c>
    </row>
    <row r="16" spans="1:24">
      <c r="A16" s="4">
        <v>15</v>
      </c>
      <c r="B16" s="4">
        <v>46</v>
      </c>
      <c r="C16" s="4">
        <v>0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0</v>
      </c>
      <c r="J16" s="4">
        <v>1</v>
      </c>
      <c r="K16" s="4">
        <v>1</v>
      </c>
      <c r="L16" s="4">
        <v>1</v>
      </c>
      <c r="M16" s="4">
        <v>0</v>
      </c>
      <c r="N16" s="4">
        <v>0</v>
      </c>
      <c r="O16" s="4">
        <v>0</v>
      </c>
      <c r="P16" s="4">
        <v>1</v>
      </c>
      <c r="Q16" s="4">
        <v>0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25</v>
      </c>
    </row>
    <row r="17" spans="1:24">
      <c r="A17" s="4">
        <v>16</v>
      </c>
      <c r="B17" s="4">
        <v>18</v>
      </c>
      <c r="C17" s="4">
        <v>0</v>
      </c>
      <c r="D17" s="4">
        <v>1</v>
      </c>
      <c r="E17" s="4">
        <v>0</v>
      </c>
      <c r="F17" s="4">
        <v>1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1</v>
      </c>
      <c r="O17" s="4">
        <v>1</v>
      </c>
      <c r="P17" s="4">
        <v>1</v>
      </c>
      <c r="Q17" s="4">
        <v>0</v>
      </c>
      <c r="R17" s="4">
        <v>0</v>
      </c>
      <c r="S17" s="4">
        <v>1</v>
      </c>
      <c r="T17" s="4">
        <v>1</v>
      </c>
      <c r="U17" s="4">
        <v>1</v>
      </c>
      <c r="V17" s="4">
        <v>1</v>
      </c>
      <c r="W17" s="4">
        <v>1</v>
      </c>
      <c r="X17" s="4">
        <v>25</v>
      </c>
    </row>
    <row r="18" spans="1:24">
      <c r="A18" s="4">
        <v>17</v>
      </c>
      <c r="B18" s="4">
        <v>80</v>
      </c>
      <c r="C18" s="4">
        <v>1</v>
      </c>
      <c r="D18" s="4">
        <v>1</v>
      </c>
      <c r="E18" s="4">
        <v>1</v>
      </c>
      <c r="F18" s="4">
        <v>1</v>
      </c>
      <c r="G18" s="4">
        <v>1</v>
      </c>
      <c r="H18" s="4">
        <v>1</v>
      </c>
      <c r="I18" s="4">
        <v>1</v>
      </c>
      <c r="J18" s="4">
        <v>1</v>
      </c>
      <c r="K18" s="4">
        <v>1</v>
      </c>
      <c r="L18" s="4">
        <v>0</v>
      </c>
      <c r="M18" s="4">
        <v>1</v>
      </c>
      <c r="N18" s="4">
        <v>1</v>
      </c>
      <c r="O18" s="4">
        <v>1</v>
      </c>
      <c r="P18" s="4">
        <v>1</v>
      </c>
      <c r="Q18" s="4">
        <v>1</v>
      </c>
      <c r="R18" s="4">
        <v>1</v>
      </c>
      <c r="S18" s="4">
        <v>0</v>
      </c>
      <c r="T18" s="4">
        <v>0</v>
      </c>
      <c r="U18" s="4">
        <v>0</v>
      </c>
      <c r="V18" s="4">
        <v>1</v>
      </c>
      <c r="W18" s="4">
        <v>1</v>
      </c>
      <c r="X18" s="4">
        <v>19</v>
      </c>
    </row>
    <row r="19" spans="1:24">
      <c r="A19" s="4">
        <v>18</v>
      </c>
      <c r="B19" s="4">
        <v>65</v>
      </c>
      <c r="C19" s="4">
        <v>0</v>
      </c>
      <c r="D19" s="4">
        <v>1</v>
      </c>
      <c r="E19" s="4">
        <v>0</v>
      </c>
      <c r="F19" s="4">
        <v>0</v>
      </c>
      <c r="G19" s="4">
        <v>1</v>
      </c>
      <c r="H19" s="4">
        <v>0</v>
      </c>
      <c r="I19" s="4">
        <v>0</v>
      </c>
      <c r="J19" s="4">
        <v>1</v>
      </c>
      <c r="K19" s="4">
        <v>1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1</v>
      </c>
      <c r="R19" s="4">
        <v>1</v>
      </c>
      <c r="S19" s="4">
        <v>1</v>
      </c>
      <c r="T19" s="4">
        <v>0</v>
      </c>
      <c r="U19" s="4">
        <v>1</v>
      </c>
      <c r="V19" s="4">
        <v>0</v>
      </c>
      <c r="W19" s="4">
        <v>0</v>
      </c>
      <c r="X19" s="4">
        <v>19</v>
      </c>
    </row>
    <row r="20" spans="1:24">
      <c r="A20" s="4">
        <v>19</v>
      </c>
      <c r="B20" s="4">
        <v>79</v>
      </c>
      <c r="C20" s="4">
        <v>1</v>
      </c>
      <c r="D20" s="4">
        <v>1</v>
      </c>
      <c r="E20" s="4">
        <v>1</v>
      </c>
      <c r="F20" s="4">
        <v>1</v>
      </c>
      <c r="G20" s="4">
        <v>1</v>
      </c>
      <c r="H20" s="4">
        <v>0</v>
      </c>
      <c r="I20" s="4">
        <v>1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0</v>
      </c>
      <c r="P20" s="4">
        <v>0</v>
      </c>
      <c r="Q20" s="4">
        <v>1</v>
      </c>
      <c r="R20" s="4">
        <v>0</v>
      </c>
      <c r="S20" s="4">
        <v>1</v>
      </c>
      <c r="T20" s="4">
        <v>1</v>
      </c>
      <c r="U20" s="4">
        <v>1</v>
      </c>
      <c r="V20" s="4">
        <v>0</v>
      </c>
      <c r="W20" s="4">
        <v>1</v>
      </c>
      <c r="X20" s="4">
        <v>17</v>
      </c>
    </row>
    <row r="21" spans="1:24">
      <c r="A21" s="4">
        <v>20</v>
      </c>
      <c r="B21" s="4">
        <v>36</v>
      </c>
      <c r="C21" s="4">
        <v>1</v>
      </c>
      <c r="D21" s="4">
        <v>1</v>
      </c>
      <c r="E21" s="4">
        <v>0</v>
      </c>
      <c r="F21" s="4">
        <v>1</v>
      </c>
      <c r="G21" s="4">
        <v>0</v>
      </c>
      <c r="H21" s="4">
        <v>0</v>
      </c>
      <c r="I21" s="4">
        <v>0</v>
      </c>
      <c r="J21" s="4">
        <v>0</v>
      </c>
      <c r="K21" s="4">
        <v>1</v>
      </c>
      <c r="L21" s="4">
        <v>1</v>
      </c>
      <c r="M21" s="4">
        <v>1</v>
      </c>
      <c r="N21" s="4">
        <v>0</v>
      </c>
      <c r="O21" s="4">
        <v>0</v>
      </c>
      <c r="P21" s="4">
        <v>0</v>
      </c>
      <c r="Q21" s="4">
        <v>1</v>
      </c>
      <c r="R21" s="4">
        <v>0</v>
      </c>
      <c r="S21" s="4">
        <v>1</v>
      </c>
      <c r="T21" s="4">
        <v>1</v>
      </c>
      <c r="U21" s="4">
        <v>0</v>
      </c>
      <c r="V21" s="4">
        <v>1</v>
      </c>
      <c r="W21" s="4">
        <v>0</v>
      </c>
      <c r="X21" s="4">
        <v>19</v>
      </c>
    </row>
    <row r="22" spans="1:24">
      <c r="A22" s="4">
        <v>21</v>
      </c>
      <c r="B22" s="4">
        <v>77</v>
      </c>
      <c r="C22" s="4">
        <v>1</v>
      </c>
      <c r="D22" s="4">
        <v>1</v>
      </c>
      <c r="E22" s="4">
        <v>1</v>
      </c>
      <c r="F22" s="4">
        <v>0</v>
      </c>
      <c r="G22" s="4">
        <v>0</v>
      </c>
      <c r="H22" s="4">
        <v>1</v>
      </c>
      <c r="I22" s="4">
        <v>0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0</v>
      </c>
      <c r="Q22" s="4">
        <v>1</v>
      </c>
      <c r="R22" s="4">
        <v>1</v>
      </c>
      <c r="S22" s="4">
        <v>0</v>
      </c>
      <c r="T22" s="4">
        <v>1</v>
      </c>
      <c r="U22" s="4">
        <v>1</v>
      </c>
      <c r="V22" s="4">
        <v>1</v>
      </c>
      <c r="W22" s="4">
        <v>0</v>
      </c>
      <c r="X22" s="4">
        <v>20</v>
      </c>
    </row>
    <row r="23" spans="1:24">
      <c r="A23" s="4">
        <v>22</v>
      </c>
      <c r="B23" s="4">
        <v>69</v>
      </c>
      <c r="C23" s="4">
        <v>0</v>
      </c>
      <c r="D23" s="4">
        <v>1</v>
      </c>
      <c r="E23" s="4">
        <v>1</v>
      </c>
      <c r="F23" s="4">
        <v>0</v>
      </c>
      <c r="G23" s="4">
        <v>1</v>
      </c>
      <c r="H23" s="4">
        <v>1</v>
      </c>
      <c r="I23" s="4">
        <v>0</v>
      </c>
      <c r="J23" s="4">
        <v>1</v>
      </c>
      <c r="K23" s="4">
        <v>1</v>
      </c>
      <c r="L23" s="4">
        <v>0</v>
      </c>
      <c r="M23" s="4">
        <v>1</v>
      </c>
      <c r="N23" s="4">
        <v>1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1</v>
      </c>
      <c r="W23" s="4">
        <v>0</v>
      </c>
      <c r="X23" s="4">
        <v>19</v>
      </c>
    </row>
    <row r="24" spans="1:24">
      <c r="A24" s="4">
        <v>23</v>
      </c>
      <c r="B24" s="4">
        <v>78</v>
      </c>
      <c r="C24" s="4">
        <v>1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1</v>
      </c>
      <c r="J24" s="4">
        <v>1</v>
      </c>
      <c r="K24" s="4">
        <v>1</v>
      </c>
      <c r="L24" s="4">
        <v>0</v>
      </c>
      <c r="M24" s="4">
        <v>0</v>
      </c>
      <c r="N24" s="4">
        <v>0</v>
      </c>
      <c r="O24" s="4">
        <v>1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1</v>
      </c>
      <c r="X24" s="4">
        <v>19</v>
      </c>
    </row>
    <row r="25" spans="1:24">
      <c r="A25" s="4">
        <v>24</v>
      </c>
      <c r="B25" s="4">
        <v>60</v>
      </c>
      <c r="C25" s="4">
        <v>1</v>
      </c>
      <c r="D25" s="4">
        <v>1</v>
      </c>
      <c r="E25" s="4">
        <v>0</v>
      </c>
      <c r="F25" s="4">
        <v>1</v>
      </c>
      <c r="G25" s="4">
        <v>1</v>
      </c>
      <c r="H25" s="4">
        <v>0</v>
      </c>
      <c r="I25" s="4">
        <v>1</v>
      </c>
      <c r="J25" s="4">
        <v>0</v>
      </c>
      <c r="K25" s="4">
        <v>1</v>
      </c>
      <c r="L25" s="4">
        <v>0</v>
      </c>
      <c r="M25" s="4">
        <v>0</v>
      </c>
      <c r="N25" s="4">
        <v>1</v>
      </c>
      <c r="O25" s="4">
        <v>0</v>
      </c>
      <c r="P25" s="4">
        <v>0</v>
      </c>
      <c r="Q25" s="4">
        <v>1</v>
      </c>
      <c r="R25" s="4">
        <v>0</v>
      </c>
      <c r="S25" s="4">
        <v>0</v>
      </c>
      <c r="T25" s="4">
        <v>1</v>
      </c>
      <c r="U25" s="4">
        <v>0</v>
      </c>
      <c r="V25" s="4">
        <v>1</v>
      </c>
      <c r="W25" s="4">
        <v>0</v>
      </c>
      <c r="X25" s="4">
        <v>20</v>
      </c>
    </row>
    <row r="26" spans="1:24">
      <c r="A26" s="4">
        <v>25</v>
      </c>
      <c r="B26" s="4">
        <v>28</v>
      </c>
      <c r="C26" s="4">
        <v>1</v>
      </c>
      <c r="D26" s="4">
        <v>0</v>
      </c>
      <c r="E26" s="4">
        <v>0</v>
      </c>
      <c r="F26" s="4">
        <v>1</v>
      </c>
      <c r="G26" s="4">
        <v>1</v>
      </c>
      <c r="H26" s="4">
        <v>0</v>
      </c>
      <c r="I26" s="4">
        <v>0</v>
      </c>
      <c r="J26" s="4">
        <v>0</v>
      </c>
      <c r="K26" s="4">
        <v>0</v>
      </c>
      <c r="L26" s="4">
        <v>1</v>
      </c>
      <c r="M26" s="4">
        <v>0</v>
      </c>
      <c r="N26" s="4">
        <v>0</v>
      </c>
      <c r="O26" s="4">
        <v>1</v>
      </c>
      <c r="P26" s="4">
        <v>0</v>
      </c>
      <c r="Q26" s="4">
        <v>0</v>
      </c>
      <c r="R26" s="4">
        <v>0</v>
      </c>
      <c r="S26" s="4">
        <v>1</v>
      </c>
      <c r="T26" s="4">
        <v>0</v>
      </c>
      <c r="U26" s="4">
        <v>0</v>
      </c>
      <c r="V26" s="4">
        <v>1</v>
      </c>
      <c r="W26" s="4">
        <v>1</v>
      </c>
      <c r="X26" s="4">
        <v>20</v>
      </c>
    </row>
    <row r="27" spans="1:24">
      <c r="A27" s="4">
        <v>26</v>
      </c>
      <c r="B27" s="4">
        <v>19</v>
      </c>
      <c r="C27" s="4">
        <v>0</v>
      </c>
      <c r="D27" s="4">
        <v>1</v>
      </c>
      <c r="E27" s="4">
        <v>1</v>
      </c>
      <c r="F27" s="4">
        <v>0</v>
      </c>
      <c r="G27" s="4">
        <v>0</v>
      </c>
      <c r="H27" s="4">
        <v>1</v>
      </c>
      <c r="I27" s="4">
        <v>0</v>
      </c>
      <c r="J27" s="4">
        <v>1</v>
      </c>
      <c r="K27" s="4">
        <v>0</v>
      </c>
      <c r="L27" s="4">
        <v>0</v>
      </c>
      <c r="M27" s="4">
        <v>0</v>
      </c>
      <c r="N27" s="4">
        <v>1</v>
      </c>
      <c r="O27" s="4">
        <v>0</v>
      </c>
      <c r="P27" s="4">
        <v>0</v>
      </c>
      <c r="Q27" s="4">
        <v>1</v>
      </c>
      <c r="R27" s="4">
        <v>1</v>
      </c>
      <c r="S27" s="4">
        <v>1</v>
      </c>
      <c r="T27" s="4">
        <v>1</v>
      </c>
      <c r="U27" s="4">
        <v>0</v>
      </c>
      <c r="V27" s="4">
        <v>1</v>
      </c>
      <c r="W27" s="4">
        <v>0</v>
      </c>
      <c r="X27" s="4">
        <v>19</v>
      </c>
    </row>
    <row r="28" spans="1:24">
      <c r="A28" s="4">
        <v>27</v>
      </c>
      <c r="B28" s="4">
        <v>65</v>
      </c>
      <c r="C28" s="4">
        <v>0</v>
      </c>
      <c r="D28" s="4">
        <v>0</v>
      </c>
      <c r="E28" s="4">
        <v>1</v>
      </c>
      <c r="F28" s="4">
        <v>0</v>
      </c>
      <c r="G28" s="4">
        <v>1</v>
      </c>
      <c r="H28" s="4">
        <v>1</v>
      </c>
      <c r="I28" s="4">
        <v>0</v>
      </c>
      <c r="J28" s="4">
        <v>0</v>
      </c>
      <c r="K28" s="4">
        <v>0</v>
      </c>
      <c r="L28" s="4">
        <v>1</v>
      </c>
      <c r="M28" s="4">
        <v>0</v>
      </c>
      <c r="N28" s="4">
        <v>0</v>
      </c>
      <c r="O28" s="4">
        <v>1</v>
      </c>
      <c r="P28" s="4">
        <v>0</v>
      </c>
      <c r="Q28" s="4">
        <v>1</v>
      </c>
      <c r="R28" s="4">
        <v>1</v>
      </c>
      <c r="S28" s="4">
        <v>1</v>
      </c>
      <c r="T28" s="4">
        <v>1</v>
      </c>
      <c r="U28" s="4">
        <v>1</v>
      </c>
      <c r="V28" s="4">
        <v>1</v>
      </c>
      <c r="W28" s="4">
        <v>0</v>
      </c>
      <c r="X28" s="4">
        <v>24</v>
      </c>
    </row>
    <row r="29" spans="1:24">
      <c r="A29" s="4">
        <v>28</v>
      </c>
      <c r="B29" s="4">
        <v>42</v>
      </c>
      <c r="C29" s="4">
        <v>1</v>
      </c>
      <c r="D29" s="4">
        <v>0</v>
      </c>
      <c r="E29" s="4">
        <v>0</v>
      </c>
      <c r="F29" s="4">
        <v>1</v>
      </c>
      <c r="G29" s="4">
        <v>0</v>
      </c>
      <c r="H29" s="4">
        <v>1</v>
      </c>
      <c r="I29" s="4">
        <v>0</v>
      </c>
      <c r="J29" s="4">
        <v>0</v>
      </c>
      <c r="K29" s="4">
        <v>1</v>
      </c>
      <c r="L29" s="4">
        <v>1</v>
      </c>
      <c r="M29" s="4">
        <v>1</v>
      </c>
      <c r="N29" s="4">
        <v>0</v>
      </c>
      <c r="O29" s="4">
        <v>0</v>
      </c>
      <c r="P29" s="4">
        <v>1</v>
      </c>
      <c r="Q29" s="4">
        <v>1</v>
      </c>
      <c r="R29" s="4">
        <v>0</v>
      </c>
      <c r="S29" s="4">
        <v>1</v>
      </c>
      <c r="T29" s="4">
        <v>1</v>
      </c>
      <c r="U29" s="4">
        <v>0</v>
      </c>
      <c r="V29" s="4">
        <v>0</v>
      </c>
      <c r="W29" s="4">
        <v>1</v>
      </c>
      <c r="X29" s="4">
        <v>23</v>
      </c>
    </row>
    <row r="30" spans="1:24">
      <c r="A30" s="4">
        <v>29</v>
      </c>
      <c r="B30" s="4">
        <v>76</v>
      </c>
      <c r="C30" s="4">
        <v>1</v>
      </c>
      <c r="D30" s="4">
        <v>0</v>
      </c>
      <c r="E30" s="4">
        <v>0</v>
      </c>
      <c r="F30" s="4">
        <v>1</v>
      </c>
      <c r="G30" s="4">
        <v>0</v>
      </c>
      <c r="H30" s="4">
        <v>0</v>
      </c>
      <c r="I30" s="4">
        <v>0</v>
      </c>
      <c r="J30" s="4">
        <v>0</v>
      </c>
      <c r="K30" s="4">
        <v>1</v>
      </c>
      <c r="L30" s="4">
        <v>0</v>
      </c>
      <c r="M30" s="4">
        <v>0</v>
      </c>
      <c r="N30" s="4">
        <v>0</v>
      </c>
      <c r="O30" s="4">
        <v>1</v>
      </c>
      <c r="P30" s="4">
        <v>0</v>
      </c>
      <c r="Q30" s="4">
        <v>0</v>
      </c>
      <c r="R30" s="4">
        <v>0</v>
      </c>
      <c r="S30" s="4">
        <v>1</v>
      </c>
      <c r="T30" s="4">
        <v>0</v>
      </c>
      <c r="U30" s="4">
        <v>1</v>
      </c>
      <c r="V30" s="4">
        <v>1</v>
      </c>
      <c r="W30" s="4">
        <v>1</v>
      </c>
      <c r="X30" s="4">
        <v>19</v>
      </c>
    </row>
    <row r="31" spans="1:24">
      <c r="A31" s="4">
        <v>30</v>
      </c>
      <c r="B31" s="4">
        <v>19</v>
      </c>
      <c r="C31" s="4">
        <v>1</v>
      </c>
      <c r="D31" s="4">
        <v>0</v>
      </c>
      <c r="E31" s="4">
        <v>0</v>
      </c>
      <c r="F31" s="4">
        <v>1</v>
      </c>
      <c r="G31" s="4">
        <v>0</v>
      </c>
      <c r="H31" s="4">
        <v>1</v>
      </c>
      <c r="I31" s="4">
        <v>0</v>
      </c>
      <c r="J31" s="4">
        <v>1</v>
      </c>
      <c r="K31" s="4">
        <v>0</v>
      </c>
      <c r="L31" s="4">
        <v>1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1</v>
      </c>
      <c r="T31" s="4">
        <v>1</v>
      </c>
      <c r="U31" s="4">
        <v>0</v>
      </c>
      <c r="V31" s="4">
        <v>1</v>
      </c>
      <c r="W31" s="4">
        <v>1</v>
      </c>
      <c r="X31" s="4">
        <v>18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08D4D-E135-48E3-93B2-804C052B3192}">
  <sheetPr codeName="Planilha3"/>
  <dimension ref="X1:SM24"/>
  <sheetViews>
    <sheetView workbookViewId="0"/>
  </sheetViews>
  <sheetFormatPr defaultRowHeight="14.4"/>
  <sheetData>
    <row r="1" spans="24:507">
      <c r="X1" s="5" t="s">
        <v>0</v>
      </c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 t="s">
        <v>1</v>
      </c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 t="s">
        <v>2</v>
      </c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 t="s">
        <v>22</v>
      </c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 t="s">
        <v>23</v>
      </c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 t="s">
        <v>24</v>
      </c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 t="s">
        <v>54</v>
      </c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 t="s">
        <v>55</v>
      </c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 t="s">
        <v>56</v>
      </c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 t="s">
        <v>57</v>
      </c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 t="s">
        <v>58</v>
      </c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 t="s">
        <v>59</v>
      </c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 t="s">
        <v>60</v>
      </c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 t="s">
        <v>61</v>
      </c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 t="s">
        <v>62</v>
      </c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 t="s">
        <v>63</v>
      </c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 t="s">
        <v>64</v>
      </c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 t="s">
        <v>65</v>
      </c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 t="s">
        <v>66</v>
      </c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 t="s">
        <v>67</v>
      </c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 t="s">
        <v>68</v>
      </c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 t="s">
        <v>69</v>
      </c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</row>
    <row r="2" spans="24:507"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58.560443460941315</v>
      </c>
      <c r="AU2">
        <v>44.274193644523621</v>
      </c>
      <c r="AV2">
        <v>48.100045144557953</v>
      </c>
      <c r="AW2">
        <v>24.033684492111206</v>
      </c>
      <c r="AX2">
        <v>25.061684906482697</v>
      </c>
      <c r="AY2">
        <v>64.303428292274475</v>
      </c>
      <c r="AZ2">
        <v>1.1634642481803894</v>
      </c>
      <c r="BA2">
        <v>63.140058040618896</v>
      </c>
      <c r="BB2">
        <v>67.602671682834625</v>
      </c>
      <c r="BC2">
        <v>58.850145697593689</v>
      </c>
      <c r="BD2">
        <v>3.7642788290977478</v>
      </c>
      <c r="BE2">
        <v>34.364713907241821</v>
      </c>
      <c r="BF2">
        <v>71.597405254840851</v>
      </c>
      <c r="BG2">
        <v>65.609841465950012</v>
      </c>
      <c r="BH2">
        <v>31.003502070903778</v>
      </c>
      <c r="BI2">
        <v>79.84211254119873</v>
      </c>
      <c r="BJ2">
        <v>72.330004274845123</v>
      </c>
      <c r="BK2">
        <v>4.6676596403121948</v>
      </c>
      <c r="BL2">
        <v>78.81320184469223</v>
      </c>
      <c r="BM2">
        <v>30.213550329208374</v>
      </c>
      <c r="BN2">
        <v>43.564079582691193</v>
      </c>
      <c r="BO2">
        <v>63.670267701148987</v>
      </c>
      <c r="BP2">
        <v>4.4408757090568542</v>
      </c>
      <c r="BQ2">
        <v>49.174034595489502</v>
      </c>
      <c r="BR2">
        <v>38.902109205722809</v>
      </c>
      <c r="BS2">
        <v>24.747731566429138</v>
      </c>
      <c r="BT2">
        <v>51.6838259100914</v>
      </c>
      <c r="BU2">
        <v>53.769158601760864</v>
      </c>
      <c r="BV2">
        <v>21.894813358783722</v>
      </c>
      <c r="BW2">
        <v>23.185390591621399</v>
      </c>
      <c r="BX2">
        <v>68.873534381389618</v>
      </c>
      <c r="BY2">
        <v>68.441976547241211</v>
      </c>
      <c r="BZ2">
        <v>48.900529444217682</v>
      </c>
      <c r="CA2">
        <v>81.845732569694519</v>
      </c>
      <c r="CB2">
        <v>75.610037744045258</v>
      </c>
      <c r="CC2">
        <v>18.829878568649292</v>
      </c>
      <c r="CD2">
        <v>57.694587051868439</v>
      </c>
      <c r="CE2">
        <v>81.340268731117249</v>
      </c>
      <c r="CF2">
        <v>20.246302306652069</v>
      </c>
      <c r="CG2">
        <v>44.311465740203857</v>
      </c>
      <c r="CH2">
        <v>8.8286829590797424</v>
      </c>
      <c r="CI2">
        <v>82.951408743858337</v>
      </c>
      <c r="CJ2">
        <v>56.122599065303802</v>
      </c>
      <c r="CK2">
        <v>1.3034250736236572</v>
      </c>
      <c r="CL2">
        <v>47.740256130695343</v>
      </c>
      <c r="CM2">
        <v>8.3043357133865356</v>
      </c>
      <c r="CN2">
        <v>8.5508787035942078</v>
      </c>
      <c r="CO2">
        <v>66.307404518127441</v>
      </c>
      <c r="CP2">
        <v>23.61186271905899</v>
      </c>
      <c r="CQ2">
        <v>3.7888811826705933</v>
      </c>
      <c r="CR2">
        <v>24.549146592617035</v>
      </c>
      <c r="CS2">
        <v>31.70688796043396</v>
      </c>
      <c r="CT2">
        <v>24.980551064014435</v>
      </c>
      <c r="CU2">
        <v>78.73140013217926</v>
      </c>
      <c r="CV2">
        <v>81.325837790966034</v>
      </c>
      <c r="CW2">
        <v>33.314070224761963</v>
      </c>
      <c r="CX2">
        <v>23.097236692905426</v>
      </c>
      <c r="CY2">
        <v>13.316645979881287</v>
      </c>
      <c r="CZ2">
        <v>13.514192044734955</v>
      </c>
      <c r="DA2">
        <v>53.6667320728302</v>
      </c>
      <c r="DB2">
        <v>34.036077320575714</v>
      </c>
      <c r="DC2">
        <v>34.259645581245422</v>
      </c>
      <c r="DD2">
        <v>59.156628787517548</v>
      </c>
      <c r="DE2">
        <v>27.075115203857422</v>
      </c>
      <c r="DF2">
        <v>52.553847849369049</v>
      </c>
      <c r="DG2">
        <v>17.227574229240417</v>
      </c>
      <c r="DH2">
        <v>15.439122140407562</v>
      </c>
      <c r="DI2">
        <v>48.418797254562378</v>
      </c>
      <c r="DJ2">
        <v>6.6993153691291809</v>
      </c>
      <c r="DK2">
        <v>38.011630654335022</v>
      </c>
      <c r="DL2">
        <v>75.175575911998749</v>
      </c>
      <c r="DM2">
        <v>21.693566799163818</v>
      </c>
      <c r="DN2">
        <v>65.17261415719986</v>
      </c>
      <c r="DO2">
        <v>31.448912024497986</v>
      </c>
      <c r="DP2">
        <v>24.042198598384857</v>
      </c>
      <c r="DQ2">
        <v>76.308298349380493</v>
      </c>
      <c r="DR2">
        <v>52.434620678424835</v>
      </c>
      <c r="DS2">
        <v>52.094288945198059</v>
      </c>
      <c r="DT2">
        <v>35.561878383159637</v>
      </c>
      <c r="DU2">
        <v>8.1318273544311523</v>
      </c>
      <c r="DV2">
        <v>46.566328585147858</v>
      </c>
      <c r="DW2">
        <v>57.642280459403992</v>
      </c>
      <c r="DX2">
        <v>75.83855813741684</v>
      </c>
      <c r="DY2">
        <v>69.289825201034546</v>
      </c>
      <c r="DZ2">
        <v>1.878223717212677</v>
      </c>
      <c r="EA2">
        <v>45.098929047584534</v>
      </c>
      <c r="EB2">
        <v>76.041610419750214</v>
      </c>
      <c r="EC2">
        <v>35.711674213409424</v>
      </c>
      <c r="ED2">
        <v>56.269659101963043</v>
      </c>
      <c r="EE2">
        <v>41.703675627708435</v>
      </c>
      <c r="EF2">
        <v>42.64021247625351</v>
      </c>
      <c r="EG2">
        <v>38.427342653274536</v>
      </c>
      <c r="EH2">
        <v>29.338229954242706</v>
      </c>
      <c r="EI2">
        <v>33.601234555244446</v>
      </c>
      <c r="EJ2">
        <v>22.387721240520477</v>
      </c>
      <c r="EK2">
        <v>4.6142597198486328</v>
      </c>
      <c r="EL2">
        <v>20.239148676395416</v>
      </c>
      <c r="EM2">
        <v>81.263468623161316</v>
      </c>
      <c r="EN2">
        <v>5.0560483336448669</v>
      </c>
      <c r="EO2">
        <v>32.394190549850464</v>
      </c>
      <c r="EP2">
        <v>30.294619858264923</v>
      </c>
      <c r="EQ2">
        <v>40.661264061927795</v>
      </c>
      <c r="ER2">
        <v>12.920035064220428</v>
      </c>
      <c r="ES2">
        <v>39.380111217498779</v>
      </c>
      <c r="ET2">
        <v>21.353215277194977</v>
      </c>
      <c r="EU2">
        <v>52.186405539512634</v>
      </c>
      <c r="EV2">
        <v>44.991827428340912</v>
      </c>
      <c r="EW2">
        <v>12.973083734512329</v>
      </c>
      <c r="EX2">
        <v>77.899248898029327</v>
      </c>
      <c r="EY2">
        <v>54.323451161384583</v>
      </c>
      <c r="EZ2">
        <v>42.005251109600067</v>
      </c>
      <c r="FA2">
        <v>32.409131050109863</v>
      </c>
      <c r="FB2">
        <v>8.9121518731117249</v>
      </c>
      <c r="FC2">
        <v>65.07160747051239</v>
      </c>
      <c r="FD2">
        <v>38.150186479091644</v>
      </c>
      <c r="FE2">
        <v>62.556112051010132</v>
      </c>
      <c r="FF2">
        <v>49.475847542285919</v>
      </c>
      <c r="FG2">
        <v>69.116604447364807</v>
      </c>
      <c r="FH2">
        <v>1.5569435954093933</v>
      </c>
      <c r="FI2">
        <v>17.460596561431885</v>
      </c>
      <c r="FJ2">
        <v>6.1381264328956604</v>
      </c>
      <c r="FK2">
        <v>8.7525705099105835</v>
      </c>
      <c r="FL2">
        <v>27.530637204647064</v>
      </c>
      <c r="FM2">
        <v>10.644740343093872</v>
      </c>
      <c r="FN2">
        <v>2.0021259784698486E-2</v>
      </c>
      <c r="FO2">
        <v>44.553907513618469</v>
      </c>
      <c r="FP2">
        <v>54.535561740398407</v>
      </c>
      <c r="FQ2">
        <v>45.153160095214844</v>
      </c>
      <c r="FR2">
        <v>68.675181925296783</v>
      </c>
      <c r="FS2">
        <v>6.7971657514572144</v>
      </c>
      <c r="FT2">
        <v>15.929566323757172</v>
      </c>
      <c r="FU2">
        <v>56.34980845451355</v>
      </c>
      <c r="FV2">
        <v>37.699250519275665</v>
      </c>
      <c r="FW2">
        <v>29.632918953895569</v>
      </c>
      <c r="FX2">
        <v>12.448429763317108</v>
      </c>
      <c r="FY2">
        <v>58.46484899520874</v>
      </c>
      <c r="FZ2">
        <v>77.089236319065094</v>
      </c>
      <c r="GA2">
        <v>44.007639288902283</v>
      </c>
      <c r="GB2">
        <v>7.4402355551719666</v>
      </c>
      <c r="GC2">
        <v>62.891531229019165</v>
      </c>
      <c r="GD2">
        <v>33.35289078950882</v>
      </c>
      <c r="GE2">
        <v>38.335572361946106</v>
      </c>
      <c r="GF2">
        <v>40.849746882915497</v>
      </c>
      <c r="GG2">
        <v>17.233065605163574</v>
      </c>
      <c r="GH2">
        <v>27.368082582950592</v>
      </c>
      <c r="GI2">
        <v>7.9206122159957886</v>
      </c>
      <c r="GJ2">
        <v>48.952781617641449</v>
      </c>
      <c r="GK2">
        <v>14.099498510360718</v>
      </c>
      <c r="GL2">
        <v>76.992172539234161</v>
      </c>
      <c r="GM2">
        <v>8.1281763315200806</v>
      </c>
      <c r="GN2">
        <v>36.840587317943573</v>
      </c>
      <c r="GO2">
        <v>22.654587268829346</v>
      </c>
      <c r="GP2">
        <v>72.421388685703278</v>
      </c>
      <c r="GQ2">
        <v>62.307080626487732</v>
      </c>
      <c r="GR2">
        <v>22.654216229915619</v>
      </c>
      <c r="GS2">
        <v>55.912675142288208</v>
      </c>
      <c r="GT2">
        <v>21.300201237201691</v>
      </c>
      <c r="GU2">
        <v>7.4614144563674927</v>
      </c>
      <c r="GV2">
        <v>2.5689002871513367</v>
      </c>
      <c r="GW2">
        <v>26.785566329956055</v>
      </c>
      <c r="GX2">
        <v>65.580697596073151</v>
      </c>
      <c r="GY2">
        <v>24.672415614128113</v>
      </c>
      <c r="GZ2">
        <v>19.528426110744476</v>
      </c>
      <c r="HA2">
        <v>39.879400968551636</v>
      </c>
      <c r="HB2">
        <v>21.131957352161407</v>
      </c>
      <c r="HC2">
        <v>28.270345330238342</v>
      </c>
      <c r="HD2">
        <v>3.7295100092887878</v>
      </c>
      <c r="HE2">
        <v>40.041530132293701</v>
      </c>
      <c r="HF2">
        <v>17.099427282810211</v>
      </c>
      <c r="HG2">
        <v>71.756363272666931</v>
      </c>
      <c r="HH2">
        <v>48.856172978878021</v>
      </c>
      <c r="HI2">
        <v>62.657390832901001</v>
      </c>
      <c r="HJ2">
        <v>77.014296352863312</v>
      </c>
      <c r="HK2">
        <v>27.474402546882629</v>
      </c>
      <c r="HL2">
        <v>45.064115703105927</v>
      </c>
      <c r="HM2">
        <v>6.6973810195922852</v>
      </c>
      <c r="HN2">
        <v>52.652870714664459</v>
      </c>
      <c r="HO2">
        <v>34.033044695854187</v>
      </c>
      <c r="HP2">
        <v>79.715093553066254</v>
      </c>
      <c r="HQ2">
        <v>9.5137345790863037</v>
      </c>
      <c r="HR2">
        <v>76.645948708057404</v>
      </c>
      <c r="HS2">
        <v>51.477394700050354</v>
      </c>
      <c r="HT2">
        <v>28.861291587352753</v>
      </c>
      <c r="HU2">
        <v>12.387396335601807</v>
      </c>
      <c r="HV2">
        <v>39.838195860385895</v>
      </c>
      <c r="HW2">
        <v>18.21095597743988</v>
      </c>
      <c r="HX2">
        <v>82.479699552059174</v>
      </c>
      <c r="HY2">
        <v>10.824897050857544</v>
      </c>
      <c r="HZ2">
        <v>2.3975198864936829</v>
      </c>
      <c r="IA2">
        <v>28.667505383491516</v>
      </c>
      <c r="IB2">
        <v>45.456486880779266</v>
      </c>
      <c r="IC2">
        <v>76.605228424072266</v>
      </c>
      <c r="ID2">
        <v>44.674445688724518</v>
      </c>
      <c r="IE2">
        <v>33.732968211174011</v>
      </c>
      <c r="IF2">
        <v>70.321377694606781</v>
      </c>
      <c r="IG2">
        <v>68.576718091964722</v>
      </c>
      <c r="IH2">
        <v>55.81149035692215</v>
      </c>
      <c r="II2">
        <v>59.917293190956116</v>
      </c>
      <c r="IJ2">
        <v>82.732025802135468</v>
      </c>
      <c r="IK2">
        <v>28.203904628753662</v>
      </c>
      <c r="IL2">
        <v>41.102538168430328</v>
      </c>
      <c r="IM2">
        <v>34.27632749080658</v>
      </c>
      <c r="IN2">
        <v>57.708389699459076</v>
      </c>
      <c r="IO2">
        <v>14.864412546157837</v>
      </c>
      <c r="IP2">
        <v>35.102215588092804</v>
      </c>
      <c r="IQ2">
        <v>45.083691716194153</v>
      </c>
      <c r="IR2">
        <v>67.617107570171356</v>
      </c>
      <c r="IS2">
        <v>44.895827293395996</v>
      </c>
      <c r="IT2">
        <v>35.485266268253326</v>
      </c>
      <c r="IU2">
        <v>42.252654910087585</v>
      </c>
      <c r="IV2">
        <v>18.905872285366058</v>
      </c>
      <c r="IW2">
        <v>51.39257025718689</v>
      </c>
      <c r="IX2">
        <v>40.655926048755646</v>
      </c>
      <c r="IY2">
        <v>56.508009552955627</v>
      </c>
      <c r="IZ2">
        <v>73.587806403636932</v>
      </c>
      <c r="JA2">
        <v>30.752773761749268</v>
      </c>
      <c r="JB2">
        <v>25.107297956943512</v>
      </c>
      <c r="JC2">
        <v>24.307946562767029</v>
      </c>
      <c r="JD2">
        <v>12.475837171077728</v>
      </c>
      <c r="JE2">
        <v>43.97515606880188</v>
      </c>
      <c r="JF2">
        <v>18.530727207660675</v>
      </c>
      <c r="JG2">
        <v>48.51593029499054</v>
      </c>
      <c r="JH2">
        <v>30.167071521282196</v>
      </c>
      <c r="JI2">
        <v>72.705896377563477</v>
      </c>
      <c r="JJ2">
        <v>39.675176203250885</v>
      </c>
      <c r="JK2">
        <v>15.82257354259491</v>
      </c>
      <c r="JL2">
        <v>56.777171075344086</v>
      </c>
      <c r="JM2">
        <v>62.035509824752808</v>
      </c>
      <c r="JN2">
        <v>50.956599533557892</v>
      </c>
      <c r="JO2">
        <v>64.917512536048889</v>
      </c>
      <c r="JP2">
        <v>13.424727141857147</v>
      </c>
      <c r="JQ2">
        <v>67.045722484588623</v>
      </c>
      <c r="JR2">
        <v>16.817318975925446</v>
      </c>
      <c r="JS2">
        <v>79.411281943321228</v>
      </c>
      <c r="JT2">
        <v>5.4656357169151306</v>
      </c>
      <c r="JU2">
        <v>5.1063463687896729</v>
      </c>
      <c r="JV2">
        <v>65.835398495197296</v>
      </c>
      <c r="JW2">
        <v>31.507189869880676</v>
      </c>
      <c r="JX2">
        <v>38.477472484111786</v>
      </c>
      <c r="JY2">
        <v>9.922154426574707</v>
      </c>
      <c r="JZ2">
        <v>9.5840192437171936</v>
      </c>
      <c r="KA2">
        <v>14.423192858695984</v>
      </c>
      <c r="KB2">
        <v>3.993867814540863</v>
      </c>
      <c r="KC2">
        <v>59.329755544662476</v>
      </c>
      <c r="KD2">
        <v>44.240854561328888</v>
      </c>
      <c r="KE2">
        <v>46.563770890235901</v>
      </c>
      <c r="KF2">
        <v>17.988881766796112</v>
      </c>
      <c r="KG2">
        <v>38.844469547271729</v>
      </c>
      <c r="KH2">
        <v>61.947444975376129</v>
      </c>
      <c r="KI2">
        <v>62.441802382469177</v>
      </c>
      <c r="KJ2">
        <v>33.111379086971283</v>
      </c>
      <c r="KK2">
        <v>74.957202196121216</v>
      </c>
      <c r="KL2">
        <v>61.918573200702667</v>
      </c>
      <c r="KM2">
        <v>7.350439190864563</v>
      </c>
      <c r="KN2">
        <v>52.669404208660126</v>
      </c>
      <c r="KO2">
        <v>59.181320190429688</v>
      </c>
      <c r="KP2">
        <v>1.3016391396522522</v>
      </c>
      <c r="KQ2">
        <v>35.784981608390808</v>
      </c>
      <c r="KR2">
        <v>33.36455625295639</v>
      </c>
      <c r="KS2">
        <v>22.849526166915894</v>
      </c>
      <c r="KT2">
        <v>81.786034882068634</v>
      </c>
      <c r="KU2">
        <v>66.614753365516663</v>
      </c>
      <c r="KV2">
        <v>57.776364028453827</v>
      </c>
      <c r="KW2">
        <v>34.660733699798584</v>
      </c>
      <c r="KX2">
        <v>60.962519705295563</v>
      </c>
      <c r="KY2">
        <v>23.004976630210876</v>
      </c>
      <c r="KZ2">
        <v>29.596661031246185</v>
      </c>
      <c r="LA2">
        <v>35.976942300796509</v>
      </c>
      <c r="LB2">
        <v>78.432595074176788</v>
      </c>
      <c r="LC2">
        <v>10.0886470079422</v>
      </c>
      <c r="LD2">
        <v>53.613960444927216</v>
      </c>
      <c r="LE2">
        <v>28.870112419128418</v>
      </c>
      <c r="LF2">
        <v>8.6678796410560608</v>
      </c>
      <c r="LG2">
        <v>15.388408541679382</v>
      </c>
      <c r="LH2">
        <v>6.4478301405906677</v>
      </c>
      <c r="LI2">
        <v>35.919040441513062</v>
      </c>
      <c r="LJ2">
        <v>79.61948424577713</v>
      </c>
      <c r="LK2">
        <v>44.988428711891174</v>
      </c>
      <c r="LL2">
        <v>41.033267676830292</v>
      </c>
      <c r="LM2">
        <v>80.756233692169189</v>
      </c>
      <c r="LN2">
        <v>18.077386915683746</v>
      </c>
      <c r="LO2">
        <v>31.456273436546326</v>
      </c>
      <c r="LP2">
        <v>32.855075299739838</v>
      </c>
      <c r="LQ2">
        <v>23.364785432815552</v>
      </c>
      <c r="LR2">
        <v>41.779807865619659</v>
      </c>
      <c r="LS2">
        <v>11.514782071113586</v>
      </c>
      <c r="LT2">
        <v>42.932234942913055</v>
      </c>
      <c r="LU2">
        <v>80.125249862670898</v>
      </c>
      <c r="LV2">
        <v>46.272584497928619</v>
      </c>
      <c r="LW2">
        <v>75.463942408561707</v>
      </c>
      <c r="LX2">
        <v>54.552283227443695</v>
      </c>
      <c r="LY2">
        <v>36.612517118453979</v>
      </c>
      <c r="LZ2">
        <v>57.518546402454376</v>
      </c>
      <c r="MA2">
        <v>5.352765679359436</v>
      </c>
      <c r="MB2">
        <v>62.755686461925507</v>
      </c>
      <c r="MC2">
        <v>58.142688274383545</v>
      </c>
      <c r="MD2">
        <v>41.25689035654068</v>
      </c>
      <c r="ME2">
        <v>12.901161551475525</v>
      </c>
      <c r="MF2">
        <v>18.57021564245224</v>
      </c>
      <c r="MG2">
        <v>27.069950342178345</v>
      </c>
      <c r="MH2">
        <v>65.112555325031281</v>
      </c>
      <c r="MI2">
        <v>4.1718131303787231</v>
      </c>
      <c r="MJ2">
        <v>42.995321452617645</v>
      </c>
      <c r="MK2">
        <v>62.833451271057129</v>
      </c>
      <c r="ML2">
        <v>66.455597460269928</v>
      </c>
      <c r="MM2">
        <v>26.992051959037781</v>
      </c>
      <c r="MN2">
        <v>80.736509263515472</v>
      </c>
      <c r="MO2">
        <v>66.754174947738647</v>
      </c>
      <c r="MP2">
        <v>56.010565102100372</v>
      </c>
      <c r="MQ2">
        <v>75.125733017921448</v>
      </c>
      <c r="MR2">
        <v>72.689714133739471</v>
      </c>
      <c r="MS2">
        <v>34.58181619644165</v>
      </c>
      <c r="MT2">
        <v>10.215873777866364</v>
      </c>
      <c r="MU2">
        <v>79.195109724998474</v>
      </c>
      <c r="MV2">
        <v>66.175675809383392</v>
      </c>
      <c r="MW2">
        <v>57.791655778884888</v>
      </c>
      <c r="MX2">
        <v>33.333181202411652</v>
      </c>
      <c r="MY2">
        <v>1.3527089357376099</v>
      </c>
      <c r="MZ2">
        <v>13.924313724040985</v>
      </c>
      <c r="NA2">
        <v>13.631435394287109</v>
      </c>
      <c r="NB2">
        <v>42.306762278079987</v>
      </c>
      <c r="NC2">
        <v>33.703205943107605</v>
      </c>
      <c r="ND2">
        <v>8.8091019988059998</v>
      </c>
      <c r="NE2">
        <v>22.918232679367065</v>
      </c>
      <c r="NF2">
        <v>53.372884094715118</v>
      </c>
      <c r="NG2">
        <v>70.475299477577209</v>
      </c>
      <c r="NH2">
        <v>41.331444442272186</v>
      </c>
      <c r="NI2">
        <v>15.585336208343506</v>
      </c>
      <c r="NJ2">
        <v>74.419180929660797</v>
      </c>
      <c r="NK2">
        <v>30.943586707115173</v>
      </c>
      <c r="NL2">
        <v>26.855049550533295</v>
      </c>
      <c r="NM2">
        <v>63.979120492935181</v>
      </c>
      <c r="NN2">
        <v>18.094029247760773</v>
      </c>
      <c r="NO2">
        <v>37.100438237190247</v>
      </c>
      <c r="NP2">
        <v>19.590305507183075</v>
      </c>
      <c r="NQ2">
        <v>72.90592098236084</v>
      </c>
      <c r="NR2">
        <v>50.665922701358795</v>
      </c>
      <c r="NS2">
        <v>31.077873110771179</v>
      </c>
      <c r="NT2">
        <v>32.328655183315277</v>
      </c>
      <c r="NU2">
        <v>71.428909063339233</v>
      </c>
      <c r="NV2">
        <v>48.632847130298615</v>
      </c>
      <c r="NW2">
        <v>77.319433808326721</v>
      </c>
      <c r="NX2">
        <v>42.926971137523651</v>
      </c>
      <c r="NY2">
        <v>27.414967060089111</v>
      </c>
      <c r="NZ2">
        <v>72.081655561923981</v>
      </c>
      <c r="OA2">
        <v>21.502061247825623</v>
      </c>
      <c r="OB2">
        <v>21.541930615901947</v>
      </c>
      <c r="OC2">
        <v>14.831563234329224</v>
      </c>
      <c r="OD2">
        <v>28.797443211078644</v>
      </c>
      <c r="OE2">
        <v>0.2079697847366333</v>
      </c>
      <c r="OF2">
        <v>61.614390552043915</v>
      </c>
      <c r="OG2">
        <v>69.79362678527832</v>
      </c>
      <c r="OH2">
        <v>23.122922480106354</v>
      </c>
      <c r="OI2">
        <v>58.346522212028503</v>
      </c>
      <c r="OJ2">
        <v>33.603762567043304</v>
      </c>
      <c r="OK2">
        <v>67.360422849655151</v>
      </c>
      <c r="OL2">
        <v>61.567797958850861</v>
      </c>
      <c r="OM2">
        <v>36.326104760169983</v>
      </c>
      <c r="ON2">
        <v>6.472387969493866</v>
      </c>
      <c r="OO2">
        <v>34.082427501678467</v>
      </c>
      <c r="OP2">
        <v>28.168141424655914</v>
      </c>
      <c r="OQ2">
        <v>58.976002097129822</v>
      </c>
      <c r="OR2">
        <v>25.919912755489349</v>
      </c>
      <c r="OS2">
        <v>66.298202753067017</v>
      </c>
      <c r="OT2">
        <v>12.595766842365265</v>
      </c>
      <c r="OU2">
        <v>49.21827232837677</v>
      </c>
      <c r="OV2">
        <v>79.367662608623505</v>
      </c>
      <c r="OW2">
        <v>20.181271553039551</v>
      </c>
      <c r="OX2">
        <v>78.017605364322662</v>
      </c>
      <c r="OY2">
        <v>9.4896219968795776</v>
      </c>
      <c r="OZ2">
        <v>81.693017899990082</v>
      </c>
      <c r="PA2">
        <v>52.536992788314819</v>
      </c>
      <c r="PB2">
        <v>49.705080330371857</v>
      </c>
      <c r="PC2">
        <v>74.913281083106995</v>
      </c>
      <c r="PD2">
        <v>47.713788688182831</v>
      </c>
      <c r="PE2">
        <v>20.349436283111572</v>
      </c>
      <c r="PF2">
        <v>71.393482267856598</v>
      </c>
      <c r="PG2">
        <v>6.220878005027771</v>
      </c>
      <c r="PH2">
        <v>36.422589719295502</v>
      </c>
      <c r="PI2">
        <v>63.07825779914856</v>
      </c>
      <c r="PJ2">
        <v>20.391343891620636</v>
      </c>
      <c r="PK2">
        <v>31.424314618110657</v>
      </c>
      <c r="PL2">
        <v>32.971215426921844</v>
      </c>
      <c r="PM2">
        <v>43.705574035644531</v>
      </c>
      <c r="PN2">
        <v>22.439815104007721</v>
      </c>
      <c r="PO2">
        <v>48.237641215324402</v>
      </c>
      <c r="PP2">
        <v>17.405014932155609</v>
      </c>
      <c r="PQ2">
        <v>6.5328376293182373</v>
      </c>
      <c r="PR2">
        <v>74.322037994861603</v>
      </c>
      <c r="PS2">
        <v>9.2489315271377563</v>
      </c>
      <c r="PT2">
        <v>54.147267043590546</v>
      </c>
      <c r="PU2">
        <v>74.727712154388428</v>
      </c>
      <c r="PV2">
        <v>19.222521841526031</v>
      </c>
      <c r="PW2">
        <v>78.84215772151947</v>
      </c>
      <c r="PX2">
        <v>70.233555257320404</v>
      </c>
      <c r="PY2">
        <v>36.620947122573853</v>
      </c>
      <c r="PZ2">
        <v>40.836518108844757</v>
      </c>
      <c r="QA2">
        <v>63.869065403938293</v>
      </c>
      <c r="QB2">
        <v>69.296142756938934</v>
      </c>
      <c r="QC2">
        <v>31.753252983093262</v>
      </c>
      <c r="QD2">
        <v>16.22939544916153</v>
      </c>
      <c r="QE2">
        <v>27.071048617362976</v>
      </c>
      <c r="QF2">
        <v>34.298347413539886</v>
      </c>
      <c r="QG2">
        <v>12.672176122665405</v>
      </c>
      <c r="QH2">
        <v>51.446014702320099</v>
      </c>
      <c r="QI2">
        <v>8.2510248422622681</v>
      </c>
      <c r="QJ2">
        <v>17.01891678571701</v>
      </c>
      <c r="QK2">
        <v>57.478973865509033</v>
      </c>
      <c r="QL2">
        <v>41.870103895664215</v>
      </c>
      <c r="QM2">
        <v>15.195309996604919</v>
      </c>
      <c r="QN2">
        <v>82.286403119564056</v>
      </c>
      <c r="QO2">
        <v>39.125489473342896</v>
      </c>
      <c r="QP2">
        <v>0.33363324403762817</v>
      </c>
      <c r="QQ2">
        <v>35.34549343585968</v>
      </c>
      <c r="QR2">
        <v>23.963538348674774</v>
      </c>
      <c r="QS2">
        <v>62.461027145385742</v>
      </c>
      <c r="QT2">
        <v>73.976190149784088</v>
      </c>
      <c r="QU2">
        <v>68.2203129529953</v>
      </c>
      <c r="QV2">
        <v>14.681609094142914</v>
      </c>
      <c r="QW2">
        <v>9.0292270183563232</v>
      </c>
      <c r="QX2">
        <v>0.85435420274734497</v>
      </c>
      <c r="QY2">
        <v>12.58752977848053</v>
      </c>
      <c r="QZ2">
        <v>31.324831664562225</v>
      </c>
      <c r="RA2">
        <v>15.614940166473389</v>
      </c>
      <c r="RB2">
        <v>81.301072180271149</v>
      </c>
      <c r="RC2">
        <v>72.385803580284119</v>
      </c>
      <c r="RD2">
        <v>48.264727056026459</v>
      </c>
      <c r="RE2">
        <v>60.541103601455688</v>
      </c>
      <c r="RF2">
        <v>12.035033047199249</v>
      </c>
      <c r="RG2">
        <v>21.396567463874817</v>
      </c>
      <c r="RH2">
        <v>2.344495952129364</v>
      </c>
      <c r="RI2">
        <v>68.715615272521973</v>
      </c>
      <c r="RJ2">
        <v>65.020042955875397</v>
      </c>
      <c r="RK2">
        <v>65.665902972221375</v>
      </c>
      <c r="RL2">
        <v>27.613393723964691</v>
      </c>
      <c r="RM2">
        <v>37.428209066390991</v>
      </c>
      <c r="RN2">
        <v>46.074400246143341</v>
      </c>
      <c r="RO2">
        <v>66.676415085792542</v>
      </c>
      <c r="RP2">
        <v>46.81110543012619</v>
      </c>
      <c r="RQ2">
        <v>16.897329807281494</v>
      </c>
      <c r="RR2">
        <v>17.230270445346832</v>
      </c>
      <c r="RS2">
        <v>30.269107222557068</v>
      </c>
      <c r="RT2">
        <v>47.602120816707611</v>
      </c>
      <c r="RU2">
        <v>28.567008256912231</v>
      </c>
      <c r="RV2">
        <v>43.84306126832962</v>
      </c>
      <c r="RW2">
        <v>35.315256237983704</v>
      </c>
      <c r="RX2">
        <v>47.560109317302704</v>
      </c>
      <c r="RY2">
        <v>4.1537361145019531</v>
      </c>
      <c r="RZ2">
        <v>45.450797617435455</v>
      </c>
      <c r="SA2">
        <v>17.138287425041199</v>
      </c>
      <c r="SB2">
        <v>79.902295053005219</v>
      </c>
      <c r="SC2">
        <v>77.443341016769409</v>
      </c>
      <c r="SD2">
        <v>82.383496582508087</v>
      </c>
      <c r="SE2">
        <v>69.685649514198303</v>
      </c>
      <c r="SF2">
        <v>33.973831832408905</v>
      </c>
      <c r="SG2">
        <v>66.83786153793335</v>
      </c>
      <c r="SH2">
        <v>82.122542440891266</v>
      </c>
      <c r="SI2">
        <v>21.450689673423767</v>
      </c>
      <c r="SJ2">
        <v>14.482178151607513</v>
      </c>
      <c r="SK2">
        <v>57.652422189712524</v>
      </c>
      <c r="SL2">
        <v>1.4100616574287415</v>
      </c>
      <c r="SM2">
        <v>28.14452850818634</v>
      </c>
    </row>
    <row r="3" spans="24:507">
      <c r="X3" s="5">
        <f>SQRT(SUMXMY2('coordenadas dos Polos'!$X$2:$AS$2,'coordenadas dos Polos'!$X$2:$AS$2))</f>
        <v>0</v>
      </c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>
        <f>SQRT(SUMXMY2('coordenadas dos Polos'!$X$2:$AS$2,'coordenadas dos Polos'!$AT$2:$BO$2))</f>
        <v>247.70287370595523</v>
      </c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>
        <f>SQRT(SUMXMY2('coordenadas dos Polos'!$X$2:$AS$2,'coordenadas dos Polos'!$BP$2:$CK$2))</f>
        <v>241.16563380799019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>
        <f>SQRT(SUMXMY2('coordenadas dos Polos'!$X$2:$AS$2,'coordenadas dos Polos'!$CL$2:$DG$2))</f>
        <v>192.20077154774589</v>
      </c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>
        <f>SQRT(SUMXMY2('coordenadas dos Polos'!$X$2:$AS$2,'coordenadas dos Polos'!$DH$2:$EC$2))</f>
        <v>231.87209518063312</v>
      </c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>
        <f>SQRT(SUMXMY2('coordenadas dos Polos'!$X$2:$AS$2,'coordenadas dos Polos'!$ED$2:$EY$2))</f>
        <v>193.60014631705926</v>
      </c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>
        <f>SQRT(SUMXMY2('coordenadas dos Polos'!$X$2:$AS$2,'coordenadas dos Polos'!$EZ$2:$FU$2))</f>
        <v>190.27493111599992</v>
      </c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>
        <f>SQRT(SUMXMY2('coordenadas dos Polos'!$X$2:$AS$2,'coordenadas dos Polos'!$FV$2:$GQ$2))</f>
        <v>206.66047341548276</v>
      </c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>
        <f>SQRT(SUMXMY2('coordenadas dos Polos'!$X$2:$AS$2,'coordenadas dos Polos'!$GR$2:$HM$2))</f>
        <v>187.43820243448079</v>
      </c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>
        <f>SQRT(SUMXMY2('coordenadas dos Polos'!$X$2:$AS$2,'coordenadas dos Polos'!$HN$2:$II$2))</f>
        <v>238.69256147964006</v>
      </c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>
        <f>SQRT(SUMXMY2('coordenadas dos Polos'!$X$2:$AS$2,'coordenadas dos Polos'!$IJ$2:$JE$2))</f>
        <v>210.87614030737103</v>
      </c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>
        <f>SQRT(SUMXMY2('coordenadas dos Polos'!$X$2:$AS$2,'coordenadas dos Polos'!$JF$2:$KA$2))</f>
        <v>207.67014756526413</v>
      </c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>
        <f>SQRT(SUMXMY2('coordenadas dos Polos'!$X$2:$AS$2,'coordenadas dos Polos'!$KB$2:$KW$2))</f>
        <v>229.55011304926023</v>
      </c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>
        <f>SQRT(SUMXMY2('coordenadas dos Polos'!$X$2:$AS$2,'coordenadas dos Polos'!$KX$2:$LS$2))</f>
        <v>198.51791036025554</v>
      </c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>
        <f>SQRT(SUMXMY2('coordenadas dos Polos'!$X$2:$AS$2,'coordenadas dos Polos'!$LT$2:$MO$2))</f>
        <v>245.33817307607714</v>
      </c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>
        <f>SQRT(SUMXMY2('coordenadas dos Polos'!$X$2:$AS$2,'coordenadas dos Polos'!$MP$2:$NK$2))</f>
        <v>225.03260123216782</v>
      </c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>
        <f>SQRT(SUMXMY2('coordenadas dos Polos'!$X$2:$AS$2,'coordenadas dos Polos'!$NL$2:$OG$2))</f>
        <v>220.62234562918948</v>
      </c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>
        <f>SQRT(SUMXMY2('coordenadas dos Polos'!$X$2:$AS$2,'coordenadas dos Polos'!$OH$2:$PC$2))</f>
        <v>241.32777693411072</v>
      </c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>
        <f>SQRT(SUMXMY2('coordenadas dos Polos'!$X$2:$AS$2,'coordenadas dos Polos'!$PD$2:$PY$2))</f>
        <v>218.38820666091814</v>
      </c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>
        <f>SQRT(SUMXMY2('coordenadas dos Polos'!$X$2:$AS$2,'coordenadas dos Polos'!$PZ$2:$QU$2))</f>
        <v>215.25784505957233</v>
      </c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>
        <f>SQRT(SUMXMY2('coordenadas dos Polos'!$X$2:$AS$2,'coordenadas dos Polos'!$QV$2:$RQ$2))</f>
        <v>211.19652125751125</v>
      </c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>
        <f>SQRT(SUMXMY2('coordenadas dos Polos'!$X$2:$AS$2,'coordenadas dos Polos'!$RR$2:$SM$2))</f>
        <v>230.82810240741108</v>
      </c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</row>
    <row r="4" spans="24:507">
      <c r="X4" s="5">
        <f>SQRT(SUMXMY2('coordenadas dos Polos'!$AT$2:$BO$2,'coordenadas dos Polos'!$X$2:$AS$2))</f>
        <v>247.70287370595523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>
        <f>SQRT(SUMXMY2('coordenadas dos Polos'!$AT$2:$BO$2,'coordenadas dos Polos'!$AT$2:$BO$2))</f>
        <v>0</v>
      </c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>
        <f>SQRT(SUMXMY2('coordenadas dos Polos'!$AT$2:$BO$2,'coordenadas dos Polos'!$BP$2:$CK$2))</f>
        <v>170.87770509689383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>
        <f>SQRT(SUMXMY2('coordenadas dos Polos'!$AT$2:$BO$2,'coordenadas dos Polos'!$CL$2:$DG$2))</f>
        <v>171.00853347493322</v>
      </c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>
        <f>SQRT(SUMXMY2('coordenadas dos Polos'!$AT$2:$BO$2,'coordenadas dos Polos'!$DH$2:$EC$2))</f>
        <v>188.6866761468637</v>
      </c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>
        <f>SQRT(SUMXMY2('coordenadas dos Polos'!$AT$2:$BO$2,'coordenadas dos Polos'!$ED$2:$EY$2))</f>
        <v>140.33279425762939</v>
      </c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>
        <f>SQRT(SUMXMY2('coordenadas dos Polos'!$AT$2:$BO$2,'coordenadas dos Polos'!$EZ$2:$FU$2))</f>
        <v>153.32295808587318</v>
      </c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>
        <f>SQRT(SUMXMY2('coordenadas dos Polos'!$AT$2:$BO$2,'coordenadas dos Polos'!$FV$2:$GQ$2))</f>
        <v>148.8044498994162</v>
      </c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>
        <f>SQRT(SUMXMY2('coordenadas dos Polos'!$AT$2:$BO$2,'coordenadas dos Polos'!$GR$2:$HM$2))</f>
        <v>160.19194354451858</v>
      </c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>
        <f>SQRT(SUMXMY2('coordenadas dos Polos'!$AT$2:$BO$2,'coordenadas dos Polos'!$HN$2:$II$2))</f>
        <v>162.42380676035498</v>
      </c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>
        <f>SQRT(SUMXMY2('coordenadas dos Polos'!$AT$2:$BO$2,'coordenadas dos Polos'!$IJ$2:$JE$2))</f>
        <v>125.77450042946153</v>
      </c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>
        <f>SQRT(SUMXMY2('coordenadas dos Polos'!$AT$2:$BO$2,'coordenadas dos Polos'!$JF$2:$KA$2))</f>
        <v>165.08907074916246</v>
      </c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>
        <f>SQRT(SUMXMY2('coordenadas dos Polos'!$AT$2:$BO$2,'coordenadas dos Polos'!$KB$2:$KW$2))</f>
        <v>145.36148791805448</v>
      </c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>
        <f>SQRT(SUMXMY2('coordenadas dos Polos'!$AT$2:$BO$2,'coordenadas dos Polos'!$KX$2:$LS$2))</f>
        <v>158.62734316947086</v>
      </c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>
        <f>SQRT(SUMXMY2('coordenadas dos Polos'!$AT$2:$BO$2,'coordenadas dos Polos'!$LT$2:$MO$2))</f>
        <v>176.64900646521383</v>
      </c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>
        <f>SQRT(SUMXMY2('coordenadas dos Polos'!$AT$2:$BO$2,'coordenadas dos Polos'!$MP$2:$NK$2))</f>
        <v>159.14109524828743</v>
      </c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>
        <f>SQRT(SUMXMY2('coordenadas dos Polos'!$AT$2:$BO$2,'coordenadas dos Polos'!$NL$2:$OG$2))</f>
        <v>158.51682295823451</v>
      </c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>
        <f>SQRT(SUMXMY2('coordenadas dos Polos'!$AT$2:$BO$2,'coordenadas dos Polos'!$OH$2:$PC$2))</f>
        <v>141.3138484146921</v>
      </c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>
        <f>SQRT(SUMXMY2('coordenadas dos Polos'!$AT$2:$BO$2,'coordenadas dos Polos'!$PD$2:$PY$2))</f>
        <v>175.81400746239035</v>
      </c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>
        <f>SQRT(SUMXMY2('coordenadas dos Polos'!$AT$2:$BO$2,'coordenadas dos Polos'!$PZ$2:$QU$2))</f>
        <v>169.34911070823998</v>
      </c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>
        <f>SQRT(SUMXMY2('coordenadas dos Polos'!$AT$2:$BO$2,'coordenadas dos Polos'!$QV$2:$RQ$2))</f>
        <v>169.99291080896052</v>
      </c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>
        <f>SQRT(SUMXMY2('coordenadas dos Polos'!$AT$2:$BO$2,'coordenadas dos Polos'!$RR$2:$SM$2))</f>
        <v>165.08308481096134</v>
      </c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</row>
    <row r="5" spans="24:507">
      <c r="X5" s="5">
        <f>SQRT(SUMXMY2('coordenadas dos Polos'!$BP$2:$CK$2,'coordenadas dos Polos'!$X$2:$AS$2))</f>
        <v>241.16563380799019</v>
      </c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>
        <f>SQRT(SUMXMY2('coordenadas dos Polos'!$BP$2:$CK$2,'coordenadas dos Polos'!$AT$2:$BO$2))</f>
        <v>170.87770509689383</v>
      </c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>
        <f>SQRT(SUMXMY2('coordenadas dos Polos'!$BP$2:$CK$2,'coordenadas dos Polos'!$BP$2:$CK$2))</f>
        <v>0</v>
      </c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f>SQRT(SUMXMY2('coordenadas dos Polos'!$BP$2:$CK$2,'coordenadas dos Polos'!$CL$2:$DG$2))</f>
        <v>163.45268958537463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>
        <f>SQRT(SUMXMY2('coordenadas dos Polos'!$BP$2:$CK$2,'coordenadas dos Polos'!$DH$2:$EC$2))</f>
        <v>130.40619466376404</v>
      </c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>
        <f>SQRT(SUMXMY2('coordenadas dos Polos'!$BP$2:$CK$2,'coordenadas dos Polos'!$ED$2:$EY$2))</f>
        <v>164.13609886630906</v>
      </c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>
        <f>SQRT(SUMXMY2('coordenadas dos Polos'!$BP$2:$CK$2,'coordenadas dos Polos'!$EZ$2:$FU$2))</f>
        <v>209.55073332201428</v>
      </c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>
        <f>SQRT(SUMXMY2('coordenadas dos Polos'!$BP$2:$CK$2,'coordenadas dos Polos'!$FV$2:$GQ$2))</f>
        <v>179.55335374069452</v>
      </c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>
        <f>SQRT(SUMXMY2('coordenadas dos Polos'!$BP$2:$CK$2,'coordenadas dos Polos'!$GR$2:$HM$2))</f>
        <v>171.22801832424523</v>
      </c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>
        <f>SQRT(SUMXMY2('coordenadas dos Polos'!$BP$2:$CK$2,'coordenadas dos Polos'!$HN$2:$II$2))</f>
        <v>168.94964467915773</v>
      </c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>
        <f>SQRT(SUMXMY2('coordenadas dos Polos'!$BP$2:$CK$2,'coordenadas dos Polos'!$IJ$2:$JE$2))</f>
        <v>163.75005659516879</v>
      </c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>
        <f>SQRT(SUMXMY2('coordenadas dos Polos'!$BP$2:$CK$2,'coordenadas dos Polos'!$JF$2:$KA$2))</f>
        <v>187.49743048424929</v>
      </c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>
        <f>SQRT(SUMXMY2('coordenadas dos Polos'!$BP$2:$CK$2,'coordenadas dos Polos'!$KB$2:$KW$2))</f>
        <v>164.01013180068944</v>
      </c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>
        <f>SQRT(SUMXMY2('coordenadas dos Polos'!$BP$2:$CK$2,'coordenadas dos Polos'!$KX$2:$LS$2))</f>
        <v>153.91903082465521</v>
      </c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>
        <f>SQRT(SUMXMY2('coordenadas dos Polos'!$BP$2:$CK$2,'coordenadas dos Polos'!$LT$2:$MO$2))</f>
        <v>182.87949307654983</v>
      </c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>
        <f>SQRT(SUMXMY2('coordenadas dos Polos'!$BP$2:$CK$2,'coordenadas dos Polos'!$MP$2:$NK$2))</f>
        <v>193.544291682877</v>
      </c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>
        <f>SQRT(SUMXMY2('coordenadas dos Polos'!$BP$2:$CK$2,'coordenadas dos Polos'!$NL$2:$OG$2))</f>
        <v>150.74800938660943</v>
      </c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>
        <f>SQRT(SUMXMY2('coordenadas dos Polos'!$BP$2:$CK$2,'coordenadas dos Polos'!$OH$2:$PC$2))</f>
        <v>175.78484224746381</v>
      </c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>
        <f>SQRT(SUMXMY2('coordenadas dos Polos'!$BP$2:$CK$2,'coordenadas dos Polos'!$PD$2:$PY$2))</f>
        <v>144.50274398418688</v>
      </c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>
        <f>SQRT(SUMXMY2('coordenadas dos Polos'!$BP$2:$CK$2,'coordenadas dos Polos'!$PZ$2:$QU$2))</f>
        <v>140.51821625951843</v>
      </c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>
        <f>SQRT(SUMXMY2('coordenadas dos Polos'!$BP$2:$CK$2,'coordenadas dos Polos'!$QV$2:$RQ$2))</f>
        <v>163.92599256429412</v>
      </c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>
        <f>SQRT(SUMXMY2('coordenadas dos Polos'!$BP$2:$CK$2,'coordenadas dos Polos'!$RR$2:$SM$2))</f>
        <v>135.41689597250013</v>
      </c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</row>
    <row r="6" spans="24:507">
      <c r="X6" s="5">
        <f>SQRT(SUMXMY2('coordenadas dos Polos'!$CL$2:$DG$2,'coordenadas dos Polos'!$X$2:$AS$2))</f>
        <v>192.20077154774589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>
        <f>SQRT(SUMXMY2('coordenadas dos Polos'!$CL$2:$DG$2,'coordenadas dos Polos'!$AT$2:$BO$2))</f>
        <v>171.00853347493322</v>
      </c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f>SQRT(SUMXMY2('coordenadas dos Polos'!$CL$2:$DG$2,'coordenadas dos Polos'!$BP$2:$CK$2))</f>
        <v>163.45268958537463</v>
      </c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>
        <f>SQRT(SUMXMY2('coordenadas dos Polos'!$CL$2:$DG$2,'coordenadas dos Polos'!$CL$2:$DG$2))</f>
        <v>0</v>
      </c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>
        <f>SQRT(SUMXMY2('coordenadas dos Polos'!$CL$2:$DG$2,'coordenadas dos Polos'!$DH$2:$EC$2))</f>
        <v>134.33004147913013</v>
      </c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>
        <f>SQRT(SUMXMY2('coordenadas dos Polos'!$CL$2:$DG$2,'coordenadas dos Polos'!$ED$2:$EY$2))</f>
        <v>120.57749955800072</v>
      </c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>
        <f>SQRT(SUMXMY2('coordenadas dos Polos'!$CL$2:$DG$2,'coordenadas dos Polos'!$EZ$2:$FU$2))</f>
        <v>145.13826463010852</v>
      </c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>
        <f>SQRT(SUMXMY2('coordenadas dos Polos'!$CL$2:$DG$2,'coordenadas dos Polos'!$FV$2:$GQ$2))</f>
        <v>135.33350590059129</v>
      </c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>
        <f>SQRT(SUMXMY2('coordenadas dos Polos'!$CL$2:$DG$2,'coordenadas dos Polos'!$GR$2:$HM$2))</f>
        <v>131.74009155469724</v>
      </c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>
        <f>SQRT(SUMXMY2('coordenadas dos Polos'!$CL$2:$DG$2,'coordenadas dos Polos'!$HN$2:$II$2))</f>
        <v>157.63661991880841</v>
      </c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>
        <f>SQRT(SUMXMY2('coordenadas dos Polos'!$CL$2:$DG$2,'coordenadas dos Polos'!$IJ$2:$JE$2))</f>
        <v>133.05248558193912</v>
      </c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>
        <f>SQRT(SUMXMY2('coordenadas dos Polos'!$CL$2:$DG$2,'coordenadas dos Polos'!$JF$2:$KA$2))</f>
        <v>149.59735146425012</v>
      </c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>
        <f>SQRT(SUMXMY2('coordenadas dos Polos'!$CL$2:$DG$2,'coordenadas dos Polos'!$KB$2:$KW$2))</f>
        <v>130.00039095347566</v>
      </c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>
        <f>SQRT(SUMXMY2('coordenadas dos Polos'!$CL$2:$DG$2,'coordenadas dos Polos'!$KX$2:$LS$2))</f>
        <v>149.49698648384259</v>
      </c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>
        <f>SQRT(SUMXMY2('coordenadas dos Polos'!$CL$2:$DG$2,'coordenadas dos Polos'!$LT$2:$MO$2))</f>
        <v>154.58447328525486</v>
      </c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>
        <f>SQRT(SUMXMY2('coordenadas dos Polos'!$CL$2:$DG$2,'coordenadas dos Polos'!$MP$2:$NK$2))</f>
        <v>182.95852126259075</v>
      </c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>
        <f>SQRT(SUMXMY2('coordenadas dos Polos'!$CL$2:$DG$2,'coordenadas dos Polos'!$NL$2:$OG$2))</f>
        <v>152.14300005459089</v>
      </c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>
        <f>SQRT(SUMXMY2('coordenadas dos Polos'!$CL$2:$DG$2,'coordenadas dos Polos'!$OH$2:$PC$2))</f>
        <v>158.19600561180067</v>
      </c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>
        <f>SQRT(SUMXMY2('coordenadas dos Polos'!$CL$2:$DG$2,'coordenadas dos Polos'!$PD$2:$PY$2))</f>
        <v>170.69455780347587</v>
      </c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>
        <f>SQRT(SUMXMY2('coordenadas dos Polos'!$CL$2:$DG$2,'coordenadas dos Polos'!$PZ$2:$QU$2))</f>
        <v>177.32504708321923</v>
      </c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>
        <f>SQRT(SUMXMY2('coordenadas dos Polos'!$CL$2:$DG$2,'coordenadas dos Polos'!$QV$2:$RQ$2))</f>
        <v>151.82221631084099</v>
      </c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>
        <f>SQRT(SUMXMY2('coordenadas dos Polos'!$CL$2:$DG$2,'coordenadas dos Polos'!$RR$2:$SM$2))</f>
        <v>169.24280320858631</v>
      </c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</row>
    <row r="7" spans="24:507">
      <c r="X7" s="5">
        <f>SQRT(SUMXMY2('coordenadas dos Polos'!$DH$2:$EC$2,'coordenadas dos Polos'!$X$2:$AS$2))</f>
        <v>231.87209518063312</v>
      </c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>
        <f>SQRT(SUMXMY2('coordenadas dos Polos'!$DH$2:$EC$2,'coordenadas dos Polos'!$AT$2:$BO$2))</f>
        <v>188.6866761468637</v>
      </c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>
        <f>SQRT(SUMXMY2('coordenadas dos Polos'!$DH$2:$EC$2,'coordenadas dos Polos'!$BP$2:$CK$2))</f>
        <v>130.40619466376404</v>
      </c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>
        <f>SQRT(SUMXMY2('coordenadas dos Polos'!$DH$2:$EC$2,'coordenadas dos Polos'!$CL$2:$DG$2))</f>
        <v>134.33004147913013</v>
      </c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>
        <f>SQRT(SUMXMY2('coordenadas dos Polos'!$DH$2:$EC$2,'coordenadas dos Polos'!$DH$2:$EC$2))</f>
        <v>0</v>
      </c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>
        <f>SQRT(SUMXMY2('coordenadas dos Polos'!$DH$2:$EC$2,'coordenadas dos Polos'!$ED$2:$EY$2))</f>
        <v>139.72421550467305</v>
      </c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>
        <f>SQRT(SUMXMY2('coordenadas dos Polos'!$DH$2:$EC$2,'coordenadas dos Polos'!$EZ$2:$FU$2))</f>
        <v>166.76004327088776</v>
      </c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>
        <f>SQRT(SUMXMY2('coordenadas dos Polos'!$DH$2:$EC$2,'coordenadas dos Polos'!$FV$2:$GQ$2))</f>
        <v>130.99104129004283</v>
      </c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>
        <f>SQRT(SUMXMY2('coordenadas dos Polos'!$DH$2:$EC$2,'coordenadas dos Polos'!$GR$2:$HM$2))</f>
        <v>145.33374961051354</v>
      </c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>
        <f>SQRT(SUMXMY2('coordenadas dos Polos'!$DH$2:$EC$2,'coordenadas dos Polos'!$HN$2:$II$2))</f>
        <v>163.96880968944131</v>
      </c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>
        <f>SQRT(SUMXMY2('coordenadas dos Polos'!$DH$2:$EC$2,'coordenadas dos Polos'!$IJ$2:$JE$2))</f>
        <v>140.00747478382425</v>
      </c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>
        <f>SQRT(SUMXMY2('coordenadas dos Polos'!$DH$2:$EC$2,'coordenadas dos Polos'!$JF$2:$KA$2))</f>
        <v>159.74961714769123</v>
      </c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>
        <f>SQRT(SUMXMY2('coordenadas dos Polos'!$DH$2:$EC$2,'coordenadas dos Polos'!$KB$2:$KW$2))</f>
        <v>158.15505418361465</v>
      </c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>
        <f>SQRT(SUMXMY2('coordenadas dos Polos'!$DH$2:$EC$2,'coordenadas dos Polos'!$KX$2:$LS$2))</f>
        <v>147.23998273863407</v>
      </c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>
        <f>SQRT(SUMXMY2('coordenadas dos Polos'!$DH$2:$EC$2,'coordenadas dos Polos'!$LT$2:$MO$2))</f>
        <v>141.63935037712494</v>
      </c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>
        <f>SQRT(SUMXMY2('coordenadas dos Polos'!$DH$2:$EC$2,'coordenadas dos Polos'!$MP$2:$NK$2))</f>
        <v>172.9273751183276</v>
      </c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>
        <f>SQRT(SUMXMY2('coordenadas dos Polos'!$DH$2:$EC$2,'coordenadas dos Polos'!$NL$2:$OG$2))</f>
        <v>139.91420789864796</v>
      </c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>
        <f>SQRT(SUMXMY2('coordenadas dos Polos'!$DH$2:$EC$2,'coordenadas dos Polos'!$OH$2:$PC$2))</f>
        <v>154.10600051044534</v>
      </c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>
        <f>SQRT(SUMXMY2('coordenadas dos Polos'!$DH$2:$EC$2,'coordenadas dos Polos'!$PD$2:$PY$2))</f>
        <v>140.43220423636544</v>
      </c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>
        <f>SQRT(SUMXMY2('coordenadas dos Polos'!$DH$2:$EC$2,'coordenadas dos Polos'!$PZ$2:$QU$2))</f>
        <v>163.48892018688963</v>
      </c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>
        <f>SQRT(SUMXMY2('coordenadas dos Polos'!$DH$2:$EC$2,'coordenadas dos Polos'!$QV$2:$RQ$2))</f>
        <v>147.25860001960771</v>
      </c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>
        <f>SQRT(SUMXMY2('coordenadas dos Polos'!$DH$2:$EC$2,'coordenadas dos Polos'!$RR$2:$SM$2))</f>
        <v>155.46622523015878</v>
      </c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</row>
    <row r="8" spans="24:507">
      <c r="X8" s="5">
        <f>SQRT(SUMXMY2('coordenadas dos Polos'!$ED$2:$EY$2,'coordenadas dos Polos'!$X$2:$AS$2))</f>
        <v>193.60014631705926</v>
      </c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>
        <f>SQRT(SUMXMY2('coordenadas dos Polos'!$ED$2:$EY$2,'coordenadas dos Polos'!$AT$2:$BO$2))</f>
        <v>140.33279425762939</v>
      </c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>
        <f>SQRT(SUMXMY2('coordenadas dos Polos'!$ED$2:$EY$2,'coordenadas dos Polos'!$BP$2:$CK$2))</f>
        <v>164.13609886630906</v>
      </c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>
        <f>SQRT(SUMXMY2('coordenadas dos Polos'!$ED$2:$EY$2,'coordenadas dos Polos'!$CL$2:$DG$2))</f>
        <v>120.57749955800072</v>
      </c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>
        <f>SQRT(SUMXMY2('coordenadas dos Polos'!$ED$2:$EY$2,'coordenadas dos Polos'!$DH$2:$EC$2))</f>
        <v>139.72421550467305</v>
      </c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>
        <f>SQRT(SUMXMY2('coordenadas dos Polos'!$ED$2:$EY$2,'coordenadas dos Polos'!$ED$2:$EY$2))</f>
        <v>0</v>
      </c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>
        <f>SQRT(SUMXMY2('coordenadas dos Polos'!$ED$2:$EY$2,'coordenadas dos Polos'!$EZ$2:$FU$2))</f>
        <v>140.08347207939195</v>
      </c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>
        <f>SQRT(SUMXMY2('coordenadas dos Polos'!$ED$2:$EY$2,'coordenadas dos Polos'!$FV$2:$GQ$2))</f>
        <v>140.16517057568245</v>
      </c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>
        <f>SQRT(SUMXMY2('coordenadas dos Polos'!$ED$2:$EY$2,'coordenadas dos Polos'!$GR$2:$HM$2))</f>
        <v>122.41620159111837</v>
      </c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>
        <f>SQRT(SUMXMY2('coordenadas dos Polos'!$ED$2:$EY$2,'coordenadas dos Polos'!$HN$2:$II$2))</f>
        <v>155.77264080699396</v>
      </c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>
        <f>SQRT(SUMXMY2('coordenadas dos Polos'!$ED$2:$EY$2,'coordenadas dos Polos'!$IJ$2:$JE$2))</f>
        <v>133.62040457184756</v>
      </c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>
        <f>SQRT(SUMXMY2('coordenadas dos Polos'!$ED$2:$EY$2,'coordenadas dos Polos'!$JF$2:$KA$2))</f>
        <v>147.70245973872326</v>
      </c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>
        <f>SQRT(SUMXMY2('coordenadas dos Polos'!$ED$2:$EY$2,'coordenadas dos Polos'!$KB$2:$KW$2))</f>
        <v>138.79031471962676</v>
      </c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>
        <f>SQRT(SUMXMY2('coordenadas dos Polos'!$ED$2:$EY$2,'coordenadas dos Polos'!$KX$2:$LS$2))</f>
        <v>135.45871345655979</v>
      </c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>
        <f>SQRT(SUMXMY2('coordenadas dos Polos'!$ED$2:$EY$2,'coordenadas dos Polos'!$LT$2:$MO$2))</f>
        <v>120.99031923054063</v>
      </c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>
        <f>SQRT(SUMXMY2('coordenadas dos Polos'!$ED$2:$EY$2,'coordenadas dos Polos'!$MP$2:$NK$2))</f>
        <v>136.49802837780948</v>
      </c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>
        <f>SQRT(SUMXMY2('coordenadas dos Polos'!$ED$2:$EY$2,'coordenadas dos Polos'!$NL$2:$OG$2))</f>
        <v>125.48128034902442</v>
      </c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>
        <f>SQRT(SUMXMY2('coordenadas dos Polos'!$ED$2:$EY$2,'coordenadas dos Polos'!$OH$2:$PC$2))</f>
        <v>144.71368326494979</v>
      </c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>
        <f>SQRT(SUMXMY2('coordenadas dos Polos'!$ED$2:$EY$2,'coordenadas dos Polos'!$PD$2:$PY$2))</f>
        <v>138.30564497127489</v>
      </c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>
        <f>SQRT(SUMXMY2('coordenadas dos Polos'!$ED$2:$EY$2,'coordenadas dos Polos'!$PZ$2:$QU$2))</f>
        <v>135.65526395142643</v>
      </c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>
        <f>SQRT(SUMXMY2('coordenadas dos Polos'!$ED$2:$EY$2,'coordenadas dos Polos'!$QV$2:$RQ$2))</f>
        <v>159.59220571078896</v>
      </c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>
        <f>SQRT(SUMXMY2('coordenadas dos Polos'!$ED$2:$EY$2,'coordenadas dos Polos'!$RR$2:$SM$2))</f>
        <v>184.00102554316871</v>
      </c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</row>
    <row r="9" spans="24:507">
      <c r="X9" s="5">
        <f>SQRT(SUMXMY2('coordenadas dos Polos'!$EZ$2:$FU$2,'coordenadas dos Polos'!$X$2:$AS$2))</f>
        <v>190.27493111599992</v>
      </c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>
        <f>SQRT(SUMXMY2('coordenadas dos Polos'!$EZ$2:$FU$2,'coordenadas dos Polos'!$AT$2:$BO$2))</f>
        <v>153.32295808587318</v>
      </c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>
        <f>SQRT(SUMXMY2('coordenadas dos Polos'!$EZ$2:$FU$2,'coordenadas dos Polos'!$BP$2:$CK$2))</f>
        <v>209.55073332201428</v>
      </c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>
        <f>SQRT(SUMXMY2('coordenadas dos Polos'!$EZ$2:$FU$2,'coordenadas dos Polos'!$CL$2:$DG$2))</f>
        <v>145.13826463010852</v>
      </c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>
        <f>SQRT(SUMXMY2('coordenadas dos Polos'!$EZ$2:$FU$2,'coordenadas dos Polos'!$DH$2:$EC$2))</f>
        <v>166.76004327088776</v>
      </c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>
        <f>SQRT(SUMXMY2('coordenadas dos Polos'!$EZ$2:$FU$2,'coordenadas dos Polos'!$ED$2:$EY$2))</f>
        <v>140.08347207939195</v>
      </c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>
        <f>SQRT(SUMXMY2('coordenadas dos Polos'!$EZ$2:$FU$2,'coordenadas dos Polos'!$EZ$2:$FU$2))</f>
        <v>0</v>
      </c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>
        <f>SQRT(SUMXMY2('coordenadas dos Polos'!$EZ$2:$FU$2,'coordenadas dos Polos'!$FV$2:$GQ$2))</f>
        <v>127.15424453505777</v>
      </c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>
        <f>SQRT(SUMXMY2('coordenadas dos Polos'!$EZ$2:$FU$2,'coordenadas dos Polos'!$GR$2:$HM$2))</f>
        <v>131.23679870800444</v>
      </c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>
        <f>SQRT(SUMXMY2('coordenadas dos Polos'!$EZ$2:$FU$2,'coordenadas dos Polos'!$HN$2:$II$2))</f>
        <v>174.52950599728516</v>
      </c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>
        <f>SQRT(SUMXMY2('coordenadas dos Polos'!$EZ$2:$FU$2,'coordenadas dos Polos'!$IJ$2:$JE$2))</f>
        <v>143.77563206284313</v>
      </c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>
        <f>SQRT(SUMXMY2('coordenadas dos Polos'!$EZ$2:$FU$2,'coordenadas dos Polos'!$JF$2:$KA$2))</f>
        <v>145.66076336818969</v>
      </c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>
        <f>SQRT(SUMXMY2('coordenadas dos Polos'!$EZ$2:$FU$2,'coordenadas dos Polos'!$KB$2:$KW$2))</f>
        <v>149.42419073839889</v>
      </c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>
        <f>SQRT(SUMXMY2('coordenadas dos Polos'!$EZ$2:$FU$2,'coordenadas dos Polos'!$KX$2:$LS$2))</f>
        <v>145.48458336300067</v>
      </c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>
        <f>SQRT(SUMXMY2('coordenadas dos Polos'!$EZ$2:$FU$2,'coordenadas dos Polos'!$LT$2:$MO$2))</f>
        <v>163.98020221706531</v>
      </c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>
        <f>SQRT(SUMXMY2('coordenadas dos Polos'!$EZ$2:$FU$2,'coordenadas dos Polos'!$MP$2:$NK$2))</f>
        <v>129.0944094481861</v>
      </c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>
        <f>SQRT(SUMXMY2('coordenadas dos Polos'!$EZ$2:$FU$2,'coordenadas dos Polos'!$NL$2:$OG$2))</f>
        <v>162.82368494524366</v>
      </c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>
        <f>SQRT(SUMXMY2('coordenadas dos Polos'!$EZ$2:$FU$2,'coordenadas dos Polos'!$OH$2:$PC$2))</f>
        <v>162.05899149781001</v>
      </c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>
        <f>SQRT(SUMXMY2('coordenadas dos Polos'!$EZ$2:$FU$2,'coordenadas dos Polos'!$PD$2:$PY$2))</f>
        <v>179.02894640492622</v>
      </c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>
        <f>SQRT(SUMXMY2('coordenadas dos Polos'!$EZ$2:$FU$2,'coordenadas dos Polos'!$PZ$2:$QU$2))</f>
        <v>186.10580739863605</v>
      </c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>
        <f>SQRT(SUMXMY2('coordenadas dos Polos'!$EZ$2:$FU$2,'coordenadas dos Polos'!$QV$2:$RQ$2))</f>
        <v>166.39333989715283</v>
      </c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>
        <f>SQRT(SUMXMY2('coordenadas dos Polos'!$EZ$2:$FU$2,'coordenadas dos Polos'!$RR$2:$SM$2))</f>
        <v>191.12557972632317</v>
      </c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</row>
    <row r="10" spans="24:507">
      <c r="X10" s="5">
        <f>SQRT(SUMXMY2('coordenadas dos Polos'!$FV$2:$GQ$2,'coordenadas dos Polos'!$X$2:$AS$2))</f>
        <v>206.66047341548276</v>
      </c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>
        <f>SQRT(SUMXMY2('coordenadas dos Polos'!$FV$2:$GQ$2,'coordenadas dos Polos'!$AT$2:$BO$2))</f>
        <v>148.8044498994162</v>
      </c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>
        <f>SQRT(SUMXMY2('coordenadas dos Polos'!$FV$2:$GQ$2,'coordenadas dos Polos'!$BP$2:$CK$2))</f>
        <v>179.55335374069452</v>
      </c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>
        <f>SQRT(SUMXMY2('coordenadas dos Polos'!$FV$2:$GQ$2,'coordenadas dos Polos'!$CL$2:$DG$2))</f>
        <v>135.33350590059129</v>
      </c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>
        <f>SQRT(SUMXMY2('coordenadas dos Polos'!$FV$2:$GQ$2,'coordenadas dos Polos'!$DH$2:$EC$2))</f>
        <v>130.99104129004283</v>
      </c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>
        <f>SQRT(SUMXMY2('coordenadas dos Polos'!$FV$2:$GQ$2,'coordenadas dos Polos'!$ED$2:$EY$2))</f>
        <v>140.16517057568245</v>
      </c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>
        <f>SQRT(SUMXMY2('coordenadas dos Polos'!$FV$2:$GQ$2,'coordenadas dos Polos'!$EZ$2:$FU$2))</f>
        <v>127.15424453505777</v>
      </c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>
        <f>SQRT(SUMXMY2('coordenadas dos Polos'!$FV$2:$GQ$2,'coordenadas dos Polos'!$FV$2:$GQ$2))</f>
        <v>0</v>
      </c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>
        <f>SQRT(SUMXMY2('coordenadas dos Polos'!$FV$2:$GQ$2,'coordenadas dos Polos'!$GR$2:$HM$2))</f>
        <v>173.67861483983188</v>
      </c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>
        <f>SQRT(SUMXMY2('coordenadas dos Polos'!$FV$2:$GQ$2,'coordenadas dos Polos'!$HN$2:$II$2))</f>
        <v>150.4502791574476</v>
      </c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>
        <f>SQRT(SUMXMY2('coordenadas dos Polos'!$FV$2:$GQ$2,'coordenadas dos Polos'!$IJ$2:$JE$2))</f>
        <v>126.63865822442844</v>
      </c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>
        <f>SQRT(SUMXMY2('coordenadas dos Polos'!$FV$2:$GQ$2,'coordenadas dos Polos'!$JF$2:$KA$2))</f>
        <v>156.17697475459519</v>
      </c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>
        <f>SQRT(SUMXMY2('coordenadas dos Polos'!$FV$2:$GQ$2,'coordenadas dos Polos'!$KB$2:$KW$2))</f>
        <v>156.85676089070643</v>
      </c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>
        <f>SQRT(SUMXMY2('coordenadas dos Polos'!$FV$2:$GQ$2,'coordenadas dos Polos'!$KX$2:$LS$2))</f>
        <v>157.02103382757807</v>
      </c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>
        <f>SQRT(SUMXMY2('coordenadas dos Polos'!$FV$2:$GQ$2,'coordenadas dos Polos'!$LT$2:$MO$2))</f>
        <v>132.6795334441405</v>
      </c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>
        <f>SQRT(SUMXMY2('coordenadas dos Polos'!$FV$2:$GQ$2,'coordenadas dos Polos'!$MP$2:$NK$2))</f>
        <v>161.17099169210442</v>
      </c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>
        <f>SQRT(SUMXMY2('coordenadas dos Polos'!$FV$2:$GQ$2,'coordenadas dos Polos'!$NL$2:$OG$2))</f>
        <v>136.5556323356877</v>
      </c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>
        <f>SQRT(SUMXMY2('coordenadas dos Polos'!$FV$2:$GQ$2,'coordenadas dos Polos'!$OH$2:$PC$2))</f>
        <v>110.66146654716262</v>
      </c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>
        <f>SQRT(SUMXMY2('coordenadas dos Polos'!$FV$2:$GQ$2,'coordenadas dos Polos'!$PD$2:$PY$2))</f>
        <v>144.05799615987289</v>
      </c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>
        <f>SQRT(SUMXMY2('coordenadas dos Polos'!$FV$2:$GQ$2,'coordenadas dos Polos'!$PZ$2:$QU$2))</f>
        <v>161.8241330285058</v>
      </c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>
        <f>SQRT(SUMXMY2('coordenadas dos Polos'!$FV$2:$GQ$2,'coordenadas dos Polos'!$QV$2:$RQ$2))</f>
        <v>168.76010208342728</v>
      </c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>
        <f>SQRT(SUMXMY2('coordenadas dos Polos'!$FV$2:$GQ$2,'coordenadas dos Polos'!$RR$2:$SM$2))</f>
        <v>180.3365555959908</v>
      </c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</row>
    <row r="11" spans="24:507">
      <c r="X11" s="5">
        <f>SQRT(SUMXMY2('coordenadas dos Polos'!$GR$2:$HM$2,'coordenadas dos Polos'!$X$2:$AS$2))</f>
        <v>187.43820243448079</v>
      </c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>
        <f>SQRT(SUMXMY2('coordenadas dos Polos'!$GR$2:$HM$2,'coordenadas dos Polos'!$AT$2:$BO$2))</f>
        <v>160.19194354451858</v>
      </c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>
        <f>SQRT(SUMXMY2('coordenadas dos Polos'!$GR$2:$HM$2,'coordenadas dos Polos'!$BP$2:$CK$2))</f>
        <v>171.22801832424523</v>
      </c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>
        <f>SQRT(SUMXMY2('coordenadas dos Polos'!$GR$2:$HM$2,'coordenadas dos Polos'!$CL$2:$DG$2))</f>
        <v>131.74009155469724</v>
      </c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>
        <f>SQRT(SUMXMY2('coordenadas dos Polos'!$GR$2:$HM$2,'coordenadas dos Polos'!$DH$2:$EC$2))</f>
        <v>145.33374961051354</v>
      </c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>
        <f>SQRT(SUMXMY2('coordenadas dos Polos'!$GR$2:$HM$2,'coordenadas dos Polos'!$ED$2:$EY$2))</f>
        <v>122.41620159111837</v>
      </c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>
        <f>SQRT(SUMXMY2('coordenadas dos Polos'!$GR$2:$HM$2,'coordenadas dos Polos'!$EZ$2:$FU$2))</f>
        <v>131.23679870800444</v>
      </c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>
        <f>SQRT(SUMXMY2('coordenadas dos Polos'!$GR$2:$HM$2,'coordenadas dos Polos'!$FV$2:$GQ$2))</f>
        <v>173.67861483983188</v>
      </c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>
        <f>SQRT(SUMXMY2('coordenadas dos Polos'!$GR$2:$HM$2,'coordenadas dos Polos'!$GR$2:$HM$2))</f>
        <v>0</v>
      </c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>
        <f>SQRT(SUMXMY2('coordenadas dos Polos'!$GR$2:$HM$2,'coordenadas dos Polos'!$HN$2:$II$2))</f>
        <v>154.39017185711506</v>
      </c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>
        <f>SQRT(SUMXMY2('coordenadas dos Polos'!$GR$2:$HM$2,'coordenadas dos Polos'!$IJ$2:$JE$2))</f>
        <v>143.83210155066001</v>
      </c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>
        <f>SQRT(SUMXMY2('coordenadas dos Polos'!$GR$2:$HM$2,'coordenadas dos Polos'!$JF$2:$KA$2))</f>
        <v>145.68621659228845</v>
      </c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>
        <f>SQRT(SUMXMY2('coordenadas dos Polos'!$GR$2:$HM$2,'coordenadas dos Polos'!$KB$2:$KW$2))</f>
        <v>127.99261941286427</v>
      </c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>
        <f>SQRT(SUMXMY2('coordenadas dos Polos'!$GR$2:$HM$2,'coordenadas dos Polos'!$KX$2:$LS$2))</f>
        <v>144.83975953197685</v>
      </c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>
        <f>SQRT(SUMXMY2('coordenadas dos Polos'!$GR$2:$HM$2,'coordenadas dos Polos'!$LT$2:$MO$2))</f>
        <v>156.88449585369867</v>
      </c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>
        <f>SQRT(SUMXMY2('coordenadas dos Polos'!$GR$2:$HM$2,'coordenadas dos Polos'!$MP$2:$NK$2))</f>
        <v>132.7772239150197</v>
      </c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>
        <f>SQRT(SUMXMY2('coordenadas dos Polos'!$GR$2:$HM$2,'coordenadas dos Polos'!$NL$2:$OG$2))</f>
        <v>159.91951407989083</v>
      </c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>
        <f>SQRT(SUMXMY2('coordenadas dos Polos'!$GR$2:$HM$2,'coordenadas dos Polos'!$OH$2:$PC$2))</f>
        <v>168.85002331366294</v>
      </c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>
        <f>SQRT(SUMXMY2('coordenadas dos Polos'!$GR$2:$HM$2,'coordenadas dos Polos'!$PD$2:$PY$2))</f>
        <v>160.38345746245113</v>
      </c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>
        <f>SQRT(SUMXMY2('coordenadas dos Polos'!$GR$2:$HM$2,'coordenadas dos Polos'!$PZ$2:$QU$2))</f>
        <v>163.19311115984164</v>
      </c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>
        <f>SQRT(SUMXMY2('coordenadas dos Polos'!$GR$2:$HM$2,'coordenadas dos Polos'!$QV$2:$RQ$2))</f>
        <v>120.04387300224367</v>
      </c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>
        <f>SQRT(SUMXMY2('coordenadas dos Polos'!$GR$2:$HM$2,'coordenadas dos Polos'!$RR$2:$SM$2))</f>
        <v>169.6255337785594</v>
      </c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</row>
    <row r="12" spans="24:507">
      <c r="X12" s="5">
        <f>SQRT(SUMXMY2('coordenadas dos Polos'!$HN$2:$II$2,'coordenadas dos Polos'!$X$2:$AS$2))</f>
        <v>238.69256147964006</v>
      </c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>
        <f>SQRT(SUMXMY2('coordenadas dos Polos'!$HN$2:$II$2,'coordenadas dos Polos'!$AT$2:$BO$2))</f>
        <v>162.42380676035498</v>
      </c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>
        <f>SQRT(SUMXMY2('coordenadas dos Polos'!$HN$2:$II$2,'coordenadas dos Polos'!$BP$2:$CK$2))</f>
        <v>168.94964467915773</v>
      </c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>
        <f>SQRT(SUMXMY2('coordenadas dos Polos'!$HN$2:$II$2,'coordenadas dos Polos'!$CL$2:$DG$2))</f>
        <v>157.63661991880841</v>
      </c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>
        <f>SQRT(SUMXMY2('coordenadas dos Polos'!$HN$2:$II$2,'coordenadas dos Polos'!$DH$2:$EC$2))</f>
        <v>163.96880968944131</v>
      </c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>
        <f>SQRT(SUMXMY2('coordenadas dos Polos'!$HN$2:$II$2,'coordenadas dos Polos'!$ED$2:$EY$2))</f>
        <v>155.77264080699396</v>
      </c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>
        <f>SQRT(SUMXMY2('coordenadas dos Polos'!$HN$2:$II$2,'coordenadas dos Polos'!$EZ$2:$FU$2))</f>
        <v>174.52950599728516</v>
      </c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>
        <f>SQRT(SUMXMY2('coordenadas dos Polos'!$HN$2:$II$2,'coordenadas dos Polos'!$FV$2:$GQ$2))</f>
        <v>150.4502791574476</v>
      </c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>
        <f>SQRT(SUMXMY2('coordenadas dos Polos'!$HN$2:$II$2,'coordenadas dos Polos'!$GR$2:$HM$2))</f>
        <v>154.39017185711506</v>
      </c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>
        <f>SQRT(SUMXMY2('coordenadas dos Polos'!$HN$2:$II$2,'coordenadas dos Polos'!$HN$2:$II$2))</f>
        <v>0</v>
      </c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>
        <f>SQRT(SUMXMY2('coordenadas dos Polos'!$HN$2:$II$2,'coordenadas dos Polos'!$IJ$2:$JE$2))</f>
        <v>136.84607751767382</v>
      </c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>
        <f>SQRT(SUMXMY2('coordenadas dos Polos'!$HN$2:$II$2,'coordenadas dos Polos'!$JF$2:$KA$2))</f>
        <v>206.26973160459789</v>
      </c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>
        <f>SQRT(SUMXMY2('coordenadas dos Polos'!$HN$2:$II$2,'coordenadas dos Polos'!$KB$2:$KW$2))</f>
        <v>156.96193856072324</v>
      </c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>
        <f>SQRT(SUMXMY2('coordenadas dos Polos'!$HN$2:$II$2,'coordenadas dos Polos'!$KX$2:$LS$2))</f>
        <v>162.35781359714437</v>
      </c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>
        <f>SQRT(SUMXMY2('coordenadas dos Polos'!$HN$2:$II$2,'coordenadas dos Polos'!$LT$2:$MO$2))</f>
        <v>149.16089510907821</v>
      </c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>
        <f>SQRT(SUMXMY2('coordenadas dos Polos'!$HN$2:$II$2,'coordenadas dos Polos'!$MP$2:$NK$2))</f>
        <v>167.78061363892536</v>
      </c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>
        <f>SQRT(SUMXMY2('coordenadas dos Polos'!$HN$2:$II$2,'coordenadas dos Polos'!$NL$2:$OG$2))</f>
        <v>178.68138173077696</v>
      </c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>
        <f>SQRT(SUMXMY2('coordenadas dos Polos'!$HN$2:$II$2,'coordenadas dos Polos'!$OH$2:$PC$2))</f>
        <v>153.77585354332174</v>
      </c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>
        <f>SQRT(SUMXMY2('coordenadas dos Polos'!$HN$2:$II$2,'coordenadas dos Polos'!$PD$2:$PY$2))</f>
        <v>139.65225885493103</v>
      </c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>
        <f>SQRT(SUMXMY2('coordenadas dos Polos'!$HN$2:$II$2,'coordenadas dos Polos'!$PZ$2:$QU$2))</f>
        <v>147.16966325586338</v>
      </c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>
        <f>SQRT(SUMXMY2('coordenadas dos Polos'!$HN$2:$II$2,'coordenadas dos Polos'!$QV$2:$RQ$2))</f>
        <v>172.79071416168054</v>
      </c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>
        <f>SQRT(SUMXMY2('coordenadas dos Polos'!$HN$2:$II$2,'coordenadas dos Polos'!$RR$2:$SM$2))</f>
        <v>161.12816454226342</v>
      </c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</row>
    <row r="13" spans="24:507">
      <c r="X13" s="5">
        <f>SQRT(SUMXMY2('coordenadas dos Polos'!$IJ$2:$JE$2,'coordenadas dos Polos'!$X$2:$AS$2))</f>
        <v>210.87614030737103</v>
      </c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>
        <f>SQRT(SUMXMY2('coordenadas dos Polos'!$IJ$2:$JE$2,'coordenadas dos Polos'!$AT$2:$BO$2))</f>
        <v>125.77450042946153</v>
      </c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>
        <f>SQRT(SUMXMY2('coordenadas dos Polos'!$IJ$2:$JE$2,'coordenadas dos Polos'!$BP$2:$CK$2))</f>
        <v>163.75005659516879</v>
      </c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>
        <f>SQRT(SUMXMY2('coordenadas dos Polos'!$IJ$2:$JE$2,'coordenadas dos Polos'!$CL$2:$DG$2))</f>
        <v>133.05248558193912</v>
      </c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>
        <f>SQRT(SUMXMY2('coordenadas dos Polos'!$IJ$2:$JE$2,'coordenadas dos Polos'!$DH$2:$EC$2))</f>
        <v>140.00747478382425</v>
      </c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>
        <f>SQRT(SUMXMY2('coordenadas dos Polos'!$IJ$2:$JE$2,'coordenadas dos Polos'!$ED$2:$EY$2))</f>
        <v>133.62040457184756</v>
      </c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>
        <f>SQRT(SUMXMY2('coordenadas dos Polos'!$IJ$2:$JE$2,'coordenadas dos Polos'!$EZ$2:$FU$2))</f>
        <v>143.77563206284313</v>
      </c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>
        <f>SQRT(SUMXMY2('coordenadas dos Polos'!$IJ$2:$JE$2,'coordenadas dos Polos'!$FV$2:$GQ$2))</f>
        <v>126.63865822442844</v>
      </c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>
        <f>SQRT(SUMXMY2('coordenadas dos Polos'!$IJ$2:$JE$2,'coordenadas dos Polos'!$GR$2:$HM$2))</f>
        <v>143.83210155066001</v>
      </c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>
        <f>SQRT(SUMXMY2('coordenadas dos Polos'!$IJ$2:$JE$2,'coordenadas dos Polos'!$HN$2:$II$2))</f>
        <v>136.84607751767382</v>
      </c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>
        <f>SQRT(SUMXMY2('coordenadas dos Polos'!$IJ$2:$JE$2,'coordenadas dos Polos'!$IJ$2:$JE$2))</f>
        <v>0</v>
      </c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>
        <f>SQRT(SUMXMY2('coordenadas dos Polos'!$IJ$2:$JE$2,'coordenadas dos Polos'!$JF$2:$KA$2))</f>
        <v>122.44120416703055</v>
      </c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>
        <f>SQRT(SUMXMY2('coordenadas dos Polos'!$IJ$2:$JE$2,'coordenadas dos Polos'!$KB$2:$KW$2))</f>
        <v>162.83633542344626</v>
      </c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>
        <f>SQRT(SUMXMY2('coordenadas dos Polos'!$IJ$2:$JE$2,'coordenadas dos Polos'!$KX$2:$LS$2))</f>
        <v>127.64623716780866</v>
      </c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>
        <f>SQRT(SUMXMY2('coordenadas dos Polos'!$IJ$2:$JE$2,'coordenadas dos Polos'!$LT$2:$MO$2))</f>
        <v>149.83383614888675</v>
      </c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>
        <f>SQRT(SUMXMY2('coordenadas dos Polos'!$IJ$2:$JE$2,'coordenadas dos Polos'!$MP$2:$NK$2))</f>
        <v>158.51070704596859</v>
      </c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>
        <f>SQRT(SUMXMY2('coordenadas dos Polos'!$IJ$2:$JE$2,'coordenadas dos Polos'!$NL$2:$OG$2))</f>
        <v>153.47407061766964</v>
      </c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>
        <f>SQRT(SUMXMY2('coordenadas dos Polos'!$IJ$2:$JE$2,'coordenadas dos Polos'!$OH$2:$PC$2))</f>
        <v>138.3093972869444</v>
      </c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>
        <f>SQRT(SUMXMY2('coordenadas dos Polos'!$IJ$2:$JE$2,'coordenadas dos Polos'!$PD$2:$PY$2))</f>
        <v>147.2171209647947</v>
      </c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>
        <f>SQRT(SUMXMY2('coordenadas dos Polos'!$IJ$2:$JE$2,'coordenadas dos Polos'!$PZ$2:$QU$2))</f>
        <v>154.96301682255924</v>
      </c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>
        <f>SQRT(SUMXMY2('coordenadas dos Polos'!$IJ$2:$JE$2,'coordenadas dos Polos'!$QV$2:$RQ$2))</f>
        <v>140.80589515038571</v>
      </c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>
        <f>SQRT(SUMXMY2('coordenadas dos Polos'!$IJ$2:$JE$2,'coordenadas dos Polos'!$RR$2:$SM$2))</f>
        <v>132.49978649296511</v>
      </c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</row>
    <row r="14" spans="24:507">
      <c r="X14" s="5">
        <f>SQRT(SUMXMY2('coordenadas dos Polos'!$JF$2:$KA$2,'coordenadas dos Polos'!$X$2:$AS$2))</f>
        <v>207.67014756526413</v>
      </c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>
        <f>SQRT(SUMXMY2('coordenadas dos Polos'!$JF$2:$KA$2,'coordenadas dos Polos'!$AT$2:$BO$2))</f>
        <v>165.08907074916246</v>
      </c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>
        <f>SQRT(SUMXMY2('coordenadas dos Polos'!$JF$2:$KA$2,'coordenadas dos Polos'!$BP$2:$CK$2))</f>
        <v>187.49743048424929</v>
      </c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>
        <f>SQRT(SUMXMY2('coordenadas dos Polos'!$JF$2:$KA$2,'coordenadas dos Polos'!$CL$2:$DG$2))</f>
        <v>149.59735146425012</v>
      </c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>
        <f>SQRT(SUMXMY2('coordenadas dos Polos'!$JF$2:$KA$2,'coordenadas dos Polos'!$DH$2:$EC$2))</f>
        <v>159.74961714769123</v>
      </c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>
        <f>SQRT(SUMXMY2('coordenadas dos Polos'!$JF$2:$KA$2,'coordenadas dos Polos'!$ED$2:$EY$2))</f>
        <v>147.70245973872326</v>
      </c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>
        <f>SQRT(SUMXMY2('coordenadas dos Polos'!$JF$2:$KA$2,'coordenadas dos Polos'!$EZ$2:$FU$2))</f>
        <v>145.66076336818969</v>
      </c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>
        <f>SQRT(SUMXMY2('coordenadas dos Polos'!$JF$2:$KA$2,'coordenadas dos Polos'!$FV$2:$GQ$2))</f>
        <v>156.17697475459519</v>
      </c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>
        <f>SQRT(SUMXMY2('coordenadas dos Polos'!$JF$2:$KA$2,'coordenadas dos Polos'!$GR$2:$HM$2))</f>
        <v>145.68621659228845</v>
      </c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>
        <f>SQRT(SUMXMY2('coordenadas dos Polos'!$JF$2:$KA$2,'coordenadas dos Polos'!$HN$2:$II$2))</f>
        <v>206.26973160459789</v>
      </c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>
        <f>SQRT(SUMXMY2('coordenadas dos Polos'!$JF$2:$KA$2,'coordenadas dos Polos'!$IJ$2:$JE$2))</f>
        <v>122.44120416703055</v>
      </c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>
        <f>SQRT(SUMXMY2('coordenadas dos Polos'!$JF$2:$KA$2,'coordenadas dos Polos'!$JF$2:$KA$2))</f>
        <v>0</v>
      </c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>
        <f>SQRT(SUMXMY2('coordenadas dos Polos'!$JF$2:$KA$2,'coordenadas dos Polos'!$KB$2:$KW$2))</f>
        <v>142.04070688658635</v>
      </c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>
        <f>SQRT(SUMXMY2('coordenadas dos Polos'!$JF$2:$KA$2,'coordenadas dos Polos'!$KX$2:$LS$2))</f>
        <v>165.40788314312957</v>
      </c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>
        <f>SQRT(SUMXMY2('coordenadas dos Polos'!$JF$2:$KA$2,'coordenadas dos Polos'!$LT$2:$MO$2))</f>
        <v>162.1717450347015</v>
      </c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>
        <f>SQRT(SUMXMY2('coordenadas dos Polos'!$JF$2:$KA$2,'coordenadas dos Polos'!$MP$2:$NK$2))</f>
        <v>163.78969594526484</v>
      </c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>
        <f>SQRT(SUMXMY2('coordenadas dos Polos'!$JF$2:$KA$2,'coordenadas dos Polos'!$NL$2:$OG$2))</f>
        <v>156.22755578002872</v>
      </c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>
        <f>SQRT(SUMXMY2('coordenadas dos Polos'!$JF$2:$KA$2,'coordenadas dos Polos'!$OH$2:$PC$2))</f>
        <v>145.89306052717143</v>
      </c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>
        <f>SQRT(SUMXMY2('coordenadas dos Polos'!$JF$2:$KA$2,'coordenadas dos Polos'!$PD$2:$PY$2))</f>
        <v>186.66653829865731</v>
      </c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>
        <f>SQRT(SUMXMY2('coordenadas dos Polos'!$JF$2:$KA$2,'coordenadas dos Polos'!$PZ$2:$QU$2))</f>
        <v>192.3597128218382</v>
      </c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>
        <f>SQRT(SUMXMY2('coordenadas dos Polos'!$JF$2:$KA$2,'coordenadas dos Polos'!$QV$2:$RQ$2))</f>
        <v>150.4750155129212</v>
      </c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>
        <f>SQRT(SUMXMY2('coordenadas dos Polos'!$JF$2:$KA$2,'coordenadas dos Polos'!$RR$2:$SM$2))</f>
        <v>160.47569917073901</v>
      </c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</row>
    <row r="15" spans="24:507">
      <c r="X15" s="5">
        <f>SQRT(SUMXMY2('coordenadas dos Polos'!$KB$2:$KW$2,'coordenadas dos Polos'!$X$2:$AS$2))</f>
        <v>229.55011304926023</v>
      </c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>
        <f>SQRT(SUMXMY2('coordenadas dos Polos'!$KB$2:$KW$2,'coordenadas dos Polos'!$AT$2:$BO$2))</f>
        <v>145.36148791805448</v>
      </c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>
        <f>SQRT(SUMXMY2('coordenadas dos Polos'!$KB$2:$KW$2,'coordenadas dos Polos'!$BP$2:$CK$2))</f>
        <v>164.01013180068944</v>
      </c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>
        <f>SQRT(SUMXMY2('coordenadas dos Polos'!$KB$2:$KW$2,'coordenadas dos Polos'!$CL$2:$DG$2))</f>
        <v>130.00039095347566</v>
      </c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>
        <f>SQRT(SUMXMY2('coordenadas dos Polos'!$KB$2:$KW$2,'coordenadas dos Polos'!$DH$2:$EC$2))</f>
        <v>158.15505418361465</v>
      </c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>
        <f>SQRT(SUMXMY2('coordenadas dos Polos'!$KB$2:$KW$2,'coordenadas dos Polos'!$ED$2:$EY$2))</f>
        <v>138.79031471962676</v>
      </c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>
        <f>SQRT(SUMXMY2('coordenadas dos Polos'!$KB$2:$KW$2,'coordenadas dos Polos'!$EZ$2:$FU$2))</f>
        <v>149.42419073839889</v>
      </c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>
        <f>SQRT(SUMXMY2('coordenadas dos Polos'!$KB$2:$KW$2,'coordenadas dos Polos'!$FV$2:$GQ$2))</f>
        <v>156.85676089070643</v>
      </c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>
        <f>SQRT(SUMXMY2('coordenadas dos Polos'!$KB$2:$KW$2,'coordenadas dos Polos'!$GR$2:$HM$2))</f>
        <v>127.99261941286427</v>
      </c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>
        <f>SQRT(SUMXMY2('coordenadas dos Polos'!$KB$2:$KW$2,'coordenadas dos Polos'!$HN$2:$II$2))</f>
        <v>156.96193856072324</v>
      </c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>
        <f>SQRT(SUMXMY2('coordenadas dos Polos'!$KB$2:$KW$2,'coordenadas dos Polos'!$IJ$2:$JE$2))</f>
        <v>162.83633542344626</v>
      </c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>
        <f>SQRT(SUMXMY2('coordenadas dos Polos'!$KB$2:$KW$2,'coordenadas dos Polos'!$JF$2:$KA$2))</f>
        <v>142.04070688658635</v>
      </c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>
        <f>SQRT(SUMXMY2('coordenadas dos Polos'!$KB$2:$KW$2,'coordenadas dos Polos'!$KB$2:$KW$2))</f>
        <v>0</v>
      </c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>
        <f>SQRT(SUMXMY2('coordenadas dos Polos'!$KB$2:$KW$2,'coordenadas dos Polos'!$KX$2:$LS$2))</f>
        <v>168.8204589671368</v>
      </c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>
        <f>SQRT(SUMXMY2('coordenadas dos Polos'!$KB$2:$KW$2,'coordenadas dos Polos'!$LT$2:$MO$2))</f>
        <v>146.10471125101597</v>
      </c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>
        <f>SQRT(SUMXMY2('coordenadas dos Polos'!$KB$2:$KW$2,'coordenadas dos Polos'!$MP$2:$NK$2))</f>
        <v>146.88491356035686</v>
      </c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>
        <f>SQRT(SUMXMY2('coordenadas dos Polos'!$KB$2:$KW$2,'coordenadas dos Polos'!$NL$2:$OG$2))</f>
        <v>153.83433540490651</v>
      </c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>
        <f>SQRT(SUMXMY2('coordenadas dos Polos'!$KB$2:$KW$2,'coordenadas dos Polos'!$OH$2:$PC$2))</f>
        <v>154.43198636013011</v>
      </c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>
        <f>SQRT(SUMXMY2('coordenadas dos Polos'!$KB$2:$KW$2,'coordenadas dos Polos'!$PD$2:$PY$2))</f>
        <v>176.11467009919795</v>
      </c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>
        <f>SQRT(SUMXMY2('coordenadas dos Polos'!$KB$2:$KW$2,'coordenadas dos Polos'!$PZ$2:$QU$2))</f>
        <v>171.87400925962586</v>
      </c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>
        <f>SQRT(SUMXMY2('coordenadas dos Polos'!$KB$2:$KW$2,'coordenadas dos Polos'!$QV$2:$RQ$2))</f>
        <v>139.7436070063838</v>
      </c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>
        <f>SQRT(SUMXMY2('coordenadas dos Polos'!$KB$2:$KW$2,'coordenadas dos Polos'!$RR$2:$SM$2))</f>
        <v>166.15078614784974</v>
      </c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</row>
    <row r="16" spans="24:507">
      <c r="X16" s="5">
        <f>SQRT(SUMXMY2('coordenadas dos Polos'!$KX$2:$LS$2,'coordenadas dos Polos'!$X$2:$AS$2))</f>
        <v>198.51791036025554</v>
      </c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f>SQRT(SUMXMY2('coordenadas dos Polos'!$KX$2:$LS$2,'coordenadas dos Polos'!$AT$2:$BO$2))</f>
        <v>158.62734316947086</v>
      </c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>
        <f>SQRT(SUMXMY2('coordenadas dos Polos'!$KX$2:$LS$2,'coordenadas dos Polos'!$BP$2:$CK$2))</f>
        <v>153.91903082465521</v>
      </c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>
        <f>SQRT(SUMXMY2('coordenadas dos Polos'!$KX$2:$LS$2,'coordenadas dos Polos'!$CL$2:$DG$2))</f>
        <v>149.49698648384259</v>
      </c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>
        <f>SQRT(SUMXMY2('coordenadas dos Polos'!$KX$2:$LS$2,'coordenadas dos Polos'!$DH$2:$EC$2))</f>
        <v>147.23998273863407</v>
      </c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>
        <f>SQRT(SUMXMY2('coordenadas dos Polos'!$KX$2:$LS$2,'coordenadas dos Polos'!$ED$2:$EY$2))</f>
        <v>135.45871345655979</v>
      </c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>
        <f>SQRT(SUMXMY2('coordenadas dos Polos'!$KX$2:$LS$2,'coordenadas dos Polos'!$EZ$2:$FU$2))</f>
        <v>145.48458336300067</v>
      </c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>
        <f>SQRT(SUMXMY2('coordenadas dos Polos'!$KX$2:$LS$2,'coordenadas dos Polos'!$FV$2:$GQ$2))</f>
        <v>157.02103382757807</v>
      </c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>
        <f>SQRT(SUMXMY2('coordenadas dos Polos'!$KX$2:$LS$2,'coordenadas dos Polos'!$GR$2:$HM$2))</f>
        <v>144.83975953197685</v>
      </c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>
        <f>SQRT(SUMXMY2('coordenadas dos Polos'!$KX$2:$LS$2,'coordenadas dos Polos'!$HN$2:$II$2))</f>
        <v>162.35781359714437</v>
      </c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>
        <f>SQRT(SUMXMY2('coordenadas dos Polos'!$KX$2:$LS$2,'coordenadas dos Polos'!$IJ$2:$JE$2))</f>
        <v>127.64623716780866</v>
      </c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>
        <f>SQRT(SUMXMY2('coordenadas dos Polos'!$KX$2:$LS$2,'coordenadas dos Polos'!$JF$2:$KA$2))</f>
        <v>165.40788314312957</v>
      </c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>
        <f>SQRT(SUMXMY2('coordenadas dos Polos'!$KX$2:$LS$2,'coordenadas dos Polos'!$KB$2:$KW$2))</f>
        <v>168.8204589671368</v>
      </c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>
        <f>SQRT(SUMXMY2('coordenadas dos Polos'!$KX$2:$LS$2,'coordenadas dos Polos'!$KX$2:$LS$2))</f>
        <v>0</v>
      </c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>
        <f>SQRT(SUMXMY2('coordenadas dos Polos'!$KX$2:$LS$2,'coordenadas dos Polos'!$LT$2:$MO$2))</f>
        <v>177.68456347803917</v>
      </c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>
        <f>SQRT(SUMXMY2('coordenadas dos Polos'!$KX$2:$LS$2,'coordenadas dos Polos'!$MP$2:$NK$2))</f>
        <v>163.18149840183361</v>
      </c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>
        <f>SQRT(SUMXMY2('coordenadas dos Polos'!$KX$2:$LS$2,'coordenadas dos Polos'!$NL$2:$OG$2))</f>
        <v>168.38304085301428</v>
      </c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>
        <f>SQRT(SUMXMY2('coordenadas dos Polos'!$KX$2:$LS$2,'coordenadas dos Polos'!$OH$2:$PC$2))</f>
        <v>177.56402508610768</v>
      </c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>
        <f>SQRT(SUMXMY2('coordenadas dos Polos'!$KX$2:$LS$2,'coordenadas dos Polos'!$PD$2:$PY$2))</f>
        <v>172.46991894863038</v>
      </c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>
        <f>SQRT(SUMXMY2('coordenadas dos Polos'!$KX$2:$LS$2,'coordenadas dos Polos'!$PZ$2:$QU$2))</f>
        <v>151.18421266547705</v>
      </c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>
        <f>SQRT(SUMXMY2('coordenadas dos Polos'!$KX$2:$LS$2,'coordenadas dos Polos'!$QV$2:$RQ$2))</f>
        <v>148.45240604385415</v>
      </c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>
        <f>SQRT(SUMXMY2('coordenadas dos Polos'!$KX$2:$LS$2,'coordenadas dos Polos'!$RR$2:$SM$2))</f>
        <v>147.59109441577542</v>
      </c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</row>
    <row r="17" spans="24:507">
      <c r="X17" s="5">
        <f>SQRT(SUMXMY2('coordenadas dos Polos'!$LT$2:$MO$2,'coordenadas dos Polos'!$X$2:$AS$2))</f>
        <v>245.33817307607714</v>
      </c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>
        <f>SQRT(SUMXMY2('coordenadas dos Polos'!$LT$2:$MO$2,'coordenadas dos Polos'!$AT$2:$BO$2))</f>
        <v>176.64900646521383</v>
      </c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>
        <f>SQRT(SUMXMY2('coordenadas dos Polos'!$LT$2:$MO$2,'coordenadas dos Polos'!$BP$2:$CK$2))</f>
        <v>182.87949307654983</v>
      </c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f>SQRT(SUMXMY2('coordenadas dos Polos'!$LT$2:$MO$2,'coordenadas dos Polos'!$CL$2:$DG$2))</f>
        <v>154.58447328525486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>
        <f>SQRT(SUMXMY2('coordenadas dos Polos'!$LT$2:$MO$2,'coordenadas dos Polos'!$DH$2:$EC$2))</f>
        <v>141.63935037712494</v>
      </c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>
        <f>SQRT(SUMXMY2('coordenadas dos Polos'!$LT$2:$MO$2,'coordenadas dos Polos'!$ED$2:$EY$2))</f>
        <v>120.99031923054063</v>
      </c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>
        <f>SQRT(SUMXMY2('coordenadas dos Polos'!$LT$2:$MO$2,'coordenadas dos Polos'!$EZ$2:$FU$2))</f>
        <v>163.98020221706531</v>
      </c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>
        <f>SQRT(SUMXMY2('coordenadas dos Polos'!$LT$2:$MO$2,'coordenadas dos Polos'!$FV$2:$GQ$2))</f>
        <v>132.6795334441405</v>
      </c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>
        <f>SQRT(SUMXMY2('coordenadas dos Polos'!$LT$2:$MO$2,'coordenadas dos Polos'!$GR$2:$HM$2))</f>
        <v>156.88449585369867</v>
      </c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>
        <f>SQRT(SUMXMY2('coordenadas dos Polos'!$LT$2:$MO$2,'coordenadas dos Polos'!$HN$2:$II$2))</f>
        <v>149.16089510907821</v>
      </c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>
        <f>SQRT(SUMXMY2('coordenadas dos Polos'!$LT$2:$MO$2,'coordenadas dos Polos'!$IJ$2:$JE$2))</f>
        <v>149.83383614888675</v>
      </c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>
        <f>SQRT(SUMXMY2('coordenadas dos Polos'!$LT$2:$MO$2,'coordenadas dos Polos'!$JF$2:$KA$2))</f>
        <v>162.1717450347015</v>
      </c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>
        <f>SQRT(SUMXMY2('coordenadas dos Polos'!$LT$2:$MO$2,'coordenadas dos Polos'!$KB$2:$KW$2))</f>
        <v>146.10471125101597</v>
      </c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>
        <f>SQRT(SUMXMY2('coordenadas dos Polos'!$LT$2:$MO$2,'coordenadas dos Polos'!$KX$2:$LS$2))</f>
        <v>177.68456347803917</v>
      </c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>
        <f>SQRT(SUMXMY2('coordenadas dos Polos'!$LT$2:$MO$2,'coordenadas dos Polos'!$LT$2:$MO$2))</f>
        <v>0</v>
      </c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>
        <f>SQRT(SUMXMY2('coordenadas dos Polos'!$LT$2:$MO$2,'coordenadas dos Polos'!$MP$2:$NK$2))</f>
        <v>142.7798394041659</v>
      </c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>
        <f>SQRT(SUMXMY2('coordenadas dos Polos'!$LT$2:$MO$2,'coordenadas dos Polos'!$NL$2:$OG$2))</f>
        <v>132.50216185922523</v>
      </c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>
        <f>SQRT(SUMXMY2('coordenadas dos Polos'!$LT$2:$MO$2,'coordenadas dos Polos'!$OH$2:$PC$2))</f>
        <v>125.81284452570715</v>
      </c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>
        <f>SQRT(SUMXMY2('coordenadas dos Polos'!$LT$2:$MO$2,'coordenadas dos Polos'!$PD$2:$PY$2))</f>
        <v>146.78053294404359</v>
      </c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>
        <f>SQRT(SUMXMY2('coordenadas dos Polos'!$LT$2:$MO$2,'coordenadas dos Polos'!$PZ$2:$QU$2))</f>
        <v>133.94484327256686</v>
      </c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>
        <f>SQRT(SUMXMY2('coordenadas dos Polos'!$LT$2:$MO$2,'coordenadas dos Polos'!$QV$2:$RQ$2))</f>
        <v>177.02642971953662</v>
      </c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>
        <f>SQRT(SUMXMY2('coordenadas dos Polos'!$LT$2:$MO$2,'coordenadas dos Polos'!$RR$2:$SM$2))</f>
        <v>196.61464403682353</v>
      </c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</row>
    <row r="18" spans="24:507">
      <c r="X18" s="5">
        <f>SQRT(SUMXMY2('coordenadas dos Polos'!$MP$2:$NK$2,'coordenadas dos Polos'!$X$2:$AS$2))</f>
        <v>225.03260123216782</v>
      </c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>
        <f>SQRT(SUMXMY2('coordenadas dos Polos'!$MP$2:$NK$2,'coordenadas dos Polos'!$AT$2:$BO$2))</f>
        <v>159.14109524828743</v>
      </c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>
        <f>SQRT(SUMXMY2('coordenadas dos Polos'!$MP$2:$NK$2,'coordenadas dos Polos'!$BP$2:$CK$2))</f>
        <v>193.544291682877</v>
      </c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f>SQRT(SUMXMY2('coordenadas dos Polos'!$MP$2:$NK$2,'coordenadas dos Polos'!$CL$2:$DG$2))</f>
        <v>182.95852126259075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>
        <f>SQRT(SUMXMY2('coordenadas dos Polos'!$MP$2:$NK$2,'coordenadas dos Polos'!$DH$2:$EC$2))</f>
        <v>172.9273751183276</v>
      </c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>
        <f>SQRT(SUMXMY2('coordenadas dos Polos'!$MP$2:$NK$2,'coordenadas dos Polos'!$ED$2:$EY$2))</f>
        <v>136.49802837780948</v>
      </c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>
        <f>SQRT(SUMXMY2('coordenadas dos Polos'!$MP$2:$NK$2,'coordenadas dos Polos'!$EZ$2:$FU$2))</f>
        <v>129.0944094481861</v>
      </c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>
        <f>SQRT(SUMXMY2('coordenadas dos Polos'!$MP$2:$NK$2,'coordenadas dos Polos'!$FV$2:$GQ$2))</f>
        <v>161.17099169210442</v>
      </c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>
        <f>SQRT(SUMXMY2('coordenadas dos Polos'!$MP$2:$NK$2,'coordenadas dos Polos'!$GR$2:$HM$2))</f>
        <v>132.7772239150197</v>
      </c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>
        <f>SQRT(SUMXMY2('coordenadas dos Polos'!$MP$2:$NK$2,'coordenadas dos Polos'!$HN$2:$II$2))</f>
        <v>167.78061363892536</v>
      </c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>
        <f>SQRT(SUMXMY2('coordenadas dos Polos'!$MP$2:$NK$2,'coordenadas dos Polos'!$IJ$2:$JE$2))</f>
        <v>158.51070704596859</v>
      </c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>
        <f>SQRT(SUMXMY2('coordenadas dos Polos'!$MP$2:$NK$2,'coordenadas dos Polos'!$JF$2:$KA$2))</f>
        <v>163.78969594526484</v>
      </c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>
        <f>SQRT(SUMXMY2('coordenadas dos Polos'!$MP$2:$NK$2,'coordenadas dos Polos'!$KB$2:$KW$2))</f>
        <v>146.88491356035686</v>
      </c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>
        <f>SQRT(SUMXMY2('coordenadas dos Polos'!$MP$2:$NK$2,'coordenadas dos Polos'!$KX$2:$LS$2))</f>
        <v>163.18149840183361</v>
      </c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>
        <f>SQRT(SUMXMY2('coordenadas dos Polos'!$MP$2:$NK$2,'coordenadas dos Polos'!$LT$2:$MO$2))</f>
        <v>142.7798394041659</v>
      </c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>
        <f>SQRT(SUMXMY2('coordenadas dos Polos'!$MP$2:$NK$2,'coordenadas dos Polos'!$MP$2:$NK$2))</f>
        <v>0</v>
      </c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>
        <f>SQRT(SUMXMY2('coordenadas dos Polos'!$MP$2:$NK$2,'coordenadas dos Polos'!$NL$2:$OG$2))</f>
        <v>159.49011933539009</v>
      </c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>
        <f>SQRT(SUMXMY2('coordenadas dos Polos'!$MP$2:$NK$2,'coordenadas dos Polos'!$OH$2:$PC$2))</f>
        <v>186.56407257000137</v>
      </c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>
        <f>SQRT(SUMXMY2('coordenadas dos Polos'!$MP$2:$NK$2,'coordenadas dos Polos'!$PD$2:$PY$2))</f>
        <v>145.16567525259001</v>
      </c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>
        <f>SQRT(SUMXMY2('coordenadas dos Polos'!$MP$2:$NK$2,'coordenadas dos Polos'!$PZ$2:$QU$2))</f>
        <v>149.76531682605659</v>
      </c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>
        <f>SQRT(SUMXMY2('coordenadas dos Polos'!$MP$2:$NK$2,'coordenadas dos Polos'!$QV$2:$RQ$2))</f>
        <v>183.2992588477008</v>
      </c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>
        <f>SQRT(SUMXMY2('coordenadas dos Polos'!$MP$2:$NK$2,'coordenadas dos Polos'!$RR$2:$SM$2))</f>
        <v>189.21993926371294</v>
      </c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</row>
    <row r="19" spans="24:507">
      <c r="X19" s="5">
        <f>SQRT(SUMXMY2('coordenadas dos Polos'!$NL$2:$OG$2,'coordenadas dos Polos'!$X$2:$AS$2))</f>
        <v>220.62234562918948</v>
      </c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>
        <f>SQRT(SUMXMY2('coordenadas dos Polos'!$NL$2:$OG$2,'coordenadas dos Polos'!$AT$2:$BO$2))</f>
        <v>158.51682295823451</v>
      </c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>
        <f>SQRT(SUMXMY2('coordenadas dos Polos'!$NL$2:$OG$2,'coordenadas dos Polos'!$BP$2:$CK$2))</f>
        <v>150.74800938660943</v>
      </c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>
        <f>SQRT(SUMXMY2('coordenadas dos Polos'!$NL$2:$OG$2,'coordenadas dos Polos'!$CL$2:$DG$2))</f>
        <v>152.14300005459089</v>
      </c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>
        <f>SQRT(SUMXMY2('coordenadas dos Polos'!$NL$2:$OG$2,'coordenadas dos Polos'!$DH$2:$EC$2))</f>
        <v>139.91420789864796</v>
      </c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>
        <f>SQRT(SUMXMY2('coordenadas dos Polos'!$NL$2:$OG$2,'coordenadas dos Polos'!$ED$2:$EY$2))</f>
        <v>125.48128034902442</v>
      </c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>
        <f>SQRT(SUMXMY2('coordenadas dos Polos'!$NL$2:$OG$2,'coordenadas dos Polos'!$EZ$2:$FU$2))</f>
        <v>162.82368494524366</v>
      </c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>
        <f>SQRT(SUMXMY2('coordenadas dos Polos'!$NL$2:$OG$2,'coordenadas dos Polos'!$FV$2:$GQ$2))</f>
        <v>136.5556323356877</v>
      </c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>
        <f>SQRT(SUMXMY2('coordenadas dos Polos'!$NL$2:$OG$2,'coordenadas dos Polos'!$GR$2:$HM$2))</f>
        <v>159.91951407989083</v>
      </c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>
        <f>SQRT(SUMXMY2('coordenadas dos Polos'!$NL$2:$OG$2,'coordenadas dos Polos'!$HN$2:$II$2))</f>
        <v>178.68138173077696</v>
      </c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>
        <f>SQRT(SUMXMY2('coordenadas dos Polos'!$NL$2:$OG$2,'coordenadas dos Polos'!$IJ$2:$JE$2))</f>
        <v>153.47407061766964</v>
      </c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>
        <f>SQRT(SUMXMY2('coordenadas dos Polos'!$NL$2:$OG$2,'coordenadas dos Polos'!$JF$2:$KA$2))</f>
        <v>156.22755578002872</v>
      </c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>
        <f>SQRT(SUMXMY2('coordenadas dos Polos'!$NL$2:$OG$2,'coordenadas dos Polos'!$KB$2:$KW$2))</f>
        <v>153.83433540490651</v>
      </c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>
        <f>SQRT(SUMXMY2('coordenadas dos Polos'!$NL$2:$OG$2,'coordenadas dos Polos'!$KX$2:$LS$2))</f>
        <v>168.38304085301428</v>
      </c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>
        <f>SQRT(SUMXMY2('coordenadas dos Polos'!$NL$2:$OG$2,'coordenadas dos Polos'!$LT$2:$MO$2))</f>
        <v>132.50216185922523</v>
      </c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>
        <f>SQRT(SUMXMY2('coordenadas dos Polos'!$NL$2:$OG$2,'coordenadas dos Polos'!$MP$2:$NK$2))</f>
        <v>159.49011933539009</v>
      </c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>
        <f>SQRT(SUMXMY2('coordenadas dos Polos'!$NL$2:$OG$2,'coordenadas dos Polos'!$NL$2:$OG$2))</f>
        <v>0</v>
      </c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>
        <f>SQRT(SUMXMY2('coordenadas dos Polos'!$NL$2:$OG$2,'coordenadas dos Polos'!$OH$2:$PC$2))</f>
        <v>132.08496296247981</v>
      </c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>
        <f>SQRT(SUMXMY2('coordenadas dos Polos'!$NL$2:$OG$2,'coordenadas dos Polos'!$PD$2:$PY$2))</f>
        <v>151.89929544482749</v>
      </c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>
        <f>SQRT(SUMXMY2('coordenadas dos Polos'!$NL$2:$OG$2,'coordenadas dos Polos'!$PZ$2:$QU$2))</f>
        <v>129.63184505950679</v>
      </c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>
        <f>SQRT(SUMXMY2('coordenadas dos Polos'!$NL$2:$OG$2,'coordenadas dos Polos'!$QV$2:$RQ$2))</f>
        <v>169.12723442078217</v>
      </c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>
        <f>SQRT(SUMXMY2('coordenadas dos Polos'!$NL$2:$OG$2,'coordenadas dos Polos'!$RR$2:$SM$2))</f>
        <v>168.62623338070023</v>
      </c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</row>
    <row r="20" spans="24:507">
      <c r="X20" s="5">
        <f>SQRT(SUMXMY2('coordenadas dos Polos'!$OH$2:$PC$2,'coordenadas dos Polos'!$X$2:$AS$2))</f>
        <v>241.32777693411072</v>
      </c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>
        <f>SQRT(SUMXMY2('coordenadas dos Polos'!$OH$2:$PC$2,'coordenadas dos Polos'!$AT$2:$BO$2))</f>
        <v>141.3138484146921</v>
      </c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>
        <f>SQRT(SUMXMY2('coordenadas dos Polos'!$OH$2:$PC$2,'coordenadas dos Polos'!$BP$2:$CK$2))</f>
        <v>175.78484224746381</v>
      </c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>
        <f>SQRT(SUMXMY2('coordenadas dos Polos'!$OH$2:$PC$2,'coordenadas dos Polos'!$CL$2:$DG$2))</f>
        <v>158.19600561180067</v>
      </c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>
        <f>SQRT(SUMXMY2('coordenadas dos Polos'!$OH$2:$PC$2,'coordenadas dos Polos'!$DH$2:$EC$2))</f>
        <v>154.10600051044534</v>
      </c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>
        <f>SQRT(SUMXMY2('coordenadas dos Polos'!$OH$2:$PC$2,'coordenadas dos Polos'!$ED$2:$EY$2))</f>
        <v>144.71368326494979</v>
      </c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>
        <f>SQRT(SUMXMY2('coordenadas dos Polos'!$OH$2:$PC$2,'coordenadas dos Polos'!$EZ$2:$FU$2))</f>
        <v>162.05899149781001</v>
      </c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>
        <f>SQRT(SUMXMY2('coordenadas dos Polos'!$OH$2:$PC$2,'coordenadas dos Polos'!$FV$2:$GQ$2))</f>
        <v>110.66146654716262</v>
      </c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>
        <f>SQRT(SUMXMY2('coordenadas dos Polos'!$OH$2:$PC$2,'coordenadas dos Polos'!$GR$2:$HM$2))</f>
        <v>168.85002331366294</v>
      </c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>
        <f>SQRT(SUMXMY2('coordenadas dos Polos'!$OH$2:$PC$2,'coordenadas dos Polos'!$HN$2:$II$2))</f>
        <v>153.77585354332174</v>
      </c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>
        <f>SQRT(SUMXMY2('coordenadas dos Polos'!$OH$2:$PC$2,'coordenadas dos Polos'!$IJ$2:$JE$2))</f>
        <v>138.3093972869444</v>
      </c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>
        <f>SQRT(SUMXMY2('coordenadas dos Polos'!$OH$2:$PC$2,'coordenadas dos Polos'!$JF$2:$KA$2))</f>
        <v>145.89306052717143</v>
      </c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>
        <f>SQRT(SUMXMY2('coordenadas dos Polos'!$OH$2:$PC$2,'coordenadas dos Polos'!$KB$2:$KW$2))</f>
        <v>154.43198636013011</v>
      </c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>
        <f>SQRT(SUMXMY2('coordenadas dos Polos'!$OH$2:$PC$2,'coordenadas dos Polos'!$KX$2:$LS$2))</f>
        <v>177.56402508610768</v>
      </c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>
        <f>SQRT(SUMXMY2('coordenadas dos Polos'!$OH$2:$PC$2,'coordenadas dos Polos'!$LT$2:$MO$2))</f>
        <v>125.81284452570715</v>
      </c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>
        <f>SQRT(SUMXMY2('coordenadas dos Polos'!$OH$2:$PC$2,'coordenadas dos Polos'!$MP$2:$NK$2))</f>
        <v>186.56407257000137</v>
      </c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>
        <f>SQRT(SUMXMY2('coordenadas dos Polos'!$OH$2:$PC$2,'coordenadas dos Polos'!$NL$2:$OG$2))</f>
        <v>132.08496296247981</v>
      </c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>
        <f>SQRT(SUMXMY2('coordenadas dos Polos'!$OH$2:$PC$2,'coordenadas dos Polos'!$OH$2:$PC$2))</f>
        <v>0</v>
      </c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>
        <f>SQRT(SUMXMY2('coordenadas dos Polos'!$OH$2:$PC$2,'coordenadas dos Polos'!$PD$2:$PY$2))</f>
        <v>150.5194518757942</v>
      </c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>
        <f>SQRT(SUMXMY2('coordenadas dos Polos'!$OH$2:$PC$2,'coordenadas dos Polos'!$PZ$2:$QU$2))</f>
        <v>150.60618881654196</v>
      </c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>
        <f>SQRT(SUMXMY2('coordenadas dos Polos'!$OH$2:$PC$2,'coordenadas dos Polos'!$QV$2:$RQ$2))</f>
        <v>168.89437178960205</v>
      </c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>
        <f>SQRT(SUMXMY2('coordenadas dos Polos'!$OH$2:$PC$2,'coordenadas dos Polos'!$RR$2:$SM$2))</f>
        <v>171.05626189466255</v>
      </c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</row>
    <row r="21" spans="24:507">
      <c r="X21" s="5">
        <f>SQRT(SUMXMY2('coordenadas dos Polos'!$PD$2:$PY$2,'coordenadas dos Polos'!$X$2:$AS$2))</f>
        <v>218.38820666091814</v>
      </c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>
        <f>SQRT(SUMXMY2('coordenadas dos Polos'!$PD$2:$PY$2,'coordenadas dos Polos'!$AT$2:$BO$2))</f>
        <v>175.81400746239035</v>
      </c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>
        <f>SQRT(SUMXMY2('coordenadas dos Polos'!$PD$2:$PY$2,'coordenadas dos Polos'!$BP$2:$CK$2))</f>
        <v>144.50274398418688</v>
      </c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>
        <f>SQRT(SUMXMY2('coordenadas dos Polos'!$PD$2:$PY$2,'coordenadas dos Polos'!$CL$2:$DG$2))</f>
        <v>170.69455780347587</v>
      </c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>
        <f>SQRT(SUMXMY2('coordenadas dos Polos'!$PD$2:$PY$2,'coordenadas dos Polos'!$DH$2:$EC$2))</f>
        <v>140.43220423636544</v>
      </c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>
        <f>SQRT(SUMXMY2('coordenadas dos Polos'!$PD$2:$PY$2,'coordenadas dos Polos'!$ED$2:$EY$2))</f>
        <v>138.30564497127489</v>
      </c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>
        <f>SQRT(SUMXMY2('coordenadas dos Polos'!$PD$2:$PY$2,'coordenadas dos Polos'!$EZ$2:$FU$2))</f>
        <v>179.02894640492622</v>
      </c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>
        <f>SQRT(SUMXMY2('coordenadas dos Polos'!$PD$2:$PY$2,'coordenadas dos Polos'!$FV$2:$GQ$2))</f>
        <v>144.05799615987289</v>
      </c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>
        <f>SQRT(SUMXMY2('coordenadas dos Polos'!$PD$2:$PY$2,'coordenadas dos Polos'!$GR$2:$HM$2))</f>
        <v>160.38345746245113</v>
      </c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>
        <f>SQRT(SUMXMY2('coordenadas dos Polos'!$PD$2:$PY$2,'coordenadas dos Polos'!$HN$2:$II$2))</f>
        <v>139.65225885493103</v>
      </c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>
        <f>SQRT(SUMXMY2('coordenadas dos Polos'!$PD$2:$PY$2,'coordenadas dos Polos'!$IJ$2:$JE$2))</f>
        <v>147.2171209647947</v>
      </c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>
        <f>SQRT(SUMXMY2('coordenadas dos Polos'!$PD$2:$PY$2,'coordenadas dos Polos'!$JF$2:$KA$2))</f>
        <v>186.66653829865731</v>
      </c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>
        <f>SQRT(SUMXMY2('coordenadas dos Polos'!$PD$2:$PY$2,'coordenadas dos Polos'!$KB$2:$KW$2))</f>
        <v>176.11467009919795</v>
      </c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>
        <f>SQRT(SUMXMY2('coordenadas dos Polos'!$PD$2:$PY$2,'coordenadas dos Polos'!$KX$2:$LS$2))</f>
        <v>172.46991894863038</v>
      </c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>
        <f>SQRT(SUMXMY2('coordenadas dos Polos'!$PD$2:$PY$2,'coordenadas dos Polos'!$LT$2:$MO$2))</f>
        <v>146.78053294404359</v>
      </c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>
        <f>SQRT(SUMXMY2('coordenadas dos Polos'!$PD$2:$PY$2,'coordenadas dos Polos'!$MP$2:$NK$2))</f>
        <v>145.16567525259001</v>
      </c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>
        <f>SQRT(SUMXMY2('coordenadas dos Polos'!$PD$2:$PY$2,'coordenadas dos Polos'!$NL$2:$OG$2))</f>
        <v>151.89929544482749</v>
      </c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>
        <f>SQRT(SUMXMY2('coordenadas dos Polos'!$PD$2:$PY$2,'coordenadas dos Polos'!$OH$2:$PC$2))</f>
        <v>150.5194518757942</v>
      </c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>
        <f>SQRT(SUMXMY2('coordenadas dos Polos'!$PD$2:$PY$2,'coordenadas dos Polos'!$PD$2:$PY$2))</f>
        <v>0</v>
      </c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>
        <f>SQRT(SUMXMY2('coordenadas dos Polos'!$PD$2:$PY$2,'coordenadas dos Polos'!$PZ$2:$QU$2))</f>
        <v>118.06714336023501</v>
      </c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>
        <f>SQRT(SUMXMY2('coordenadas dos Polos'!$PD$2:$PY$2,'coordenadas dos Polos'!$QV$2:$RQ$2))</f>
        <v>162.82836209580111</v>
      </c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>
        <f>SQRT(SUMXMY2('coordenadas dos Polos'!$PD$2:$PY$2,'coordenadas dos Polos'!$RR$2:$SM$2))</f>
        <v>177.4067824647141</v>
      </c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</row>
    <row r="22" spans="24:507">
      <c r="X22" s="5">
        <f>SQRT(SUMXMY2('coordenadas dos Polos'!$PZ$2:$QU$2,'coordenadas dos Polos'!$X$2:$AS$2))</f>
        <v>215.25784505957233</v>
      </c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>
        <f>SQRT(SUMXMY2('coordenadas dos Polos'!$PZ$2:$QU$2,'coordenadas dos Polos'!$AT$2:$BO$2))</f>
        <v>169.34911070823998</v>
      </c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>
        <f>SQRT(SUMXMY2('coordenadas dos Polos'!$PZ$2:$QU$2,'coordenadas dos Polos'!$BP$2:$CK$2))</f>
        <v>140.51821625951843</v>
      </c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>
        <f>SQRT(SUMXMY2('coordenadas dos Polos'!$PZ$2:$QU$2,'coordenadas dos Polos'!$CL$2:$DG$2))</f>
        <v>177.32504708321923</v>
      </c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>
        <f>SQRT(SUMXMY2('coordenadas dos Polos'!$PZ$2:$QU$2,'coordenadas dos Polos'!$DH$2:$EC$2))</f>
        <v>163.48892018688963</v>
      </c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>
        <f>SQRT(SUMXMY2('coordenadas dos Polos'!$PZ$2:$QU$2,'coordenadas dos Polos'!$ED$2:$EY$2))</f>
        <v>135.65526395142643</v>
      </c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>
        <f>SQRT(SUMXMY2('coordenadas dos Polos'!$PZ$2:$QU$2,'coordenadas dos Polos'!$EZ$2:$FU$2))</f>
        <v>186.10580739863605</v>
      </c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>
        <f>SQRT(SUMXMY2('coordenadas dos Polos'!$PZ$2:$QU$2,'coordenadas dos Polos'!$FV$2:$GQ$2))</f>
        <v>161.8241330285058</v>
      </c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>
        <f>SQRT(SUMXMY2('coordenadas dos Polos'!$PZ$2:$QU$2,'coordenadas dos Polos'!$GR$2:$HM$2))</f>
        <v>163.19311115984164</v>
      </c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>
        <f>SQRT(SUMXMY2('coordenadas dos Polos'!$PZ$2:$QU$2,'coordenadas dos Polos'!$HN$2:$II$2))</f>
        <v>147.16966325586338</v>
      </c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>
        <f>SQRT(SUMXMY2('coordenadas dos Polos'!$PZ$2:$QU$2,'coordenadas dos Polos'!$IJ$2:$JE$2))</f>
        <v>154.96301682255924</v>
      </c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>
        <f>SQRT(SUMXMY2('coordenadas dos Polos'!$PZ$2:$QU$2,'coordenadas dos Polos'!$JF$2:$KA$2))</f>
        <v>192.3597128218382</v>
      </c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>
        <f>SQRT(SUMXMY2('coordenadas dos Polos'!$PZ$2:$QU$2,'coordenadas dos Polos'!$KB$2:$KW$2))</f>
        <v>171.87400925962586</v>
      </c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>
        <f>SQRT(SUMXMY2('coordenadas dos Polos'!$PZ$2:$QU$2,'coordenadas dos Polos'!$KX$2:$LS$2))</f>
        <v>151.18421266547705</v>
      </c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>
        <f>SQRT(SUMXMY2('coordenadas dos Polos'!$PZ$2:$QU$2,'coordenadas dos Polos'!$LT$2:$MO$2))</f>
        <v>133.94484327256686</v>
      </c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>
        <f>SQRT(SUMXMY2('coordenadas dos Polos'!$PZ$2:$QU$2,'coordenadas dos Polos'!$MP$2:$NK$2))</f>
        <v>149.76531682605659</v>
      </c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>
        <f>SQRT(SUMXMY2('coordenadas dos Polos'!$PZ$2:$QU$2,'coordenadas dos Polos'!$NL$2:$OG$2))</f>
        <v>129.63184505950679</v>
      </c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>
        <f>SQRT(SUMXMY2('coordenadas dos Polos'!$PZ$2:$QU$2,'coordenadas dos Polos'!$OH$2:$PC$2))</f>
        <v>150.60618881654196</v>
      </c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>
        <f>SQRT(SUMXMY2('coordenadas dos Polos'!$PZ$2:$QU$2,'coordenadas dos Polos'!$PD$2:$PY$2))</f>
        <v>118.06714336023501</v>
      </c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>
        <f>SQRT(SUMXMY2('coordenadas dos Polos'!$PZ$2:$QU$2,'coordenadas dos Polos'!$PZ$2:$QU$2))</f>
        <v>0</v>
      </c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>
        <f>SQRT(SUMXMY2('coordenadas dos Polos'!$PZ$2:$QU$2,'coordenadas dos Polos'!$QV$2:$RQ$2))</f>
        <v>170.30772534527304</v>
      </c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>
        <f>SQRT(SUMXMY2('coordenadas dos Polos'!$PZ$2:$QU$2,'coordenadas dos Polos'!$RR$2:$SM$2))</f>
        <v>171.1542275409802</v>
      </c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</row>
    <row r="23" spans="24:507">
      <c r="X23" s="5">
        <f>SQRT(SUMXMY2('coordenadas dos Polos'!$QV$2:$RQ$2,'coordenadas dos Polos'!$X$2:$AS$2))</f>
        <v>211.19652125751125</v>
      </c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>
        <f>SQRT(SUMXMY2('coordenadas dos Polos'!$QV$2:$RQ$2,'coordenadas dos Polos'!$AT$2:$BO$2))</f>
        <v>169.99291080896052</v>
      </c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>
        <f>SQRT(SUMXMY2('coordenadas dos Polos'!$QV$2:$RQ$2,'coordenadas dos Polos'!$BP$2:$CK$2))</f>
        <v>163.92599256429412</v>
      </c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>
        <f>SQRT(SUMXMY2('coordenadas dos Polos'!$QV$2:$RQ$2,'coordenadas dos Polos'!$CL$2:$DG$2))</f>
        <v>151.82221631084099</v>
      </c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>
        <f>SQRT(SUMXMY2('coordenadas dos Polos'!$QV$2:$RQ$2,'coordenadas dos Polos'!$DH$2:$EC$2))</f>
        <v>147.25860001960771</v>
      </c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>
        <f>SQRT(SUMXMY2('coordenadas dos Polos'!$QV$2:$RQ$2,'coordenadas dos Polos'!$ED$2:$EY$2))</f>
        <v>159.59220571078896</v>
      </c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>
        <f>SQRT(SUMXMY2('coordenadas dos Polos'!$QV$2:$RQ$2,'coordenadas dos Polos'!$EZ$2:$FU$2))</f>
        <v>166.39333989715283</v>
      </c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>
        <f>SQRT(SUMXMY2('coordenadas dos Polos'!$QV$2:$RQ$2,'coordenadas dos Polos'!$FV$2:$GQ$2))</f>
        <v>168.76010208342728</v>
      </c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>
        <f>SQRT(SUMXMY2('coordenadas dos Polos'!$QV$2:$RQ$2,'coordenadas dos Polos'!$GR$2:$HM$2))</f>
        <v>120.04387300224367</v>
      </c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>
        <f>SQRT(SUMXMY2('coordenadas dos Polos'!$QV$2:$RQ$2,'coordenadas dos Polos'!$HN$2:$II$2))</f>
        <v>172.79071416168054</v>
      </c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>
        <f>SQRT(SUMXMY2('coordenadas dos Polos'!$QV$2:$RQ$2,'coordenadas dos Polos'!$IJ$2:$JE$2))</f>
        <v>140.80589515038571</v>
      </c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>
        <f>SQRT(SUMXMY2('coordenadas dos Polos'!$QV$2:$RQ$2,'coordenadas dos Polos'!$JF$2:$KA$2))</f>
        <v>150.4750155129212</v>
      </c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>
        <f>SQRT(SUMXMY2('coordenadas dos Polos'!$QV$2:$RQ$2,'coordenadas dos Polos'!$KB$2:$KW$2))</f>
        <v>139.7436070063838</v>
      </c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>
        <f>SQRT(SUMXMY2('coordenadas dos Polos'!$QV$2:$RQ$2,'coordenadas dos Polos'!$KX$2:$LS$2))</f>
        <v>148.45240604385415</v>
      </c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>
        <f>SQRT(SUMXMY2('coordenadas dos Polos'!$QV$2:$RQ$2,'coordenadas dos Polos'!$LT$2:$MO$2))</f>
        <v>177.02642971953662</v>
      </c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>
        <f>SQRT(SUMXMY2('coordenadas dos Polos'!$QV$2:$RQ$2,'coordenadas dos Polos'!$MP$2:$NK$2))</f>
        <v>183.2992588477008</v>
      </c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>
        <f>SQRT(SUMXMY2('coordenadas dos Polos'!$QV$2:$RQ$2,'coordenadas dos Polos'!$NL$2:$OG$2))</f>
        <v>169.12723442078217</v>
      </c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>
        <f>SQRT(SUMXMY2('coordenadas dos Polos'!$QV$2:$RQ$2,'coordenadas dos Polos'!$OH$2:$PC$2))</f>
        <v>168.89437178960205</v>
      </c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>
        <f>SQRT(SUMXMY2('coordenadas dos Polos'!$QV$2:$RQ$2,'coordenadas dos Polos'!$PD$2:$PY$2))</f>
        <v>162.82836209580111</v>
      </c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>
        <f>SQRT(SUMXMY2('coordenadas dos Polos'!$QV$2:$RQ$2,'coordenadas dos Polos'!$PZ$2:$QU$2))</f>
        <v>170.30772534527304</v>
      </c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>
        <f>SQRT(SUMXMY2('coordenadas dos Polos'!$QV$2:$RQ$2,'coordenadas dos Polos'!$QV$2:$RQ$2))</f>
        <v>0</v>
      </c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>
        <f>SQRT(SUMXMY2('coordenadas dos Polos'!$QV$2:$RQ$2,'coordenadas dos Polos'!$RR$2:$SM$2))</f>
        <v>180.94843845903284</v>
      </c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</row>
    <row r="24" spans="24:507">
      <c r="X24" s="5">
        <f>SQRT(SUMXMY2('coordenadas dos Polos'!$RR$2:$SM$2,'coordenadas dos Polos'!$X$2:$AS$2))</f>
        <v>230.82810240741108</v>
      </c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>
        <f>SQRT(SUMXMY2('coordenadas dos Polos'!$RR$2:$SM$2,'coordenadas dos Polos'!$AT$2:$BO$2))</f>
        <v>165.08308481096134</v>
      </c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>
        <f>SQRT(SUMXMY2('coordenadas dos Polos'!$RR$2:$SM$2,'coordenadas dos Polos'!$BP$2:$CK$2))</f>
        <v>135.41689597250013</v>
      </c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f>SQRT(SUMXMY2('coordenadas dos Polos'!$RR$2:$SM$2,'coordenadas dos Polos'!$CL$2:$DG$2))</f>
        <v>169.24280320858631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>
        <f>SQRT(SUMXMY2('coordenadas dos Polos'!$RR$2:$SM$2,'coordenadas dos Polos'!$DH$2:$EC$2))</f>
        <v>155.46622523015878</v>
      </c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>
        <f>SQRT(SUMXMY2('coordenadas dos Polos'!$RR$2:$SM$2,'coordenadas dos Polos'!$ED$2:$EY$2))</f>
        <v>184.00102554316871</v>
      </c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>
        <f>SQRT(SUMXMY2('coordenadas dos Polos'!$RR$2:$SM$2,'coordenadas dos Polos'!$EZ$2:$FU$2))</f>
        <v>191.12557972632317</v>
      </c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>
        <f>SQRT(SUMXMY2('coordenadas dos Polos'!$RR$2:$SM$2,'coordenadas dos Polos'!$FV$2:$GQ$2))</f>
        <v>180.3365555959908</v>
      </c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>
        <f>SQRT(SUMXMY2('coordenadas dos Polos'!$RR$2:$SM$2,'coordenadas dos Polos'!$GR$2:$HM$2))</f>
        <v>169.6255337785594</v>
      </c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>
        <f>SQRT(SUMXMY2('coordenadas dos Polos'!$RR$2:$SM$2,'coordenadas dos Polos'!$HN$2:$II$2))</f>
        <v>161.12816454226342</v>
      </c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>
        <f>SQRT(SUMXMY2('coordenadas dos Polos'!$RR$2:$SM$2,'coordenadas dos Polos'!$IJ$2:$JE$2))</f>
        <v>132.49978649296511</v>
      </c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>
        <f>SQRT(SUMXMY2('coordenadas dos Polos'!$RR$2:$SM$2,'coordenadas dos Polos'!$JF$2:$KA$2))</f>
        <v>160.47569917073901</v>
      </c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>
        <f>SQRT(SUMXMY2('coordenadas dos Polos'!$RR$2:$SM$2,'coordenadas dos Polos'!$KB$2:$KW$2))</f>
        <v>166.15078614784974</v>
      </c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>
        <f>SQRT(SUMXMY2('coordenadas dos Polos'!$RR$2:$SM$2,'coordenadas dos Polos'!$KX$2:$LS$2))</f>
        <v>147.59109441577542</v>
      </c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>
        <f>SQRT(SUMXMY2('coordenadas dos Polos'!$RR$2:$SM$2,'coordenadas dos Polos'!$LT$2:$MO$2))</f>
        <v>196.61464403682353</v>
      </c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>
        <f>SQRT(SUMXMY2('coordenadas dos Polos'!$RR$2:$SM$2,'coordenadas dos Polos'!$MP$2:$NK$2))</f>
        <v>189.21993926371294</v>
      </c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>
        <f>SQRT(SUMXMY2('coordenadas dos Polos'!$RR$2:$SM$2,'coordenadas dos Polos'!$NL$2:$OG$2))</f>
        <v>168.62623338070023</v>
      </c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>
        <f>SQRT(SUMXMY2('coordenadas dos Polos'!$RR$2:$SM$2,'coordenadas dos Polos'!$OH$2:$PC$2))</f>
        <v>171.05626189466255</v>
      </c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>
        <f>SQRT(SUMXMY2('coordenadas dos Polos'!$RR$2:$SM$2,'coordenadas dos Polos'!$PD$2:$PY$2))</f>
        <v>177.4067824647141</v>
      </c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>
        <f>SQRT(SUMXMY2('coordenadas dos Polos'!$RR$2:$SM$2,'coordenadas dos Polos'!$PZ$2:$QU$2))</f>
        <v>171.1542275409802</v>
      </c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>
        <f>SQRT(SUMXMY2('coordenadas dos Polos'!$RR$2:$SM$2,'coordenadas dos Polos'!$QV$2:$RQ$2))</f>
        <v>180.94843845903284</v>
      </c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>
        <f>SQRT(SUMXMY2('coordenadas dos Polos'!$RR$2:$SM$2,'coordenadas dos Polos'!$RR$2:$SM$2))</f>
        <v>0</v>
      </c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</row>
  </sheetData>
  <mergeCells count="506">
    <mergeCell ref="QV24:RQ24"/>
    <mergeCell ref="RR24:SM24"/>
    <mergeCell ref="MP24:NK24"/>
    <mergeCell ref="NL24:OG24"/>
    <mergeCell ref="OH24:PC24"/>
    <mergeCell ref="PD24:PY24"/>
    <mergeCell ref="PZ24:QU24"/>
    <mergeCell ref="IJ24:JE24"/>
    <mergeCell ref="JF24:KA24"/>
    <mergeCell ref="KB24:KW24"/>
    <mergeCell ref="KX24:LS24"/>
    <mergeCell ref="LT24:MO24"/>
    <mergeCell ref="ED24:EY24"/>
    <mergeCell ref="EZ24:FU24"/>
    <mergeCell ref="FV24:GQ24"/>
    <mergeCell ref="GR24:HM24"/>
    <mergeCell ref="HN24:II24"/>
    <mergeCell ref="X24:AS24"/>
    <mergeCell ref="AT24:BO24"/>
    <mergeCell ref="BP24:CK24"/>
    <mergeCell ref="CL24:DG24"/>
    <mergeCell ref="DH24:EC24"/>
    <mergeCell ref="OH23:PC23"/>
    <mergeCell ref="PD23:PY23"/>
    <mergeCell ref="PZ23:QU23"/>
    <mergeCell ref="QV23:RQ23"/>
    <mergeCell ref="RR23:SM23"/>
    <mergeCell ref="KB23:KW23"/>
    <mergeCell ref="KX23:LS23"/>
    <mergeCell ref="LT23:MO23"/>
    <mergeCell ref="MP23:NK23"/>
    <mergeCell ref="NL23:OG23"/>
    <mergeCell ref="PD22:PY22"/>
    <mergeCell ref="PZ22:QU22"/>
    <mergeCell ref="QV22:RQ22"/>
    <mergeCell ref="RR22:SM22"/>
    <mergeCell ref="X23:AS23"/>
    <mergeCell ref="AT23:BO23"/>
    <mergeCell ref="BP23:CK23"/>
    <mergeCell ref="CL23:DG23"/>
    <mergeCell ref="DH23:EC23"/>
    <mergeCell ref="ED23:EY23"/>
    <mergeCell ref="EZ23:FU23"/>
    <mergeCell ref="FV23:GQ23"/>
    <mergeCell ref="GR23:HM23"/>
    <mergeCell ref="HN23:II23"/>
    <mergeCell ref="IJ23:JE23"/>
    <mergeCell ref="JF23:KA23"/>
    <mergeCell ref="KX22:LS22"/>
    <mergeCell ref="LT22:MO22"/>
    <mergeCell ref="MP22:NK22"/>
    <mergeCell ref="NL22:OG22"/>
    <mergeCell ref="OH22:PC22"/>
    <mergeCell ref="PZ21:QU21"/>
    <mergeCell ref="QV21:RQ21"/>
    <mergeCell ref="RR21:SM21"/>
    <mergeCell ref="X22:AS22"/>
    <mergeCell ref="AT22:BO22"/>
    <mergeCell ref="BP22:CK22"/>
    <mergeCell ref="CL22:DG22"/>
    <mergeCell ref="DH22:EC22"/>
    <mergeCell ref="ED22:EY22"/>
    <mergeCell ref="EZ22:FU22"/>
    <mergeCell ref="FV22:GQ22"/>
    <mergeCell ref="GR22:HM22"/>
    <mergeCell ref="HN22:II22"/>
    <mergeCell ref="IJ22:JE22"/>
    <mergeCell ref="JF22:KA22"/>
    <mergeCell ref="KB22:KW22"/>
    <mergeCell ref="LT21:MO21"/>
    <mergeCell ref="MP21:NK21"/>
    <mergeCell ref="NL21:OG21"/>
    <mergeCell ref="OH21:PC21"/>
    <mergeCell ref="PD21:PY21"/>
    <mergeCell ref="QV20:RQ20"/>
    <mergeCell ref="RR20:SM20"/>
    <mergeCell ref="X21:AS21"/>
    <mergeCell ref="AT21:BO21"/>
    <mergeCell ref="BP21:CK21"/>
    <mergeCell ref="CL21:DG21"/>
    <mergeCell ref="DH21:EC21"/>
    <mergeCell ref="ED21:EY21"/>
    <mergeCell ref="EZ21:FU21"/>
    <mergeCell ref="FV21:GQ21"/>
    <mergeCell ref="GR21:HM21"/>
    <mergeCell ref="HN21:II21"/>
    <mergeCell ref="IJ21:JE21"/>
    <mergeCell ref="JF21:KA21"/>
    <mergeCell ref="KB21:KW21"/>
    <mergeCell ref="KX21:LS21"/>
    <mergeCell ref="MP20:NK20"/>
    <mergeCell ref="NL20:OG20"/>
    <mergeCell ref="OH20:PC20"/>
    <mergeCell ref="PD20:PY20"/>
    <mergeCell ref="PZ20:QU20"/>
    <mergeCell ref="IJ20:JE20"/>
    <mergeCell ref="JF20:KA20"/>
    <mergeCell ref="KB20:KW20"/>
    <mergeCell ref="KX20:LS20"/>
    <mergeCell ref="LT20:MO20"/>
    <mergeCell ref="ED20:EY20"/>
    <mergeCell ref="EZ20:FU20"/>
    <mergeCell ref="FV20:GQ20"/>
    <mergeCell ref="GR20:HM20"/>
    <mergeCell ref="HN20:II20"/>
    <mergeCell ref="X20:AS20"/>
    <mergeCell ref="AT20:BO20"/>
    <mergeCell ref="BP20:CK20"/>
    <mergeCell ref="CL20:DG20"/>
    <mergeCell ref="DH20:EC20"/>
    <mergeCell ref="OH19:PC19"/>
    <mergeCell ref="PD19:PY19"/>
    <mergeCell ref="PZ19:QU19"/>
    <mergeCell ref="QV19:RQ19"/>
    <mergeCell ref="RR19:SM19"/>
    <mergeCell ref="KB19:KW19"/>
    <mergeCell ref="KX19:LS19"/>
    <mergeCell ref="LT19:MO19"/>
    <mergeCell ref="MP19:NK19"/>
    <mergeCell ref="NL19:OG19"/>
    <mergeCell ref="PD18:PY18"/>
    <mergeCell ref="PZ18:QU18"/>
    <mergeCell ref="QV18:RQ18"/>
    <mergeCell ref="RR18:SM18"/>
    <mergeCell ref="X19:AS19"/>
    <mergeCell ref="AT19:BO19"/>
    <mergeCell ref="BP19:CK19"/>
    <mergeCell ref="CL19:DG19"/>
    <mergeCell ref="DH19:EC19"/>
    <mergeCell ref="ED19:EY19"/>
    <mergeCell ref="EZ19:FU19"/>
    <mergeCell ref="FV19:GQ19"/>
    <mergeCell ref="GR19:HM19"/>
    <mergeCell ref="HN19:II19"/>
    <mergeCell ref="IJ19:JE19"/>
    <mergeCell ref="JF19:KA19"/>
    <mergeCell ref="KX18:LS18"/>
    <mergeCell ref="LT18:MO18"/>
    <mergeCell ref="MP18:NK18"/>
    <mergeCell ref="NL18:OG18"/>
    <mergeCell ref="OH18:PC18"/>
    <mergeCell ref="PZ17:QU17"/>
    <mergeCell ref="QV17:RQ17"/>
    <mergeCell ref="RR17:SM17"/>
    <mergeCell ref="X18:AS18"/>
    <mergeCell ref="AT18:BO18"/>
    <mergeCell ref="BP18:CK18"/>
    <mergeCell ref="CL18:DG18"/>
    <mergeCell ref="DH18:EC18"/>
    <mergeCell ref="ED18:EY18"/>
    <mergeCell ref="EZ18:FU18"/>
    <mergeCell ref="FV18:GQ18"/>
    <mergeCell ref="GR18:HM18"/>
    <mergeCell ref="HN18:II18"/>
    <mergeCell ref="IJ18:JE18"/>
    <mergeCell ref="JF18:KA18"/>
    <mergeCell ref="KB18:KW18"/>
    <mergeCell ref="LT17:MO17"/>
    <mergeCell ref="MP17:NK17"/>
    <mergeCell ref="NL17:OG17"/>
    <mergeCell ref="OH17:PC17"/>
    <mergeCell ref="PD17:PY17"/>
    <mergeCell ref="QV16:RQ16"/>
    <mergeCell ref="RR16:SM16"/>
    <mergeCell ref="X17:AS17"/>
    <mergeCell ref="AT17:BO17"/>
    <mergeCell ref="BP17:CK17"/>
    <mergeCell ref="CL17:DG17"/>
    <mergeCell ref="DH17:EC17"/>
    <mergeCell ref="ED17:EY17"/>
    <mergeCell ref="EZ17:FU17"/>
    <mergeCell ref="FV17:GQ17"/>
    <mergeCell ref="GR17:HM17"/>
    <mergeCell ref="HN17:II17"/>
    <mergeCell ref="IJ17:JE17"/>
    <mergeCell ref="JF17:KA17"/>
    <mergeCell ref="KB17:KW17"/>
    <mergeCell ref="KX17:LS17"/>
    <mergeCell ref="MP16:NK16"/>
    <mergeCell ref="NL16:OG16"/>
    <mergeCell ref="OH16:PC16"/>
    <mergeCell ref="PD16:PY16"/>
    <mergeCell ref="PZ16:QU16"/>
    <mergeCell ref="IJ16:JE16"/>
    <mergeCell ref="JF16:KA16"/>
    <mergeCell ref="KB16:KW16"/>
    <mergeCell ref="KX16:LS16"/>
    <mergeCell ref="LT16:MO16"/>
    <mergeCell ref="ED16:EY16"/>
    <mergeCell ref="EZ16:FU16"/>
    <mergeCell ref="FV16:GQ16"/>
    <mergeCell ref="GR16:HM16"/>
    <mergeCell ref="HN16:II16"/>
    <mergeCell ref="X16:AS16"/>
    <mergeCell ref="AT16:BO16"/>
    <mergeCell ref="BP16:CK16"/>
    <mergeCell ref="CL16:DG16"/>
    <mergeCell ref="DH16:EC16"/>
    <mergeCell ref="OH15:PC15"/>
    <mergeCell ref="PD15:PY15"/>
    <mergeCell ref="PZ15:QU15"/>
    <mergeCell ref="QV15:RQ15"/>
    <mergeCell ref="RR15:SM15"/>
    <mergeCell ref="KB15:KW15"/>
    <mergeCell ref="KX15:LS15"/>
    <mergeCell ref="LT15:MO15"/>
    <mergeCell ref="MP15:NK15"/>
    <mergeCell ref="NL15:OG15"/>
    <mergeCell ref="PD14:PY14"/>
    <mergeCell ref="PZ14:QU14"/>
    <mergeCell ref="QV14:RQ14"/>
    <mergeCell ref="RR14:SM14"/>
    <mergeCell ref="X15:AS15"/>
    <mergeCell ref="AT15:BO15"/>
    <mergeCell ref="BP15:CK15"/>
    <mergeCell ref="CL15:DG15"/>
    <mergeCell ref="DH15:EC15"/>
    <mergeCell ref="ED15:EY15"/>
    <mergeCell ref="EZ15:FU15"/>
    <mergeCell ref="FV15:GQ15"/>
    <mergeCell ref="GR15:HM15"/>
    <mergeCell ref="HN15:II15"/>
    <mergeCell ref="IJ15:JE15"/>
    <mergeCell ref="JF15:KA15"/>
    <mergeCell ref="KX14:LS14"/>
    <mergeCell ref="LT14:MO14"/>
    <mergeCell ref="MP14:NK14"/>
    <mergeCell ref="NL14:OG14"/>
    <mergeCell ref="OH14:PC14"/>
    <mergeCell ref="PZ13:QU13"/>
    <mergeCell ref="QV13:RQ13"/>
    <mergeCell ref="RR13:SM13"/>
    <mergeCell ref="X14:AS14"/>
    <mergeCell ref="AT14:BO14"/>
    <mergeCell ref="BP14:CK14"/>
    <mergeCell ref="CL14:DG14"/>
    <mergeCell ref="DH14:EC14"/>
    <mergeCell ref="ED14:EY14"/>
    <mergeCell ref="EZ14:FU14"/>
    <mergeCell ref="FV14:GQ14"/>
    <mergeCell ref="GR14:HM14"/>
    <mergeCell ref="HN14:II14"/>
    <mergeCell ref="IJ14:JE14"/>
    <mergeCell ref="JF14:KA14"/>
    <mergeCell ref="KB14:KW14"/>
    <mergeCell ref="LT13:MO13"/>
    <mergeCell ref="MP13:NK13"/>
    <mergeCell ref="NL13:OG13"/>
    <mergeCell ref="OH13:PC13"/>
    <mergeCell ref="PD13:PY13"/>
    <mergeCell ref="QV12:RQ12"/>
    <mergeCell ref="RR12:SM12"/>
    <mergeCell ref="X13:AS13"/>
    <mergeCell ref="AT13:BO13"/>
    <mergeCell ref="BP13:CK13"/>
    <mergeCell ref="CL13:DG13"/>
    <mergeCell ref="DH13:EC13"/>
    <mergeCell ref="ED13:EY13"/>
    <mergeCell ref="EZ13:FU13"/>
    <mergeCell ref="FV13:GQ13"/>
    <mergeCell ref="GR13:HM13"/>
    <mergeCell ref="HN13:II13"/>
    <mergeCell ref="IJ13:JE13"/>
    <mergeCell ref="JF13:KA13"/>
    <mergeCell ref="KB13:KW13"/>
    <mergeCell ref="KX13:LS13"/>
    <mergeCell ref="MP12:NK12"/>
    <mergeCell ref="NL12:OG12"/>
    <mergeCell ref="OH12:PC12"/>
    <mergeCell ref="PD12:PY12"/>
    <mergeCell ref="PZ12:QU12"/>
    <mergeCell ref="IJ12:JE12"/>
    <mergeCell ref="JF12:KA12"/>
    <mergeCell ref="KB12:KW12"/>
    <mergeCell ref="KX12:LS12"/>
    <mergeCell ref="LT12:MO12"/>
    <mergeCell ref="ED12:EY12"/>
    <mergeCell ref="EZ12:FU12"/>
    <mergeCell ref="FV12:GQ12"/>
    <mergeCell ref="GR12:HM12"/>
    <mergeCell ref="HN12:II12"/>
    <mergeCell ref="X12:AS12"/>
    <mergeCell ref="AT12:BO12"/>
    <mergeCell ref="BP12:CK12"/>
    <mergeCell ref="CL12:DG12"/>
    <mergeCell ref="DH12:EC12"/>
    <mergeCell ref="OH11:PC11"/>
    <mergeCell ref="PD11:PY11"/>
    <mergeCell ref="PZ11:QU11"/>
    <mergeCell ref="QV11:RQ11"/>
    <mergeCell ref="RR11:SM11"/>
    <mergeCell ref="KB11:KW11"/>
    <mergeCell ref="KX11:LS11"/>
    <mergeCell ref="LT11:MO11"/>
    <mergeCell ref="MP11:NK11"/>
    <mergeCell ref="NL11:OG11"/>
    <mergeCell ref="PD10:PY10"/>
    <mergeCell ref="PZ10:QU10"/>
    <mergeCell ref="QV10:RQ10"/>
    <mergeCell ref="RR10:SM10"/>
    <mergeCell ref="X11:AS11"/>
    <mergeCell ref="AT11:BO11"/>
    <mergeCell ref="BP11:CK11"/>
    <mergeCell ref="CL11:DG11"/>
    <mergeCell ref="DH11:EC11"/>
    <mergeCell ref="ED11:EY11"/>
    <mergeCell ref="EZ11:FU11"/>
    <mergeCell ref="FV11:GQ11"/>
    <mergeCell ref="GR11:HM11"/>
    <mergeCell ref="HN11:II11"/>
    <mergeCell ref="IJ11:JE11"/>
    <mergeCell ref="JF11:KA11"/>
    <mergeCell ref="KX10:LS10"/>
    <mergeCell ref="LT10:MO10"/>
    <mergeCell ref="MP10:NK10"/>
    <mergeCell ref="NL10:OG10"/>
    <mergeCell ref="OH10:PC10"/>
    <mergeCell ref="PZ9:QU9"/>
    <mergeCell ref="QV9:RQ9"/>
    <mergeCell ref="RR9:SM9"/>
    <mergeCell ref="X10:AS10"/>
    <mergeCell ref="AT10:BO10"/>
    <mergeCell ref="BP10:CK10"/>
    <mergeCell ref="CL10:DG10"/>
    <mergeCell ref="DH10:EC10"/>
    <mergeCell ref="ED10:EY10"/>
    <mergeCell ref="EZ10:FU10"/>
    <mergeCell ref="FV10:GQ10"/>
    <mergeCell ref="GR10:HM10"/>
    <mergeCell ref="HN10:II10"/>
    <mergeCell ref="IJ10:JE10"/>
    <mergeCell ref="JF10:KA10"/>
    <mergeCell ref="KB10:KW10"/>
    <mergeCell ref="LT9:MO9"/>
    <mergeCell ref="MP9:NK9"/>
    <mergeCell ref="NL9:OG9"/>
    <mergeCell ref="OH9:PC9"/>
    <mergeCell ref="PD9:PY9"/>
    <mergeCell ref="QV8:RQ8"/>
    <mergeCell ref="RR8:SM8"/>
    <mergeCell ref="X9:AS9"/>
    <mergeCell ref="AT9:BO9"/>
    <mergeCell ref="BP9:CK9"/>
    <mergeCell ref="CL9:DG9"/>
    <mergeCell ref="DH9:EC9"/>
    <mergeCell ref="ED9:EY9"/>
    <mergeCell ref="EZ9:FU9"/>
    <mergeCell ref="FV9:GQ9"/>
    <mergeCell ref="GR9:HM9"/>
    <mergeCell ref="HN9:II9"/>
    <mergeCell ref="IJ9:JE9"/>
    <mergeCell ref="JF9:KA9"/>
    <mergeCell ref="KB9:KW9"/>
    <mergeCell ref="KX9:LS9"/>
    <mergeCell ref="MP8:NK8"/>
    <mergeCell ref="NL8:OG8"/>
    <mergeCell ref="OH8:PC8"/>
    <mergeCell ref="PD8:PY8"/>
    <mergeCell ref="PZ8:QU8"/>
    <mergeCell ref="RR7:SM7"/>
    <mergeCell ref="X8:AS8"/>
    <mergeCell ref="AT8:BO8"/>
    <mergeCell ref="BP8:CK8"/>
    <mergeCell ref="CL8:DG8"/>
    <mergeCell ref="DH8:EC8"/>
    <mergeCell ref="ED8:EY8"/>
    <mergeCell ref="EZ8:FU8"/>
    <mergeCell ref="FV8:GQ8"/>
    <mergeCell ref="GR8:HM8"/>
    <mergeCell ref="HN8:II8"/>
    <mergeCell ref="IJ8:JE8"/>
    <mergeCell ref="JF8:KA8"/>
    <mergeCell ref="KB8:KW8"/>
    <mergeCell ref="KX8:LS8"/>
    <mergeCell ref="LT8:MO8"/>
    <mergeCell ref="NL7:OG7"/>
    <mergeCell ref="OH7:PC7"/>
    <mergeCell ref="PD7:PY7"/>
    <mergeCell ref="PZ7:QU7"/>
    <mergeCell ref="QV7:RQ7"/>
    <mergeCell ref="JF7:KA7"/>
    <mergeCell ref="KB7:KW7"/>
    <mergeCell ref="KX7:LS7"/>
    <mergeCell ref="LT7:MO7"/>
    <mergeCell ref="MP7:NK7"/>
    <mergeCell ref="EZ7:FU7"/>
    <mergeCell ref="FV7:GQ7"/>
    <mergeCell ref="GR7:HM7"/>
    <mergeCell ref="HN7:II7"/>
    <mergeCell ref="IJ7:JE7"/>
    <mergeCell ref="AT7:BO7"/>
    <mergeCell ref="BP7:CK7"/>
    <mergeCell ref="CL7:DG7"/>
    <mergeCell ref="DH7:EC7"/>
    <mergeCell ref="ED7:EY7"/>
    <mergeCell ref="OH6:PC6"/>
    <mergeCell ref="PD6:PY6"/>
    <mergeCell ref="PZ6:QU6"/>
    <mergeCell ref="QV6:RQ6"/>
    <mergeCell ref="RR6:SM6"/>
    <mergeCell ref="KB6:KW6"/>
    <mergeCell ref="KX6:LS6"/>
    <mergeCell ref="LT6:MO6"/>
    <mergeCell ref="MP6:NK6"/>
    <mergeCell ref="NL6:OG6"/>
    <mergeCell ref="PD5:PY5"/>
    <mergeCell ref="PZ5:QU5"/>
    <mergeCell ref="QV5:RQ5"/>
    <mergeCell ref="RR5:SM5"/>
    <mergeCell ref="X6:AS6"/>
    <mergeCell ref="AT6:BO6"/>
    <mergeCell ref="BP6:CK6"/>
    <mergeCell ref="CL6:DG6"/>
    <mergeCell ref="DH6:EC6"/>
    <mergeCell ref="ED6:EY6"/>
    <mergeCell ref="EZ6:FU6"/>
    <mergeCell ref="FV6:GQ6"/>
    <mergeCell ref="GR6:HM6"/>
    <mergeCell ref="HN6:II6"/>
    <mergeCell ref="IJ6:JE6"/>
    <mergeCell ref="JF6:KA6"/>
    <mergeCell ref="KX5:LS5"/>
    <mergeCell ref="LT5:MO5"/>
    <mergeCell ref="MP5:NK5"/>
    <mergeCell ref="NL5:OG5"/>
    <mergeCell ref="OH5:PC5"/>
    <mergeCell ref="PZ4:QU4"/>
    <mergeCell ref="QV4:RQ4"/>
    <mergeCell ref="RR4:SM4"/>
    <mergeCell ref="X5:AS5"/>
    <mergeCell ref="AT5:BO5"/>
    <mergeCell ref="BP5:CK5"/>
    <mergeCell ref="CL5:DG5"/>
    <mergeCell ref="DH5:EC5"/>
    <mergeCell ref="ED5:EY5"/>
    <mergeCell ref="EZ5:FU5"/>
    <mergeCell ref="FV5:GQ5"/>
    <mergeCell ref="GR5:HM5"/>
    <mergeCell ref="HN5:II5"/>
    <mergeCell ref="IJ5:JE5"/>
    <mergeCell ref="JF5:KA5"/>
    <mergeCell ref="KB5:KW5"/>
    <mergeCell ref="LT4:MO4"/>
    <mergeCell ref="MP4:NK4"/>
    <mergeCell ref="NL4:OG4"/>
    <mergeCell ref="OH4:PC4"/>
    <mergeCell ref="PD4:PY4"/>
    <mergeCell ref="QV3:RQ3"/>
    <mergeCell ref="RR3:SM3"/>
    <mergeCell ref="X4:AS4"/>
    <mergeCell ref="AT4:BO4"/>
    <mergeCell ref="BP4:CK4"/>
    <mergeCell ref="CL4:DG4"/>
    <mergeCell ref="DH4:EC4"/>
    <mergeCell ref="ED4:EY4"/>
    <mergeCell ref="EZ4:FU4"/>
    <mergeCell ref="FV4:GQ4"/>
    <mergeCell ref="GR4:HM4"/>
    <mergeCell ref="HN4:II4"/>
    <mergeCell ref="IJ4:JE4"/>
    <mergeCell ref="JF4:KA4"/>
    <mergeCell ref="KB4:KW4"/>
    <mergeCell ref="KX4:LS4"/>
    <mergeCell ref="MP3:NK3"/>
    <mergeCell ref="NL3:OG3"/>
    <mergeCell ref="OH3:PC3"/>
    <mergeCell ref="PD3:PY3"/>
    <mergeCell ref="PZ3:QU3"/>
    <mergeCell ref="RR1:SM1"/>
    <mergeCell ref="X3:AS3"/>
    <mergeCell ref="AT3:BO3"/>
    <mergeCell ref="BP3:CK3"/>
    <mergeCell ref="CL3:DG3"/>
    <mergeCell ref="DH3:EC3"/>
    <mergeCell ref="ED3:EY3"/>
    <mergeCell ref="EZ3:FU3"/>
    <mergeCell ref="FV3:GQ3"/>
    <mergeCell ref="GR3:HM3"/>
    <mergeCell ref="HN3:II3"/>
    <mergeCell ref="IJ3:JE3"/>
    <mergeCell ref="JF3:KA3"/>
    <mergeCell ref="KB3:KW3"/>
    <mergeCell ref="KX3:LS3"/>
    <mergeCell ref="LT3:MO3"/>
    <mergeCell ref="NL1:OG1"/>
    <mergeCell ref="OH1:PC1"/>
    <mergeCell ref="PD1:PY1"/>
    <mergeCell ref="PZ1:QU1"/>
    <mergeCell ref="QV1:RQ1"/>
    <mergeCell ref="JF1:KA1"/>
    <mergeCell ref="KB1:KW1"/>
    <mergeCell ref="KX1:LS1"/>
    <mergeCell ref="LT1:MO1"/>
    <mergeCell ref="MP1:NK1"/>
    <mergeCell ref="EZ1:FU1"/>
    <mergeCell ref="FV1:GQ1"/>
    <mergeCell ref="GR1:HM1"/>
    <mergeCell ref="HN1:II1"/>
    <mergeCell ref="IJ1:JE1"/>
    <mergeCell ref="AT1:BO1"/>
    <mergeCell ref="BP1:CK1"/>
    <mergeCell ref="CL1:DG1"/>
    <mergeCell ref="DH1:EC1"/>
    <mergeCell ref="ED1:EY1"/>
    <mergeCell ref="X1:AS1"/>
    <mergeCell ref="X7:AS7"/>
  </mergeCell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62686-1169-4481-8311-0551AF6E3D16}">
  <sheetPr codeName="Planilha4"/>
  <dimension ref="A1:B5"/>
  <sheetViews>
    <sheetView workbookViewId="0">
      <selection activeCell="B5" sqref="B5"/>
    </sheetView>
  </sheetViews>
  <sheetFormatPr defaultRowHeight="14.4"/>
  <sheetData>
    <row r="1" spans="1:2">
      <c r="A1" t="s">
        <v>19</v>
      </c>
      <c r="B1">
        <v>22</v>
      </c>
    </row>
    <row r="3" spans="1:2">
      <c r="A3" t="s">
        <v>3</v>
      </c>
      <c r="B3">
        <f>MAX('coordenadas dos Polos'!$X$3:$SM$24)</f>
        <v>247.70287370595523</v>
      </c>
    </row>
    <row r="5" spans="1:2">
      <c r="A5" t="s">
        <v>4</v>
      </c>
      <c r="B5">
        <f>('Cálculos Diversos'!$B$3/SQRT(2*'Cálculos Diversos'!$B$1))^2</f>
        <v>1394.470764595191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255CB-C7A7-4A45-9A1D-7E92A32FABDC}">
  <sheetPr codeName="Planilha5"/>
  <dimension ref="A1:X31"/>
  <sheetViews>
    <sheetView workbookViewId="0">
      <selection activeCell="B2" sqref="B2:X31"/>
    </sheetView>
  </sheetViews>
  <sheetFormatPr defaultRowHeight="14.4"/>
  <sheetData>
    <row r="1" spans="1:24">
      <c r="A1" t="s">
        <v>5</v>
      </c>
      <c r="B1" t="s">
        <v>6</v>
      </c>
    </row>
    <row r="2" spans="1:24">
      <c r="A2">
        <v>1</v>
      </c>
      <c r="B2">
        <f>EXP(((-1)/(2*'Cálculos Diversos'!$B$5))*(SQRT(SUMXMY2('Tabela Entrada-saída'!$B$2:$W$2,'coordenadas dos Polos'!$X$2:$AS$2)))^2)</f>
        <v>0.86173974639691697</v>
      </c>
      <c r="C2">
        <f>EXP(((-1)/(2*'Cálculos Diversos'!$B$5))*(SQRT(SUMXMY2('Tabela Entrada-saída'!$B$2:$W$2,'coordenadas dos Polos'!$AT$2:$BO$2)))^2)</f>
        <v>9.5143344008545201E-10</v>
      </c>
      <c r="D2">
        <f>EXP(((-1)/(2*'Cálculos Diversos'!$B$5))*(SQRT(SUMXMY2('Tabela Entrada-saída'!$B$2:$W$2,'coordenadas dos Polos'!$BP$2:$CK$2)))^2)</f>
        <v>1.3037665274927419E-9</v>
      </c>
      <c r="E2">
        <f>EXP(((-1)/(2*'Cálculos Diversos'!$B$5))*(SQRT(SUMXMY2('Tabela Entrada-saída'!$B$2:$W$2,'coordenadas dos Polos'!$CL$2:$DG$2)))^2)</f>
        <v>4.4400533202547317E-6</v>
      </c>
      <c r="F2">
        <f>EXP(((-1)/(2*'Cálculos Diversos'!$B$5))*(SQRT(SUMXMY2('Tabela Entrada-saída'!$B$2:$W$2,'coordenadas dos Polos'!$DH$2:$EC$2)))^2)</f>
        <v>7.0979885921022058E-9</v>
      </c>
      <c r="G2">
        <f>EXP(((-1)/(2*'Cálculos Diversos'!$B$5))*(SQRT(SUMXMY2('Tabela Entrada-saída'!$B$2:$W$2,'coordenadas dos Polos'!$ED$2:$EY$2)))^2)</f>
        <v>4.0684082796232061E-6</v>
      </c>
      <c r="H2">
        <f>EXP(((-1)/(2*'Cálculos Diversos'!$B$5))*(SQRT(SUMXMY2('Tabela Entrada-saída'!$B$2:$W$2,'coordenadas dos Polos'!$EZ$2:$FU$2)))^2)</f>
        <v>5.3107876539528714E-6</v>
      </c>
      <c r="I2">
        <f>EXP(((-1)/(2*'Cálculos Diversos'!$B$5))*(SQRT(SUMXMY2('Tabela Entrada-saída'!$B$2:$W$2,'coordenadas dos Polos'!$FV$2:$GQ$2)))^2)</f>
        <v>4.9681468941816278E-7</v>
      </c>
      <c r="J2">
        <f>EXP(((-1)/(2*'Cálculos Diversos'!$B$5))*(SQRT(SUMXMY2('Tabela Entrada-saída'!$B$2:$W$2,'coordenadas dos Polos'!$GR$2:$HM$2)))^2)</f>
        <v>5.7305491808948654E-6</v>
      </c>
      <c r="K2">
        <f>EXP(((-1)/(2*'Cálculos Diversos'!$B$5))*(SQRT(SUMXMY2('Tabela Entrada-saída'!$B$2:$W$2,'coordenadas dos Polos'!$HN$2:$II$2)))^2)</f>
        <v>3.6976063972712541E-9</v>
      </c>
      <c r="L2">
        <f>EXP(((-1)/(2*'Cálculos Diversos'!$B$5))*(SQRT(SUMXMY2('Tabela Entrada-saída'!$B$2:$W$2,'coordenadas dos Polos'!$IJ$2:$JE$2)))^2)</f>
        <v>5.0918168550137795E-7</v>
      </c>
      <c r="M2">
        <f>EXP(((-1)/(2*'Cálculos Diversos'!$B$5))*(SQRT(SUMXMY2('Tabela Entrada-saída'!$B$2:$W$2,'coordenadas dos Polos'!$JF$2:$KA$2)))^2)</f>
        <v>3.4520403032656662E-7</v>
      </c>
      <c r="N2">
        <f>EXP(((-1)/(2*'Cálculos Diversos'!$B$5))*(SQRT(SUMXMY2('Tabela Entrada-saída'!$B$2:$W$2,'coordenadas dos Polos'!$KB$2:$KW$2)))^2)</f>
        <v>9.6373837251967904E-9</v>
      </c>
      <c r="O2">
        <f>EXP(((-1)/(2*'Cálculos Diversos'!$B$5))*(SQRT(SUMXMY2('Tabela Entrada-saída'!$B$2:$W$2,'coordenadas dos Polos'!$KX$2:$LS$2)))^2)</f>
        <v>2.0173750394467918E-6</v>
      </c>
      <c r="P2">
        <f>EXP(((-1)/(2*'Cálculos Diversos'!$B$5))*(SQRT(SUMXMY2('Tabela Entrada-saída'!$B$2:$W$2,'coordenadas dos Polos'!$LT$2:$MO$2)))^2)</f>
        <v>1.1040287163085831E-9</v>
      </c>
      <c r="Q2">
        <f>EXP(((-1)/(2*'Cálculos Diversos'!$B$5))*(SQRT(SUMXMY2('Tabela Entrada-saída'!$B$2:$W$2,'coordenadas dos Polos'!$MP$2:$NK$2)))^2)</f>
        <v>3.8411260235181513E-8</v>
      </c>
      <c r="R2">
        <f>EXP(((-1)/(2*'Cálculos Diversos'!$B$5))*(SQRT(SUMXMY2('Tabela Entrada-saída'!$B$2:$W$2,'coordenadas dos Polos'!$NL$2:$OG$2)))^2)</f>
        <v>5.2784229385387247E-8</v>
      </c>
      <c r="S2">
        <f>EXP(((-1)/(2*'Cálculos Diversos'!$B$5))*(SQRT(SUMXMY2('Tabela Entrada-saída'!$B$2:$W$2,'coordenadas dos Polos'!$OH$2:$PC$2)))^2)</f>
        <v>1.7337281625030231E-9</v>
      </c>
      <c r="T2">
        <f>EXP(((-1)/(2*'Cálculos Diversos'!$B$5))*(SQRT(SUMXMY2('Tabela Entrada-saída'!$B$2:$W$2,'coordenadas dos Polos'!$PD$2:$PY$2)))^2)</f>
        <v>9.5254937671982403E-8</v>
      </c>
      <c r="U2">
        <f>EXP(((-1)/(2*'Cálculos Diversos'!$B$5))*(SQRT(SUMXMY2('Tabela Entrada-saída'!$B$2:$W$2,'coordenadas dos Polos'!$PZ$2:$QU$2)))^2)</f>
        <v>1.3655166814396122E-7</v>
      </c>
      <c r="V2">
        <f>EXP(((-1)/(2*'Cálculos Diversos'!$B$5))*(SQRT(SUMXMY2('Tabela Entrada-saída'!$B$2:$W$2,'coordenadas dos Polos'!$QV$2:$RQ$2)))^2)</f>
        <v>1.7469869211579929E-7</v>
      </c>
      <c r="W2">
        <f>EXP(((-1)/(2*'Cálculos Diversos'!$B$5))*(SQRT(SUMXMY2('Tabela Entrada-saída'!$B$2:$W$2,'coordenadas dos Polos'!$RR$2:$SM$2)))^2)</f>
        <v>9.0289816348413355E-9</v>
      </c>
      <c r="X2">
        <v>1</v>
      </c>
    </row>
    <row r="3" spans="1:24">
      <c r="A3">
        <v>2</v>
      </c>
      <c r="B3">
        <f>EXP(((-1)/(2*'Cálculos Diversos'!$B$5))*(SQRT(SUMXMY2('Tabela Entrada-saída'!$B$3:$W$3,'coordenadas dos Polos'!$X$2:$AS$2)))^2)</f>
        <v>0.65830972076978744</v>
      </c>
      <c r="C3">
        <f>EXP(((-1)/(2*'Cálculos Diversos'!$B$5))*(SQRT(SUMXMY2('Tabela Entrada-saída'!$B$3:$W$3,'coordenadas dos Polos'!$AT$2:$BO$2)))^2)</f>
        <v>1.0859158632279109E-9</v>
      </c>
      <c r="D3">
        <f>EXP(((-1)/(2*'Cálculos Diversos'!$B$5))*(SQRT(SUMXMY2('Tabela Entrada-saída'!$B$3:$W$3,'coordenadas dos Polos'!$BP$2:$CK$2)))^2)</f>
        <v>8.8182357152763296E-10</v>
      </c>
      <c r="E3">
        <f>EXP(((-1)/(2*'Cálculos Diversos'!$B$5))*(SQRT(SUMXMY2('Tabela Entrada-saída'!$B$3:$W$3,'coordenadas dos Polos'!$CL$2:$DG$2)))^2)</f>
        <v>4.4886262112322158E-6</v>
      </c>
      <c r="F3">
        <f>EXP(((-1)/(2*'Cálculos Diversos'!$B$5))*(SQRT(SUMXMY2('Tabela Entrada-saída'!$B$3:$W$3,'coordenadas dos Polos'!$DH$2:$EC$2)))^2)</f>
        <v>5.2678805553595914E-9</v>
      </c>
      <c r="G3">
        <f>EXP(((-1)/(2*'Cálculos Diversos'!$B$5))*(SQRT(SUMXMY2('Tabela Entrada-saída'!$B$3:$W$3,'coordenadas dos Polos'!$ED$2:$EY$2)))^2)</f>
        <v>4.6346104285880143E-6</v>
      </c>
      <c r="H3">
        <f>EXP(((-1)/(2*'Cálculos Diversos'!$B$5))*(SQRT(SUMXMY2('Tabela Entrada-saída'!$B$3:$W$3,'coordenadas dos Polos'!$EZ$2:$FU$2)))^2)</f>
        <v>5.4603469627789458E-6</v>
      </c>
      <c r="I3">
        <f>EXP(((-1)/(2*'Cálculos Diversos'!$B$5))*(SQRT(SUMXMY2('Tabela Entrada-saída'!$B$3:$W$3,'coordenadas dos Polos'!$FV$2:$GQ$2)))^2)</f>
        <v>4.6899886721578423E-7</v>
      </c>
      <c r="J3">
        <f>EXP(((-1)/(2*'Cálculos Diversos'!$B$5))*(SQRT(SUMXMY2('Tabela Entrada-saída'!$B$3:$W$3,'coordenadas dos Polos'!$GR$2:$HM$2)))^2)</f>
        <v>5.0577315270207171E-6</v>
      </c>
      <c r="K3">
        <f>EXP(((-1)/(2*'Cálculos Diversos'!$B$5))*(SQRT(SUMXMY2('Tabela Entrada-saída'!$B$3:$W$3,'coordenadas dos Polos'!$HN$2:$II$2)))^2)</f>
        <v>4.6959581192062084E-9</v>
      </c>
      <c r="L3">
        <f>EXP(((-1)/(2*'Cálculos Diversos'!$B$5))*(SQRT(SUMXMY2('Tabela Entrada-saída'!$B$3:$W$3,'coordenadas dos Polos'!$IJ$2:$JE$2)))^2)</f>
        <v>7.7952261203448269E-7</v>
      </c>
      <c r="M3">
        <f>EXP(((-1)/(2*'Cálculos Diversos'!$B$5))*(SQRT(SUMXMY2('Tabela Entrada-saída'!$B$3:$W$3,'coordenadas dos Polos'!$JF$2:$KA$2)))^2)</f>
        <v>2.5451009422446536E-7</v>
      </c>
      <c r="N3">
        <f>EXP(((-1)/(2*'Cálculos Diversos'!$B$5))*(SQRT(SUMXMY2('Tabela Entrada-saída'!$B$3:$W$3,'coordenadas dos Polos'!$KB$2:$KW$2)))^2)</f>
        <v>6.3348481316376125E-9</v>
      </c>
      <c r="O3">
        <f>EXP(((-1)/(2*'Cálculos Diversos'!$B$5))*(SQRT(SUMXMY2('Tabela Entrada-saída'!$B$3:$W$3,'coordenadas dos Polos'!$KX$2:$LS$2)))^2)</f>
        <v>2.877755895360227E-6</v>
      </c>
      <c r="P3">
        <f>EXP(((-1)/(2*'Cálculos Diversos'!$B$5))*(SQRT(SUMXMY2('Tabela Entrada-saída'!$B$3:$W$3,'coordenadas dos Polos'!$LT$2:$MO$2)))^2)</f>
        <v>1.0510162291166384E-9</v>
      </c>
      <c r="Q3">
        <f>EXP(((-1)/(2*'Cálculos Diversos'!$B$5))*(SQRT(SUMXMY2('Tabela Entrada-saída'!$B$3:$W$3,'coordenadas dos Polos'!$MP$2:$NK$2)))^2)</f>
        <v>4.4988628064259004E-8</v>
      </c>
      <c r="R3">
        <f>EXP(((-1)/(2*'Cálculos Diversos'!$B$5))*(SQRT(SUMXMY2('Tabela Entrada-saída'!$B$3:$W$3,'coordenadas dos Polos'!$NL$2:$OG$2)))^2)</f>
        <v>4.2643934859139735E-8</v>
      </c>
      <c r="S3">
        <f>EXP(((-1)/(2*'Cálculos Diversos'!$B$5))*(SQRT(SUMXMY2('Tabela Entrada-saída'!$B$3:$W$3,'coordenadas dos Polos'!$OH$2:$PC$2)))^2)</f>
        <v>1.367717787353619E-9</v>
      </c>
      <c r="T3">
        <f>EXP(((-1)/(2*'Cálculos Diversos'!$B$5))*(SQRT(SUMXMY2('Tabela Entrada-saída'!$B$3:$W$3,'coordenadas dos Polos'!$PD$2:$PY$2)))^2)</f>
        <v>1.0587858044109246E-7</v>
      </c>
      <c r="U3">
        <f>EXP(((-1)/(2*'Cálculos Diversos'!$B$5))*(SQRT(SUMXMY2('Tabela Entrada-saída'!$B$3:$W$3,'coordenadas dos Polos'!$PZ$2:$QU$2)))^2)</f>
        <v>1.4274561809673642E-7</v>
      </c>
      <c r="V3">
        <f>EXP(((-1)/(2*'Cálculos Diversos'!$B$5))*(SQRT(SUMXMY2('Tabela Entrada-saída'!$B$3:$W$3,'coordenadas dos Polos'!$QV$2:$RQ$2)))^2)</f>
        <v>1.5421306837303211E-7</v>
      </c>
      <c r="W3">
        <f>EXP(((-1)/(2*'Cálculos Diversos'!$B$5))*(SQRT(SUMXMY2('Tabela Entrada-saída'!$B$3:$W$3,'coordenadas dos Polos'!$RR$2:$SM$2)))^2)</f>
        <v>6.8392450011306173E-9</v>
      </c>
      <c r="X3">
        <v>1</v>
      </c>
    </row>
    <row r="4" spans="1:24">
      <c r="A4">
        <v>3</v>
      </c>
      <c r="B4">
        <f>EXP(((-1)/(2*'Cálculos Diversos'!$B$5))*(SQRT(SUMXMY2('Tabela Entrada-saída'!$B$4:$W$4,'coordenadas dos Polos'!$X$2:$AS$2)))^2)</f>
        <v>0.27435779532673299</v>
      </c>
      <c r="C4">
        <f>EXP(((-1)/(2*'Cálculos Diversos'!$B$5))*(SQRT(SUMXMY2('Tabela Entrada-saída'!$B$4:$W$4,'coordenadas dos Polos'!$AT$2:$BO$2)))^2)</f>
        <v>1.2077608113751208E-9</v>
      </c>
      <c r="D4">
        <f>EXP(((-1)/(2*'Cálculos Diversos'!$B$5))*(SQRT(SUMXMY2('Tabela Entrada-saída'!$B$4:$W$4,'coordenadas dos Polos'!$BP$2:$CK$2)))^2)</f>
        <v>3.7360564261098664E-10</v>
      </c>
      <c r="E4">
        <f>EXP(((-1)/(2*'Cálculos Diversos'!$B$5))*(SQRT(SUMXMY2('Tabela Entrada-saída'!$B$4:$W$4,'coordenadas dos Polos'!$CL$2:$DG$2)))^2)</f>
        <v>4.455416842438329E-6</v>
      </c>
      <c r="F4">
        <f>EXP(((-1)/(2*'Cálculos Diversos'!$B$5))*(SQRT(SUMXMY2('Tabela Entrada-saída'!$B$4:$W$4,'coordenadas dos Polos'!$DH$2:$EC$2)))^2)</f>
        <v>2.9919204298004143E-9</v>
      </c>
      <c r="G4">
        <f>EXP(((-1)/(2*'Cálculos Diversos'!$B$5))*(SQRT(SUMXMY2('Tabela Entrada-saída'!$B$4:$W$4,'coordenadas dos Polos'!$ED$2:$EY$2)))^2)</f>
        <v>5.4502246582908273E-6</v>
      </c>
      <c r="H4">
        <f>EXP(((-1)/(2*'Cálculos Diversos'!$B$5))*(SQRT(SUMXMY2('Tabela Entrada-saída'!$B$4:$W$4,'coordenadas dos Polos'!$EZ$2:$FU$2)))^2)</f>
        <v>4.6851811301991768E-6</v>
      </c>
      <c r="I4">
        <f>EXP(((-1)/(2*'Cálculos Diversos'!$B$5))*(SQRT(SUMXMY2('Tabela Entrada-saída'!$B$4:$W$4,'coordenadas dos Polos'!$FV$2:$GQ$2)))^2)</f>
        <v>3.7330553054824873E-7</v>
      </c>
      <c r="J4">
        <f>EXP(((-1)/(2*'Cálculos Diversos'!$B$5))*(SQRT(SUMXMY2('Tabela Entrada-saída'!$B$4:$W$4,'coordenadas dos Polos'!$GR$2:$HM$2)))^2)</f>
        <v>3.1381589888030963E-6</v>
      </c>
      <c r="K4">
        <f>EXP(((-1)/(2*'Cálculos Diversos'!$B$5))*(SQRT(SUMXMY2('Tabela Entrada-saída'!$B$4:$W$4,'coordenadas dos Polos'!$HN$2:$II$2)))^2)</f>
        <v>4.5006461105670087E-9</v>
      </c>
      <c r="L4">
        <f>EXP(((-1)/(2*'Cálculos Diversos'!$B$5))*(SQRT(SUMXMY2('Tabela Entrada-saída'!$B$4:$W$4,'coordenadas dos Polos'!$IJ$2:$JE$2)))^2)</f>
        <v>1.4131949713111478E-6</v>
      </c>
      <c r="M4">
        <f>EXP(((-1)/(2*'Cálculos Diversos'!$B$5))*(SQRT(SUMXMY2('Tabela Entrada-saída'!$B$4:$W$4,'coordenadas dos Polos'!$JF$2:$KA$2)))^2)</f>
        <v>1.3875068186916298E-7</v>
      </c>
      <c r="N4">
        <f>EXP(((-1)/(2*'Cálculos Diversos'!$B$5))*(SQRT(SUMXMY2('Tabela Entrada-saída'!$B$4:$W$4,'coordenadas dos Polos'!$KB$2:$KW$2)))^2)</f>
        <v>2.4882513777401119E-9</v>
      </c>
      <c r="O4">
        <f>EXP(((-1)/(2*'Cálculos Diversos'!$B$5))*(SQRT(SUMXMY2('Tabela Entrada-saída'!$B$4:$W$4,'coordenadas dos Polos'!$KX$2:$LS$2)))^2)</f>
        <v>3.2868840681802199E-6</v>
      </c>
      <c r="P4">
        <f>EXP(((-1)/(2*'Cálculos Diversos'!$B$5))*(SQRT(SUMXMY2('Tabela Entrada-saída'!$B$4:$W$4,'coordenadas dos Polos'!$LT$2:$MO$2)))^2)</f>
        <v>9.4603226843467491E-10</v>
      </c>
      <c r="Q4">
        <f>EXP(((-1)/(2*'Cálculos Diversos'!$B$5))*(SQRT(SUMXMY2('Tabela Entrada-saída'!$B$4:$W$4,'coordenadas dos Polos'!$MP$2:$NK$2)))^2)</f>
        <v>5.2951373707825953E-8</v>
      </c>
      <c r="R4">
        <f>EXP(((-1)/(2*'Cálculos Diversos'!$B$5))*(SQRT(SUMXMY2('Tabela Entrada-saída'!$B$4:$W$4,'coordenadas dos Polos'!$NL$2:$OG$2)))^2)</f>
        <v>2.7948049036892109E-8</v>
      </c>
      <c r="S4">
        <f>EXP(((-1)/(2*'Cálculos Diversos'!$B$5))*(SQRT(SUMXMY2('Tabela Entrada-saída'!$B$4:$W$4,'coordenadas dos Polos'!$OH$2:$PC$2)))^2)</f>
        <v>7.4562416006455936E-10</v>
      </c>
      <c r="T4">
        <f>EXP(((-1)/(2*'Cálculos Diversos'!$B$5))*(SQRT(SUMXMY2('Tabela Entrada-saída'!$B$4:$W$4,'coordenadas dos Polos'!$PD$2:$PY$2)))^2)</f>
        <v>1.0098254040824653E-7</v>
      </c>
      <c r="U4">
        <f>EXP(((-1)/(2*'Cálculos Diversos'!$B$5))*(SQRT(SUMXMY2('Tabela Entrada-saída'!$B$4:$W$4,'coordenadas dos Polos'!$PZ$2:$QU$2)))^2)</f>
        <v>1.1679825385437857E-7</v>
      </c>
      <c r="V4">
        <f>EXP(((-1)/(2*'Cálculos Diversos'!$B$5))*(SQRT(SUMXMY2('Tabela Entrada-saída'!$B$4:$W$4,'coordenadas dos Polos'!$QV$2:$RQ$2)))^2)</f>
        <v>7.3693170094241168E-8</v>
      </c>
      <c r="W4">
        <f>EXP(((-1)/(2*'Cálculos Diversos'!$B$5))*(SQRT(SUMXMY2('Tabela Entrada-saída'!$B$4:$W$4,'coordenadas dos Polos'!$RR$2:$SM$2)))^2)</f>
        <v>3.6036695116440818E-9</v>
      </c>
      <c r="X4">
        <v>1</v>
      </c>
    </row>
    <row r="5" spans="1:24">
      <c r="A5">
        <v>4</v>
      </c>
      <c r="B5">
        <f>EXP(((-1)/(2*'Cálculos Diversos'!$B$5))*(SQRT(SUMXMY2('Tabela Entrada-saída'!$B$5:$W$5,'coordenadas dos Polos'!$X$2:$AS$2)))^2)</f>
        <v>0.10646724701547554</v>
      </c>
      <c r="C5">
        <f>EXP(((-1)/(2*'Cálculos Diversos'!$B$5))*(SQRT(SUMXMY2('Tabela Entrada-saída'!$B$5:$W$5,'coordenadas dos Polos'!$AT$2:$BO$2)))^2)</f>
        <v>1.0101345220118534E-9</v>
      </c>
      <c r="D5">
        <f>EXP(((-1)/(2*'Cálculos Diversos'!$B$5))*(SQRT(SUMXMY2('Tabela Entrada-saída'!$B$5:$W$5,'coordenadas dos Polos'!$BP$2:$CK$2)))^2)</f>
        <v>1.4211636456862424E-10</v>
      </c>
      <c r="E5">
        <f>EXP(((-1)/(2*'Cálculos Diversos'!$B$5))*(SQRT(SUMXMY2('Tabela Entrada-saída'!$B$5:$W$5,'coordenadas dos Polos'!$CL$2:$DG$2)))^2)</f>
        <v>3.2044677753379971E-6</v>
      </c>
      <c r="F5">
        <f>EXP(((-1)/(2*'Cálculos Diversos'!$B$5))*(SQRT(SUMXMY2('Tabela Entrada-saída'!$B$5:$W$5,'coordenadas dos Polos'!$DH$2:$EC$2)))^2)</f>
        <v>1.2703976364055335E-9</v>
      </c>
      <c r="G5">
        <f>EXP(((-1)/(2*'Cálculos Diversos'!$B$5))*(SQRT(SUMXMY2('Tabela Entrada-saída'!$B$5:$W$5,'coordenadas dos Polos'!$ED$2:$EY$2)))^2)</f>
        <v>4.3644560483619449E-6</v>
      </c>
      <c r="H5">
        <f>EXP(((-1)/(2*'Cálculos Diversos'!$B$5))*(SQRT(SUMXMY2('Tabela Entrada-saída'!$B$5:$W$5,'coordenadas dos Polos'!$EZ$2:$FU$2)))^2)</f>
        <v>3.1080071070153984E-6</v>
      </c>
      <c r="I5">
        <f>EXP(((-1)/(2*'Cálculos Diversos'!$B$5))*(SQRT(SUMXMY2('Tabela Entrada-saída'!$B$5:$W$5,'coordenadas dos Polos'!$FV$2:$GQ$2)))^2)</f>
        <v>2.488546131100757E-7</v>
      </c>
      <c r="J5">
        <f>EXP(((-1)/(2*'Cálculos Diversos'!$B$5))*(SQRT(SUMXMY2('Tabela Entrada-saída'!$B$5:$W$5,'coordenadas dos Polos'!$GR$2:$HM$2)))^2)</f>
        <v>1.4582993263018658E-6</v>
      </c>
      <c r="K5">
        <f>EXP(((-1)/(2*'Cálculos Diversos'!$B$5))*(SQRT(SUMXMY2('Tabela Entrada-saída'!$B$5:$W$5,'coordenadas dos Polos'!$HN$2:$II$2)))^2)</f>
        <v>3.2656756835079551E-9</v>
      </c>
      <c r="L5">
        <f>EXP(((-1)/(2*'Cálculos Diversos'!$B$5))*(SQRT(SUMXMY2('Tabela Entrada-saída'!$B$5:$W$5,'coordenadas dos Polos'!$IJ$2:$JE$2)))^2)</f>
        <v>1.5847267869179074E-6</v>
      </c>
      <c r="M5">
        <f>EXP(((-1)/(2*'Cálculos Diversos'!$B$5))*(SQRT(SUMXMY2('Tabela Entrada-saída'!$B$5:$W$5,'coordenadas dos Polos'!$JF$2:$KA$2)))^2)</f>
        <v>6.9779136456925051E-8</v>
      </c>
      <c r="N5">
        <f>EXP(((-1)/(2*'Cálculos Diversos'!$B$5))*(SQRT(SUMXMY2('Tabela Entrada-saída'!$B$5:$W$5,'coordenadas dos Polos'!$KB$2:$KW$2)))^2)</f>
        <v>1.0068258283575743E-9</v>
      </c>
      <c r="O5">
        <f>EXP(((-1)/(2*'Cálculos Diversos'!$B$5))*(SQRT(SUMXMY2('Tabela Entrada-saída'!$B$5:$W$5,'coordenadas dos Polos'!$KX$2:$LS$2)))^2)</f>
        <v>2.8407480089036989E-6</v>
      </c>
      <c r="P5">
        <f>EXP(((-1)/(2*'Cálculos Diversos'!$B$5))*(SQRT(SUMXMY2('Tabela Entrada-saída'!$B$5:$W$5,'coordenadas dos Polos'!$LT$2:$MO$2)))^2)</f>
        <v>6.3243008492397096E-10</v>
      </c>
      <c r="Q5">
        <f>EXP(((-1)/(2*'Cálculos Diversos'!$B$5))*(SQRT(SUMXMY2('Tabela Entrada-saída'!$B$5:$W$5,'coordenadas dos Polos'!$MP$2:$NK$2)))^2)</f>
        <v>4.069301154394501E-8</v>
      </c>
      <c r="R5">
        <f>EXP(((-1)/(2*'Cálculos Diversos'!$B$5))*(SQRT(SUMXMY2('Tabela Entrada-saída'!$B$5:$W$5,'coordenadas dos Polos'!$NL$2:$OG$2)))^2)</f>
        <v>1.5940777323157845E-8</v>
      </c>
      <c r="S5">
        <f>EXP(((-1)/(2*'Cálculos Diversos'!$B$5))*(SQRT(SUMXMY2('Tabela Entrada-saída'!$B$5:$W$5,'coordenadas dos Polos'!$OH$2:$PC$2)))^2)</f>
        <v>4.2223939672345332E-10</v>
      </c>
      <c r="T5">
        <f>EXP(((-1)/(2*'Cálculos Diversos'!$B$5))*(SQRT(SUMXMY2('Tabela Entrada-saída'!$B$5:$W$5,'coordenadas dos Polos'!$PD$2:$PY$2)))^2)</f>
        <v>7.1244951443127491E-8</v>
      </c>
      <c r="U5">
        <f>EXP(((-1)/(2*'Cálculos Diversos'!$B$5))*(SQRT(SUMXMY2('Tabela Entrada-saída'!$B$5:$W$5,'coordenadas dos Polos'!$PZ$2:$QU$2)))^2)</f>
        <v>7.8014245178200487E-8</v>
      </c>
      <c r="V5">
        <f>EXP(((-1)/(2*'Cálculos Diversos'!$B$5))*(SQRT(SUMXMY2('Tabela Entrada-saída'!$B$5:$W$5,'coordenadas dos Polos'!$QV$2:$RQ$2)))^2)</f>
        <v>3.3904521711703434E-8</v>
      </c>
      <c r="W5">
        <f>EXP(((-1)/(2*'Cálculos Diversos'!$B$5))*(SQRT(SUMXMY2('Tabela Entrada-saída'!$B$5:$W$5,'coordenadas dos Polos'!$RR$2:$SM$2)))^2)</f>
        <v>1.6144907873498807E-9</v>
      </c>
      <c r="X5">
        <v>1</v>
      </c>
    </row>
    <row r="6" spans="1:24">
      <c r="A6">
        <v>5</v>
      </c>
      <c r="B6">
        <f>EXP(((-1)/(2*'Cálculos Diversos'!$B$5))*(SQRT(SUMXMY2('Tabela Entrada-saída'!$B$6:$W$6,'coordenadas dos Polos'!$X$2:$AS$2)))^2)</f>
        <v>0.75224303561817274</v>
      </c>
      <c r="C6">
        <f>EXP(((-1)/(2*'Cálculos Diversos'!$B$5))*(SQRT(SUMXMY2('Tabela Entrada-saída'!$B$6:$W$6,'coordenadas dos Polos'!$AT$2:$BO$2)))^2)</f>
        <v>9.8789371517236427E-10</v>
      </c>
      <c r="D6">
        <f>EXP(((-1)/(2*'Cálculos Diversos'!$B$5))*(SQRT(SUMXMY2('Tabela Entrada-saída'!$B$6:$W$6,'coordenadas dos Polos'!$BP$2:$CK$2)))^2)</f>
        <v>9.6936629498345646E-10</v>
      </c>
      <c r="E6">
        <f>EXP(((-1)/(2*'Cálculos Diversos'!$B$5))*(SQRT(SUMXMY2('Tabela Entrada-saída'!$B$6:$W$6,'coordenadas dos Polos'!$CL$2:$DG$2)))^2)</f>
        <v>4.9061168491386364E-6</v>
      </c>
      <c r="F6">
        <f>EXP(((-1)/(2*'Cálculos Diversos'!$B$5))*(SQRT(SUMXMY2('Tabela Entrada-saída'!$B$6:$W$6,'coordenadas dos Polos'!$DH$2:$EC$2)))^2)</f>
        <v>6.0844527857282787E-9</v>
      </c>
      <c r="G6">
        <f>EXP(((-1)/(2*'Cálculos Diversos'!$B$5))*(SQRT(SUMXMY2('Tabela Entrada-saída'!$B$6:$W$6,'coordenadas dos Polos'!$ED$2:$EY$2)))^2)</f>
        <v>4.5725570180235041E-6</v>
      </c>
      <c r="H6">
        <f>EXP(((-1)/(2*'Cálculos Diversos'!$B$5))*(SQRT(SUMXMY2('Tabela Entrada-saída'!$B$6:$W$6,'coordenadas dos Polos'!$EZ$2:$FU$2)))^2)</f>
        <v>5.1604295237650946E-6</v>
      </c>
      <c r="I6">
        <f>EXP(((-1)/(2*'Cálculos Diversos'!$B$5))*(SQRT(SUMXMY2('Tabela Entrada-saída'!$B$6:$W$6,'coordenadas dos Polos'!$FV$2:$GQ$2)))^2)</f>
        <v>4.8833746249554582E-7</v>
      </c>
      <c r="J6">
        <f>EXP(((-1)/(2*'Cálculos Diversos'!$B$5))*(SQRT(SUMXMY2('Tabela Entrada-saída'!$B$6:$W$6,'coordenadas dos Polos'!$GR$2:$HM$2)))^2)</f>
        <v>5.2844868628397467E-6</v>
      </c>
      <c r="K6">
        <f>EXP(((-1)/(2*'Cálculos Diversos'!$B$5))*(SQRT(SUMXMY2('Tabela Entrada-saída'!$B$6:$W$6,'coordenadas dos Polos'!$HN$2:$II$2)))^2)</f>
        <v>4.2054077746985696E-9</v>
      </c>
      <c r="L6">
        <f>EXP(((-1)/(2*'Cálculos Diversos'!$B$5))*(SQRT(SUMXMY2('Tabela Entrada-saída'!$B$6:$W$6,'coordenadas dos Polos'!$IJ$2:$JE$2)))^2)</f>
        <v>6.2853611678105737E-7</v>
      </c>
      <c r="M6">
        <f>EXP(((-1)/(2*'Cálculos Diversos'!$B$5))*(SQRT(SUMXMY2('Tabela Entrada-saída'!$B$6:$W$6,'coordenadas dos Polos'!$JF$2:$KA$2)))^2)</f>
        <v>2.7456422893392294E-7</v>
      </c>
      <c r="N6">
        <f>EXP(((-1)/(2*'Cálculos Diversos'!$B$5))*(SQRT(SUMXMY2('Tabela Entrada-saída'!$B$6:$W$6,'coordenadas dos Polos'!$KB$2:$KW$2)))^2)</f>
        <v>7.548964700419009E-9</v>
      </c>
      <c r="O6">
        <f>EXP(((-1)/(2*'Cálculos Diversos'!$B$5))*(SQRT(SUMXMY2('Tabela Entrada-saída'!$B$6:$W$6,'coordenadas dos Polos'!$KX$2:$LS$2)))^2)</f>
        <v>2.3336903399194187E-6</v>
      </c>
      <c r="P6">
        <f>EXP(((-1)/(2*'Cálculos Diversos'!$B$5))*(SQRT(SUMXMY2('Tabela Entrada-saída'!$B$6:$W$6,'coordenadas dos Polos'!$LT$2:$MO$2)))^2)</f>
        <v>1.0725907388186842E-9</v>
      </c>
      <c r="Q6">
        <f>EXP(((-1)/(2*'Cálculos Diversos'!$B$5))*(SQRT(SUMXMY2('Tabela Entrada-saída'!$B$6:$W$6,'coordenadas dos Polos'!$MP$2:$NK$2)))^2)</f>
        <v>3.797476155451227E-8</v>
      </c>
      <c r="R6">
        <f>EXP(((-1)/(2*'Cálculos Diversos'!$B$5))*(SQRT(SUMXMY2('Tabela Entrada-saída'!$B$6:$W$6,'coordenadas dos Polos'!$NL$2:$OG$2)))^2)</f>
        <v>4.4857432773025225E-8</v>
      </c>
      <c r="S6">
        <f>EXP(((-1)/(2*'Cálculos Diversos'!$B$5))*(SQRT(SUMXMY2('Tabela Entrada-saída'!$B$6:$W$6,'coordenadas dos Polos'!$OH$2:$PC$2)))^2)</f>
        <v>1.5238469207981755E-9</v>
      </c>
      <c r="T6">
        <f>EXP(((-1)/(2*'Cálculos Diversos'!$B$5))*(SQRT(SUMXMY2('Tabela Entrada-saída'!$B$6:$W$6,'coordenadas dos Polos'!$PD$2:$PY$2)))^2)</f>
        <v>9.4134426969197212E-8</v>
      </c>
      <c r="U6">
        <f>EXP(((-1)/(2*'Cálculos Diversos'!$B$5))*(SQRT(SUMXMY2('Tabela Entrada-saída'!$B$6:$W$6,'coordenadas dos Polos'!$PZ$2:$QU$2)))^2)</f>
        <v>1.3274185077820802E-7</v>
      </c>
      <c r="V6">
        <f>EXP(((-1)/(2*'Cálculos Diversos'!$B$5))*(SQRT(SUMXMY2('Tabela Entrada-saída'!$B$6:$W$6,'coordenadas dos Polos'!$QV$2:$RQ$2)))^2)</f>
        <v>1.5508862177599742E-7</v>
      </c>
      <c r="W6">
        <f>EXP(((-1)/(2*'Cálculos Diversos'!$B$5))*(SQRT(SUMXMY2('Tabela Entrada-saída'!$B$6:$W$6,'coordenadas dos Polos'!$RR$2:$SM$2)))^2)</f>
        <v>7.3871000533609563E-9</v>
      </c>
      <c r="X6">
        <v>1</v>
      </c>
    </row>
    <row r="7" spans="1:24">
      <c r="A7">
        <v>6</v>
      </c>
      <c r="B7">
        <f>EXP(((-1)/(2*'Cálculos Diversos'!$B$5))*(SQRT(SUMXMY2('Tabela Entrada-saída'!$B$7:$W$7,'coordenadas dos Polos'!$X$2:$AS$2)))^2)</f>
        <v>0.64222258676718724</v>
      </c>
      <c r="C7">
        <f>EXP(((-1)/(2*'Cálculos Diversos'!$B$5))*(SQRT(SUMXMY2('Tabela Entrada-saída'!$B$7:$W$7,'coordenadas dos Polos'!$AT$2:$BO$2)))^2)</f>
        <v>1.0723005073243409E-9</v>
      </c>
      <c r="D7">
        <f>EXP(((-1)/(2*'Cálculos Diversos'!$B$5))*(SQRT(SUMXMY2('Tabela Entrada-saída'!$B$7:$W$7,'coordenadas dos Polos'!$BP$2:$CK$2)))^2)</f>
        <v>8.908823528347811E-10</v>
      </c>
      <c r="E7">
        <f>EXP(((-1)/(2*'Cálculos Diversos'!$B$5))*(SQRT(SUMXMY2('Tabela Entrada-saída'!$B$7:$W$7,'coordenadas dos Polos'!$CL$2:$DG$2)))^2)</f>
        <v>5.2151272033549703E-6</v>
      </c>
      <c r="F7">
        <f>EXP(((-1)/(2*'Cálculos Diversos'!$B$5))*(SQRT(SUMXMY2('Tabela Entrada-saída'!$B$7:$W$7,'coordenadas dos Polos'!$DH$2:$EC$2)))^2)</f>
        <v>5.9858239083224287E-9</v>
      </c>
      <c r="G7">
        <f>EXP(((-1)/(2*'Cálculos Diversos'!$B$5))*(SQRT(SUMXMY2('Tabela Entrada-saída'!$B$7:$W$7,'coordenadas dos Polos'!$ED$2:$EY$2)))^2)</f>
        <v>5.0728610921619672E-6</v>
      </c>
      <c r="H7">
        <f>EXP(((-1)/(2*'Cálculos Diversos'!$B$5))*(SQRT(SUMXMY2('Tabela Entrada-saída'!$B$7:$W$7,'coordenadas dos Polos'!$EZ$2:$FU$2)))^2)</f>
        <v>5.3751699722845621E-6</v>
      </c>
      <c r="I7">
        <f>EXP(((-1)/(2*'Cálculos Diversos'!$B$5))*(SQRT(SUMXMY2('Tabela Entrada-saída'!$B$7:$W$7,'coordenadas dos Polos'!$FV$2:$GQ$2)))^2)</f>
        <v>4.8274451133007217E-7</v>
      </c>
      <c r="J7">
        <f>EXP(((-1)/(2*'Cálculos Diversos'!$B$5))*(SQRT(SUMXMY2('Tabela Entrada-saída'!$B$7:$W$7,'coordenadas dos Polos'!$GR$2:$HM$2)))^2)</f>
        <v>5.3052635768166531E-6</v>
      </c>
      <c r="K7">
        <f>EXP(((-1)/(2*'Cálculos Diversos'!$B$5))*(SQRT(SUMXMY2('Tabela Entrada-saída'!$B$7:$W$7,'coordenadas dos Polos'!$HN$2:$II$2)))^2)</f>
        <v>4.4917105787854198E-9</v>
      </c>
      <c r="L7">
        <f>EXP(((-1)/(2*'Cálculos Diversos'!$B$5))*(SQRT(SUMXMY2('Tabela Entrada-saída'!$B$7:$W$7,'coordenadas dos Polos'!$IJ$2:$JE$2)))^2)</f>
        <v>7.9640369485012532E-7</v>
      </c>
      <c r="M7">
        <f>EXP(((-1)/(2*'Cálculos Diversos'!$B$5))*(SQRT(SUMXMY2('Tabela Entrada-saída'!$B$7:$W$7,'coordenadas dos Polos'!$JF$2:$KA$2)))^2)</f>
        <v>2.4538467823736888E-7</v>
      </c>
      <c r="N7">
        <f>EXP(((-1)/(2*'Cálculos Diversos'!$B$5))*(SQRT(SUMXMY2('Tabela Entrada-saída'!$B$7:$W$7,'coordenadas dos Polos'!$KB$2:$KW$2)))^2)</f>
        <v>6.2613092253735278E-9</v>
      </c>
      <c r="O7">
        <f>EXP(((-1)/(2*'Cálculos Diversos'!$B$5))*(SQRT(SUMXMY2('Tabela Entrada-saída'!$B$7:$W$7,'coordenadas dos Polos'!$KX$2:$LS$2)))^2)</f>
        <v>2.8857958541753176E-6</v>
      </c>
      <c r="P7">
        <f>EXP(((-1)/(2*'Cálculos Diversos'!$B$5))*(SQRT(SUMXMY2('Tabela Entrada-saída'!$B$7:$W$7,'coordenadas dos Polos'!$LT$2:$MO$2)))^2)</f>
        <v>1.1422794646212395E-9</v>
      </c>
      <c r="Q7">
        <f>EXP(((-1)/(2*'Cálculos Diversos'!$B$5))*(SQRT(SUMXMY2('Tabela Entrada-saída'!$B$7:$W$7,'coordenadas dos Polos'!$MP$2:$NK$2)))^2)</f>
        <v>4.5253334597322382E-8</v>
      </c>
      <c r="R7">
        <f>EXP(((-1)/(2*'Cálculos Diversos'!$B$5))*(SQRT(SUMXMY2('Tabela Entrada-saída'!$B$7:$W$7,'coordenadas dos Polos'!$NL$2:$OG$2)))^2)</f>
        <v>4.5292980978507397E-8</v>
      </c>
      <c r="S7">
        <f>EXP(((-1)/(2*'Cálculos Diversos'!$B$5))*(SQRT(SUMXMY2('Tabela Entrada-saída'!$B$7:$W$7,'coordenadas dos Polos'!$OH$2:$PC$2)))^2)</f>
        <v>1.3252276500320901E-9</v>
      </c>
      <c r="T7">
        <f>EXP(((-1)/(2*'Cálculos Diversos'!$B$5))*(SQRT(SUMXMY2('Tabela Entrada-saída'!$B$7:$W$7,'coordenadas dos Polos'!$PD$2:$PY$2)))^2)</f>
        <v>1.0650142233984108E-7</v>
      </c>
      <c r="U7">
        <f>EXP(((-1)/(2*'Cálculos Diversos'!$B$5))*(SQRT(SUMXMY2('Tabela Entrada-saída'!$B$7:$W$7,'coordenadas dos Polos'!$PZ$2:$QU$2)))^2)</f>
        <v>1.4073378820100462E-7</v>
      </c>
      <c r="V7">
        <f>EXP(((-1)/(2*'Cálculos Diversos'!$B$5))*(SQRT(SUMXMY2('Tabela Entrada-saída'!$B$7:$W$7,'coordenadas dos Polos'!$QV$2:$RQ$2)))^2)</f>
        <v>1.4471790423574182E-7</v>
      </c>
      <c r="W7">
        <f>EXP(((-1)/(2*'Cálculos Diversos'!$B$5))*(SQRT(SUMXMY2('Tabela Entrada-saída'!$B$7:$W$7,'coordenadas dos Polos'!$RR$2:$SM$2)))^2)</f>
        <v>6.8829629685360894E-9</v>
      </c>
      <c r="X7">
        <v>1</v>
      </c>
    </row>
    <row r="8" spans="1:24">
      <c r="A8">
        <v>7</v>
      </c>
      <c r="B8">
        <f>EXP(((-1)/(2*'Cálculos Diversos'!$B$5))*(SQRT(SUMXMY2('Tabela Entrada-saída'!$B$8:$W$8,'coordenadas dos Polos'!$X$2:$AS$2)))^2)</f>
        <v>0.11235025220856582</v>
      </c>
      <c r="C8">
        <f>EXP(((-1)/(2*'Cálculos Diversos'!$B$5))*(SQRT(SUMXMY2('Tabela Entrada-saída'!$B$8:$W$8,'coordenadas dos Polos'!$AT$2:$BO$2)))^2)</f>
        <v>1.261471546096044E-9</v>
      </c>
      <c r="D8">
        <f>EXP(((-1)/(2*'Cálculos Diversos'!$B$5))*(SQRT(SUMXMY2('Tabela Entrada-saída'!$B$8:$W$8,'coordenadas dos Polos'!$BP$2:$CK$2)))^2)</f>
        <v>2.0824702328899478E-10</v>
      </c>
      <c r="E8">
        <f>EXP(((-1)/(2*'Cálculos Diversos'!$B$5))*(SQRT(SUMXMY2('Tabela Entrada-saída'!$B$8:$W$8,'coordenadas dos Polos'!$CL$2:$DG$2)))^2)</f>
        <v>3.9412562382668591E-6</v>
      </c>
      <c r="F8">
        <f>EXP(((-1)/(2*'Cálculos Diversos'!$B$5))*(SQRT(SUMXMY2('Tabela Entrada-saída'!$B$8:$W$8,'coordenadas dos Polos'!$DH$2:$EC$2)))^2)</f>
        <v>1.7628137745727809E-9</v>
      </c>
      <c r="G8">
        <f>EXP(((-1)/(2*'Cálculos Diversos'!$B$5))*(SQRT(SUMXMY2('Tabela Entrada-saída'!$B$8:$W$8,'coordenadas dos Polos'!$ED$2:$EY$2)))^2)</f>
        <v>5.454301714815119E-6</v>
      </c>
      <c r="H8">
        <f>EXP(((-1)/(2*'Cálculos Diversos'!$B$5))*(SQRT(SUMXMY2('Tabela Entrada-saída'!$B$8:$W$8,'coordenadas dos Polos'!$EZ$2:$FU$2)))^2)</f>
        <v>3.5346696322315311E-6</v>
      </c>
      <c r="I8">
        <f>EXP(((-1)/(2*'Cálculos Diversos'!$B$5))*(SQRT(SUMXMY2('Tabela Entrada-saída'!$B$8:$W$8,'coordenadas dos Polos'!$FV$2:$GQ$2)))^2)</f>
        <v>2.8134475052003781E-7</v>
      </c>
      <c r="J8">
        <f>EXP(((-1)/(2*'Cálculos Diversos'!$B$5))*(SQRT(SUMXMY2('Tabela Entrada-saída'!$B$8:$W$8,'coordenadas dos Polos'!$GR$2:$HM$2)))^2)</f>
        <v>1.9637057763341606E-6</v>
      </c>
      <c r="K8">
        <f>EXP(((-1)/(2*'Cálculos Diversos'!$B$5))*(SQRT(SUMXMY2('Tabela Entrada-saída'!$B$8:$W$8,'coordenadas dos Polos'!$HN$2:$II$2)))^2)</f>
        <v>4.4263277460535937E-9</v>
      </c>
      <c r="L8">
        <f>EXP(((-1)/(2*'Cálculos Diversos'!$B$5))*(SQRT(SUMXMY2('Tabela Entrada-saída'!$B$8:$W$8,'coordenadas dos Polos'!$IJ$2:$JE$2)))^2)</f>
        <v>1.9611105353543011E-6</v>
      </c>
      <c r="M8">
        <f>EXP(((-1)/(2*'Cálculos Diversos'!$B$5))*(SQRT(SUMXMY2('Tabela Entrada-saída'!$B$8:$W$8,'coordenadas dos Polos'!$JF$2:$KA$2)))^2)</f>
        <v>8.5670794245293152E-8</v>
      </c>
      <c r="N8">
        <f>EXP(((-1)/(2*'Cálculos Diversos'!$B$5))*(SQRT(SUMXMY2('Tabela Entrada-saída'!$B$8:$W$8,'coordenadas dos Polos'!$KB$2:$KW$2)))^2)</f>
        <v>1.3074963240961502E-9</v>
      </c>
      <c r="O8">
        <f>EXP(((-1)/(2*'Cálculos Diversos'!$B$5))*(SQRT(SUMXMY2('Tabela Entrada-saída'!$B$8:$W$8,'coordenadas dos Polos'!$KX$2:$LS$2)))^2)</f>
        <v>3.5470602213751635E-6</v>
      </c>
      <c r="P8">
        <f>EXP(((-1)/(2*'Cálculos Diversos'!$B$5))*(SQRT(SUMXMY2('Tabela Entrada-saída'!$B$8:$W$8,'coordenadas dos Polos'!$LT$2:$MO$2)))^2)</f>
        <v>8.1728890400122455E-10</v>
      </c>
      <c r="Q8">
        <f>EXP(((-1)/(2*'Cálculos Diversos'!$B$5))*(SQRT(SUMXMY2('Tabela Entrada-saída'!$B$8:$W$8,'coordenadas dos Polos'!$MP$2:$NK$2)))^2)</f>
        <v>4.7023738791697013E-8</v>
      </c>
      <c r="R8">
        <f>EXP(((-1)/(2*'Cálculos Diversos'!$B$5))*(SQRT(SUMXMY2('Tabela Entrada-saída'!$B$8:$W$8,'coordenadas dos Polos'!$NL$2:$OG$2)))^2)</f>
        <v>1.9719451141892413E-8</v>
      </c>
      <c r="S8">
        <f>EXP(((-1)/(2*'Cálculos Diversos'!$B$5))*(SQRT(SUMXMY2('Tabela Entrada-saída'!$B$8:$W$8,'coordenadas dos Polos'!$OH$2:$PC$2)))^2)</f>
        <v>5.3721227515533278E-10</v>
      </c>
      <c r="T8">
        <f>EXP(((-1)/(2*'Cálculos Diversos'!$B$5))*(SQRT(SUMXMY2('Tabela Entrada-saída'!$B$8:$W$8,'coordenadas dos Polos'!$PD$2:$PY$2)))^2)</f>
        <v>9.1795301719285426E-8</v>
      </c>
      <c r="U8">
        <f>EXP(((-1)/(2*'Cálculos Diversos'!$B$5))*(SQRT(SUMXMY2('Tabela Entrada-saída'!$B$8:$W$8,'coordenadas dos Polos'!$PZ$2:$QU$2)))^2)</f>
        <v>9.8020522502116355E-8</v>
      </c>
      <c r="V8">
        <f>EXP(((-1)/(2*'Cálculos Diversos'!$B$5))*(SQRT(SUMXMY2('Tabela Entrada-saída'!$B$8:$W$8,'coordenadas dos Polos'!$QV$2:$RQ$2)))^2)</f>
        <v>4.6283738934140924E-8</v>
      </c>
      <c r="W8">
        <f>EXP(((-1)/(2*'Cálculos Diversos'!$B$5))*(SQRT(SUMXMY2('Tabela Entrada-saída'!$B$8:$W$8,'coordenadas dos Polos'!$RR$2:$SM$2)))^2)</f>
        <v>2.1770954353688083E-9</v>
      </c>
      <c r="X8">
        <v>1</v>
      </c>
    </row>
    <row r="9" spans="1:24">
      <c r="A9">
        <v>8</v>
      </c>
      <c r="B9">
        <f>EXP(((-1)/(2*'Cálculos Diversos'!$B$5))*(SQRT(SUMXMY2('Tabela Entrada-saída'!$B$9:$W$9,'coordenadas dos Polos'!$X$2:$AS$2)))^2)</f>
        <v>8.4242402840753641E-2</v>
      </c>
      <c r="C9">
        <f>EXP(((-1)/(2*'Cálculos Diversos'!$B$5))*(SQRT(SUMXMY2('Tabela Entrada-saída'!$B$9:$W$9,'coordenadas dos Polos'!$AT$2:$BO$2)))^2)</f>
        <v>1.1191241074705783E-9</v>
      </c>
      <c r="D9">
        <f>EXP(((-1)/(2*'Cálculos Diversos'!$B$5))*(SQRT(SUMXMY2('Tabela Entrada-saída'!$B$9:$W$9,'coordenadas dos Polos'!$BP$2:$CK$2)))^2)</f>
        <v>1.4374777173532211E-10</v>
      </c>
      <c r="E9">
        <f>EXP(((-1)/(2*'Cálculos Diversos'!$B$5))*(SQRT(SUMXMY2('Tabela Entrada-saída'!$B$9:$W$9,'coordenadas dos Polos'!$CL$2:$DG$2)))^2)</f>
        <v>3.5345317129266266E-6</v>
      </c>
      <c r="F9">
        <f>EXP(((-1)/(2*'Cálculos Diversos'!$B$5))*(SQRT(SUMXMY2('Tabela Entrada-saída'!$B$9:$W$9,'coordenadas dos Polos'!$DH$2:$EC$2)))^2)</f>
        <v>1.3868487842300486E-9</v>
      </c>
      <c r="G9">
        <f>EXP(((-1)/(2*'Cálculos Diversos'!$B$5))*(SQRT(SUMXMY2('Tabela Entrada-saída'!$B$9:$W$9,'coordenadas dos Polos'!$ED$2:$EY$2)))^2)</f>
        <v>4.6961367862298348E-6</v>
      </c>
      <c r="H9">
        <f>EXP(((-1)/(2*'Cálculos Diversos'!$B$5))*(SQRT(SUMXMY2('Tabela Entrada-saída'!$B$9:$W$9,'coordenadas dos Polos'!$EZ$2:$FU$2)))^2)</f>
        <v>3.0281951119229159E-6</v>
      </c>
      <c r="I9">
        <f>EXP(((-1)/(2*'Cálculos Diversos'!$B$5))*(SQRT(SUMXMY2('Tabela Entrada-saída'!$B$9:$W$9,'coordenadas dos Polos'!$FV$2:$GQ$2)))^2)</f>
        <v>2.487149726104794E-7</v>
      </c>
      <c r="J9">
        <f>EXP(((-1)/(2*'Cálculos Diversos'!$B$5))*(SQRT(SUMXMY2('Tabela Entrada-saída'!$B$9:$W$9,'coordenadas dos Polos'!$GR$2:$HM$2)))^2)</f>
        <v>1.4301369866870598E-6</v>
      </c>
      <c r="K9">
        <f>EXP(((-1)/(2*'Cálculos Diversos'!$B$5))*(SQRT(SUMXMY2('Tabela Entrada-saída'!$B$9:$W$9,'coordenadas dos Polos'!$HN$2:$II$2)))^2)</f>
        <v>3.5675688128578807E-9</v>
      </c>
      <c r="L9">
        <f>EXP(((-1)/(2*'Cálculos Diversos'!$B$5))*(SQRT(SUMXMY2('Tabela Entrada-saída'!$B$9:$W$9,'coordenadas dos Polos'!$IJ$2:$JE$2)))^2)</f>
        <v>1.8962469318872378E-6</v>
      </c>
      <c r="M9">
        <f>EXP(((-1)/(2*'Cálculos Diversos'!$B$5))*(SQRT(SUMXMY2('Tabela Entrada-saída'!$B$9:$W$9,'coordenadas dos Polos'!$JF$2:$KA$2)))^2)</f>
        <v>6.3057671513456383E-8</v>
      </c>
      <c r="N9">
        <f>EXP(((-1)/(2*'Cálculos Diversos'!$B$5))*(SQRT(SUMXMY2('Tabela Entrada-saída'!$B$9:$W$9,'coordenadas dos Polos'!$KB$2:$KW$2)))^2)</f>
        <v>9.1618181464418635E-10</v>
      </c>
      <c r="O9">
        <f>EXP(((-1)/(2*'Cálculos Diversos'!$B$5))*(SQRT(SUMXMY2('Tabela Entrada-saída'!$B$9:$W$9,'coordenadas dos Polos'!$KX$2:$LS$2)))^2)</f>
        <v>3.063952576874812E-6</v>
      </c>
      <c r="P9">
        <f>EXP(((-1)/(2*'Cálculos Diversos'!$B$5))*(SQRT(SUMXMY2('Tabela Entrada-saída'!$B$9:$W$9,'coordenadas dos Polos'!$LT$2:$MO$2)))^2)</f>
        <v>6.3867780284377853E-10</v>
      </c>
      <c r="Q9">
        <f>EXP(((-1)/(2*'Cálculos Diversos'!$B$5))*(SQRT(SUMXMY2('Tabela Entrada-saída'!$B$9:$W$9,'coordenadas dos Polos'!$MP$2:$NK$2)))^2)</f>
        <v>4.0663471487694949E-8</v>
      </c>
      <c r="R9">
        <f>EXP(((-1)/(2*'Cálculos Diversos'!$B$5))*(SQRT(SUMXMY2('Tabela Entrada-saída'!$B$9:$W$9,'coordenadas dos Polos'!$NL$2:$OG$2)))^2)</f>
        <v>1.6072508041249594E-8</v>
      </c>
      <c r="S9">
        <f>EXP(((-1)/(2*'Cálculos Diversos'!$B$5))*(SQRT(SUMXMY2('Tabela Entrada-saída'!$B$9:$W$9,'coordenadas dos Polos'!$OH$2:$PC$2)))^2)</f>
        <v>4.1014624387939836E-10</v>
      </c>
      <c r="T9">
        <f>EXP(((-1)/(2*'Cálculos Diversos'!$B$5))*(SQRT(SUMXMY2('Tabela Entrada-saída'!$B$9:$W$9,'coordenadas dos Polos'!$PD$2:$PY$2)))^2)</f>
        <v>7.6270816615730725E-8</v>
      </c>
      <c r="U9">
        <f>EXP(((-1)/(2*'Cálculos Diversos'!$B$5))*(SQRT(SUMXMY2('Tabela Entrada-saída'!$B$9:$W$9,'coordenadas dos Polos'!$PZ$2:$QU$2)))^2)</f>
        <v>7.973768563413044E-8</v>
      </c>
      <c r="V9">
        <f>EXP(((-1)/(2*'Cálculos Diversos'!$B$5))*(SQRT(SUMXMY2('Tabela Entrada-saída'!$B$9:$W$9,'coordenadas dos Polos'!$QV$2:$RQ$2)))^2)</f>
        <v>3.1091744483700893E-8</v>
      </c>
      <c r="W9">
        <f>EXP(((-1)/(2*'Cálculos Diversos'!$B$5))*(SQRT(SUMXMY2('Tabela Entrada-saída'!$B$9:$W$9,'coordenadas dos Polos'!$RR$2:$SM$2)))^2)</f>
        <v>1.6906502668668918E-9</v>
      </c>
      <c r="X9">
        <v>1</v>
      </c>
    </row>
    <row r="10" spans="1:24">
      <c r="A10">
        <v>9</v>
      </c>
      <c r="B10">
        <f>EXP(((-1)/(2*'Cálculos Diversos'!$B$5))*(SQRT(SUMXMY2('Tabela Entrada-saída'!$B$10:$W$10,'coordenadas dos Polos'!$X$2:$AS$2)))^2)</f>
        <v>0.7205626614752717</v>
      </c>
      <c r="C10">
        <f>EXP(((-1)/(2*'Cálculos Diversos'!$B$5))*(SQRT(SUMXMY2('Tabela Entrada-saída'!$B$10:$W$10,'coordenadas dos Polos'!$AT$2:$BO$2)))^2)</f>
        <v>1.0740690068371481E-9</v>
      </c>
      <c r="D10">
        <f>EXP(((-1)/(2*'Cálculos Diversos'!$B$5))*(SQRT(SUMXMY2('Tabela Entrada-saída'!$B$10:$W$10,'coordenadas dos Polos'!$BP$2:$CK$2)))^2)</f>
        <v>1.1540001679343334E-9</v>
      </c>
      <c r="E10">
        <f>EXP(((-1)/(2*'Cálculos Diversos'!$B$5))*(SQRT(SUMXMY2('Tabela Entrada-saída'!$B$10:$W$10,'coordenadas dos Polos'!$CL$2:$DG$2)))^2)</f>
        <v>5.2288802145604009E-6</v>
      </c>
      <c r="F10">
        <f>EXP(((-1)/(2*'Cálculos Diversos'!$B$5))*(SQRT(SUMXMY2('Tabela Entrada-saída'!$B$10:$W$10,'coordenadas dos Polos'!$DH$2:$EC$2)))^2)</f>
        <v>6.6937215877904982E-9</v>
      </c>
      <c r="G10">
        <f>EXP(((-1)/(2*'Cálculos Diversos'!$B$5))*(SQRT(SUMXMY2('Tabela Entrada-saída'!$B$10:$W$10,'coordenadas dos Polos'!$ED$2:$EY$2)))^2)</f>
        <v>5.1354090243317113E-6</v>
      </c>
      <c r="H10">
        <f>EXP(((-1)/(2*'Cálculos Diversos'!$B$5))*(SQRT(SUMXMY2('Tabela Entrada-saída'!$B$10:$W$10,'coordenadas dos Polos'!$EZ$2:$FU$2)))^2)</f>
        <v>5.554287369778013E-6</v>
      </c>
      <c r="I10">
        <f>EXP(((-1)/(2*'Cálculos Diversos'!$B$5))*(SQRT(SUMXMY2('Tabela Entrada-saída'!$B$10:$W$10,'coordenadas dos Polos'!$FV$2:$GQ$2)))^2)</f>
        <v>5.0694293473304112E-7</v>
      </c>
      <c r="J10">
        <f>EXP(((-1)/(2*'Cálculos Diversos'!$B$5))*(SQRT(SUMXMY2('Tabela Entrada-saída'!$B$10:$W$10,'coordenadas dos Polos'!$GR$2:$HM$2)))^2)</f>
        <v>5.9209354899638818E-6</v>
      </c>
      <c r="K10">
        <f>EXP(((-1)/(2*'Cálculos Diversos'!$B$5))*(SQRT(SUMXMY2('Tabela Entrada-saída'!$B$10:$W$10,'coordenadas dos Polos'!$HN$2:$II$2)))^2)</f>
        <v>4.942336697405478E-9</v>
      </c>
      <c r="L10">
        <f>EXP(((-1)/(2*'Cálculos Diversos'!$B$5))*(SQRT(SUMXMY2('Tabela Entrada-saída'!$B$10:$W$10,'coordenadas dos Polos'!$IJ$2:$JE$2)))^2)</f>
        <v>7.2277167531032698E-7</v>
      </c>
      <c r="M10">
        <f>EXP(((-1)/(2*'Cálculos Diversos'!$B$5))*(SQRT(SUMXMY2('Tabela Entrada-saída'!$B$10:$W$10,'coordenadas dos Polos'!$JF$2:$KA$2)))^2)</f>
        <v>2.8593850928240928E-7</v>
      </c>
      <c r="N10">
        <f>EXP(((-1)/(2*'Cálculos Diversos'!$B$5))*(SQRT(SUMXMY2('Tabela Entrada-saída'!$B$10:$W$10,'coordenadas dos Polos'!$KB$2:$KW$2)))^2)</f>
        <v>8.0085153025344865E-9</v>
      </c>
      <c r="O10">
        <f>EXP(((-1)/(2*'Cálculos Diversos'!$B$5))*(SQRT(SUMXMY2('Tabela Entrada-saída'!$B$10:$W$10,'coordenadas dos Polos'!$KX$2:$LS$2)))^2)</f>
        <v>2.664399293505055E-6</v>
      </c>
      <c r="P10">
        <f>EXP(((-1)/(2*'Cálculos Diversos'!$B$5))*(SQRT(SUMXMY2('Tabela Entrada-saída'!$B$10:$W$10,'coordenadas dos Polos'!$LT$2:$MO$2)))^2)</f>
        <v>1.3303073457299813E-9</v>
      </c>
      <c r="Q10">
        <f>EXP(((-1)/(2*'Cálculos Diversos'!$B$5))*(SQRT(SUMXMY2('Tabela Entrada-saída'!$B$10:$W$10,'coordenadas dos Polos'!$MP$2:$NK$2)))^2)</f>
        <v>4.845338604571836E-8</v>
      </c>
      <c r="R10">
        <f>EXP(((-1)/(2*'Cálculos Diversos'!$B$5))*(SQRT(SUMXMY2('Tabela Entrada-saída'!$B$10:$W$10,'coordenadas dos Polos'!$NL$2:$OG$2)))^2)</f>
        <v>5.1769582608410067E-8</v>
      </c>
      <c r="S10">
        <f>EXP(((-1)/(2*'Cálculos Diversos'!$B$5))*(SQRT(SUMXMY2('Tabela Entrada-saída'!$B$10:$W$10,'coordenadas dos Polos'!$OH$2:$PC$2)))^2)</f>
        <v>1.5635543593427167E-9</v>
      </c>
      <c r="T10">
        <f>EXP(((-1)/(2*'Cálculos Diversos'!$B$5))*(SQRT(SUMXMY2('Tabela Entrada-saída'!$B$10:$W$10,'coordenadas dos Polos'!$PD$2:$PY$2)))^2)</f>
        <v>1.1634172868961141E-7</v>
      </c>
      <c r="U10">
        <f>EXP(((-1)/(2*'Cálculos Diversos'!$B$5))*(SQRT(SUMXMY2('Tabela Entrada-saída'!$B$10:$W$10,'coordenadas dos Polos'!$PZ$2:$QU$2)))^2)</f>
        <v>1.6478529054577969E-7</v>
      </c>
      <c r="V10">
        <f>EXP(((-1)/(2*'Cálculos Diversos'!$B$5))*(SQRT(SUMXMY2('Tabela Entrada-saída'!$B$10:$W$10,'coordenadas dos Polos'!$QV$2:$RQ$2)))^2)</f>
        <v>1.6825770588356824E-7</v>
      </c>
      <c r="W10">
        <f>EXP(((-1)/(2*'Cálculos Diversos'!$B$5))*(SQRT(SUMXMY2('Tabela Entrada-saída'!$B$10:$W$10,'coordenadas dos Polos'!$RR$2:$SM$2)))^2)</f>
        <v>7.6905083102472007E-9</v>
      </c>
      <c r="X10">
        <v>1</v>
      </c>
    </row>
    <row r="11" spans="1:24">
      <c r="A11">
        <v>10</v>
      </c>
      <c r="B11">
        <f>EXP(((-1)/(2*'Cálculos Diversos'!$B$5))*(SQRT(SUMXMY2('Tabela Entrada-saída'!$B$11:$W$11,'coordenadas dos Polos'!$X$2:$AS$2)))^2)</f>
        <v>0.36367493274683993</v>
      </c>
      <c r="C11">
        <f>EXP(((-1)/(2*'Cálculos Diversos'!$B$5))*(SQRT(SUMXMY2('Tabela Entrada-saída'!$B$11:$W$11,'coordenadas dos Polos'!$AT$2:$BO$2)))^2)</f>
        <v>1.352050264150747E-9</v>
      </c>
      <c r="D11">
        <f>EXP(((-1)/(2*'Cálculos Diversos'!$B$5))*(SQRT(SUMXMY2('Tabela Entrada-saída'!$B$11:$W$11,'coordenadas dos Polos'!$BP$2:$CK$2)))^2)</f>
        <v>5.6495197807622019E-10</v>
      </c>
      <c r="E11">
        <f>EXP(((-1)/(2*'Cálculos Diversos'!$B$5))*(SQRT(SUMXMY2('Tabela Entrada-saída'!$B$11:$W$11,'coordenadas dos Polos'!$CL$2:$DG$2)))^2)</f>
        <v>5.0049940428798476E-6</v>
      </c>
      <c r="F11">
        <f>EXP(((-1)/(2*'Cálculos Diversos'!$B$5))*(SQRT(SUMXMY2('Tabela Entrada-saída'!$B$11:$W$11,'coordenadas dos Polos'!$DH$2:$EC$2)))^2)</f>
        <v>4.0078377843242729E-9</v>
      </c>
      <c r="G11">
        <f>EXP(((-1)/(2*'Cálculos Diversos'!$B$5))*(SQRT(SUMXMY2('Tabela Entrada-saída'!$B$11:$W$11,'coordenadas dos Polos'!$ED$2:$EY$2)))^2)</f>
        <v>6.0630697971510328E-6</v>
      </c>
      <c r="H11">
        <f>EXP(((-1)/(2*'Cálculos Diversos'!$B$5))*(SQRT(SUMXMY2('Tabela Entrada-saída'!$B$11:$W$11,'coordenadas dos Polos'!$EZ$2:$FU$2)))^2)</f>
        <v>5.0975396293325447E-6</v>
      </c>
      <c r="I11">
        <f>EXP(((-1)/(2*'Cálculos Diversos'!$B$5))*(SQRT(SUMXMY2('Tabela Entrada-saída'!$B$11:$W$11,'coordenadas dos Polos'!$FV$2:$GQ$2)))^2)</f>
        <v>4.6033894433158686E-7</v>
      </c>
      <c r="J11">
        <f>EXP(((-1)/(2*'Cálculos Diversos'!$B$5))*(SQRT(SUMXMY2('Tabela Entrada-saída'!$B$11:$W$11,'coordenadas dos Polos'!$GR$2:$HM$2)))^2)</f>
        <v>3.7248220865853063E-6</v>
      </c>
      <c r="K11">
        <f>EXP(((-1)/(2*'Cálculos Diversos'!$B$5))*(SQRT(SUMXMY2('Tabela Entrada-saída'!$B$11:$W$11,'coordenadas dos Polos'!$HN$2:$II$2)))^2)</f>
        <v>5.3826593278645971E-9</v>
      </c>
      <c r="L11">
        <f>EXP(((-1)/(2*'Cálculos Diversos'!$B$5))*(SQRT(SUMXMY2('Tabela Entrada-saída'!$B$11:$W$11,'coordenadas dos Polos'!$IJ$2:$JE$2)))^2)</f>
        <v>1.440022171907919E-6</v>
      </c>
      <c r="M11">
        <f>EXP(((-1)/(2*'Cálculos Diversos'!$B$5))*(SQRT(SUMXMY2('Tabela Entrada-saída'!$B$11:$W$11,'coordenadas dos Polos'!$JF$2:$KA$2)))^2)</f>
        <v>2.0063576232627186E-7</v>
      </c>
      <c r="N11">
        <f>EXP(((-1)/(2*'Cálculos Diversos'!$B$5))*(SQRT(SUMXMY2('Tabela Entrada-saída'!$B$11:$W$11,'coordenadas dos Polos'!$KB$2:$KW$2)))^2)</f>
        <v>3.7613627926741572E-9</v>
      </c>
      <c r="O11">
        <f>EXP(((-1)/(2*'Cálculos Diversos'!$B$5))*(SQRT(SUMXMY2('Tabela Entrada-saída'!$B$11:$W$11,'coordenadas dos Polos'!$KX$2:$LS$2)))^2)</f>
        <v>3.4822595981914679E-6</v>
      </c>
      <c r="P11">
        <f>EXP(((-1)/(2*'Cálculos Diversos'!$B$5))*(SQRT(SUMXMY2('Tabela Entrada-saída'!$B$11:$W$11,'coordenadas dos Polos'!$LT$2:$MO$2)))^2)</f>
        <v>1.219361330263385E-9</v>
      </c>
      <c r="Q11">
        <f>EXP(((-1)/(2*'Cálculos Diversos'!$B$5))*(SQRT(SUMXMY2('Tabela Entrada-saída'!$B$11:$W$11,'coordenadas dos Polos'!$MP$2:$NK$2)))^2)</f>
        <v>5.4497582743938703E-8</v>
      </c>
      <c r="R11">
        <f>EXP(((-1)/(2*'Cálculos Diversos'!$B$5))*(SQRT(SUMXMY2('Tabela Entrada-saída'!$B$11:$W$11,'coordenadas dos Polos'!$NL$2:$OG$2)))^2)</f>
        <v>4.1576289938365199E-8</v>
      </c>
      <c r="S11">
        <f>EXP(((-1)/(2*'Cálculos Diversos'!$B$5))*(SQRT(SUMXMY2('Tabela Entrada-saída'!$B$11:$W$11,'coordenadas dos Polos'!$OH$2:$PC$2)))^2)</f>
        <v>1.1317877518660154E-9</v>
      </c>
      <c r="T11">
        <f>EXP(((-1)/(2*'Cálculos Diversos'!$B$5))*(SQRT(SUMXMY2('Tabela Entrada-saída'!$B$11:$W$11,'coordenadas dos Polos'!$PD$2:$PY$2)))^2)</f>
        <v>1.1745122480593711E-7</v>
      </c>
      <c r="U11">
        <f>EXP(((-1)/(2*'Cálculos Diversos'!$B$5))*(SQRT(SUMXMY2('Tabela Entrada-saída'!$B$11:$W$11,'coordenadas dos Polos'!$PZ$2:$QU$2)))^2)</f>
        <v>1.5079059172767885E-7</v>
      </c>
      <c r="V11">
        <f>EXP(((-1)/(2*'Cálculos Diversos'!$B$5))*(SQRT(SUMXMY2('Tabela Entrada-saída'!$B$11:$W$11,'coordenadas dos Polos'!$QV$2:$RQ$2)))^2)</f>
        <v>9.8071715079430956E-8</v>
      </c>
      <c r="W11">
        <f>EXP(((-1)/(2*'Cálculos Diversos'!$B$5))*(SQRT(SUMXMY2('Tabela Entrada-saída'!$B$11:$W$11,'coordenadas dos Polos'!$RR$2:$SM$2)))^2)</f>
        <v>5.2645678986505722E-9</v>
      </c>
      <c r="X11">
        <v>1</v>
      </c>
    </row>
    <row r="12" spans="1:24">
      <c r="A12">
        <v>11</v>
      </c>
      <c r="B12">
        <f>EXP(((-1)/(2*'Cálculos Diversos'!$B$5))*(SQRT(SUMXMY2('Tabela Entrada-saída'!$B$12:$W$12,'coordenadas dos Polos'!$X$2:$AS$2)))^2)</f>
        <v>9.4722084145007379E-2</v>
      </c>
      <c r="C12">
        <f>EXP(((-1)/(2*'Cálculos Diversos'!$B$5))*(SQRT(SUMXMY2('Tabela Entrada-saída'!$B$12:$W$12,'coordenadas dos Polos'!$AT$2:$BO$2)))^2)</f>
        <v>1.187149137639615E-9</v>
      </c>
      <c r="D12">
        <f>EXP(((-1)/(2*'Cálculos Diversos'!$B$5))*(SQRT(SUMXMY2('Tabela Entrada-saída'!$B$12:$W$12,'coordenadas dos Polos'!$BP$2:$CK$2)))^2)</f>
        <v>1.5704056834641455E-10</v>
      </c>
      <c r="E12">
        <f>EXP(((-1)/(2*'Cálculos Diversos'!$B$5))*(SQRT(SUMXMY2('Tabela Entrada-saída'!$B$12:$W$12,'coordenadas dos Polos'!$CL$2:$DG$2)))^2)</f>
        <v>3.6327166331965193E-6</v>
      </c>
      <c r="F12">
        <f>EXP(((-1)/(2*'Cálculos Diversos'!$B$5))*(SQRT(SUMXMY2('Tabela Entrada-saída'!$B$12:$W$12,'coordenadas dos Polos'!$DH$2:$EC$2)))^2)</f>
        <v>1.4799421882700942E-9</v>
      </c>
      <c r="G12">
        <f>EXP(((-1)/(2*'Cálculos Diversos'!$B$5))*(SQRT(SUMXMY2('Tabela Entrada-saída'!$B$12:$W$12,'coordenadas dos Polos'!$ED$2:$EY$2)))^2)</f>
        <v>4.8802820391337544E-6</v>
      </c>
      <c r="H12">
        <f>EXP(((-1)/(2*'Cálculos Diversos'!$B$5))*(SQRT(SUMXMY2('Tabela Entrada-saída'!$B$12:$W$12,'coordenadas dos Polos'!$EZ$2:$FU$2)))^2)</f>
        <v>3.3878694988607615E-6</v>
      </c>
      <c r="I12">
        <f>EXP(((-1)/(2*'Cálculos Diversos'!$B$5))*(SQRT(SUMXMY2('Tabela Entrada-saída'!$B$12:$W$12,'coordenadas dos Polos'!$FV$2:$GQ$2)))^2)</f>
        <v>2.6689527749468906E-7</v>
      </c>
      <c r="J12">
        <f>EXP(((-1)/(2*'Cálculos Diversos'!$B$5))*(SQRT(SUMXMY2('Tabela Entrada-saída'!$B$12:$W$12,'coordenadas dos Polos'!$GR$2:$HM$2)))^2)</f>
        <v>1.6621162632803107E-6</v>
      </c>
      <c r="K12">
        <f>EXP(((-1)/(2*'Cálculos Diversos'!$B$5))*(SQRT(SUMXMY2('Tabela Entrada-saída'!$B$12:$W$12,'coordenadas dos Polos'!$HN$2:$II$2)))^2)</f>
        <v>4.3314709316259334E-9</v>
      </c>
      <c r="L12">
        <f>EXP(((-1)/(2*'Cálculos Diversos'!$B$5))*(SQRT(SUMXMY2('Tabela Entrada-saída'!$B$12:$W$12,'coordenadas dos Polos'!$IJ$2:$JE$2)))^2)</f>
        <v>1.9322455601666152E-6</v>
      </c>
      <c r="M12">
        <f>EXP(((-1)/(2*'Cálculos Diversos'!$B$5))*(SQRT(SUMXMY2('Tabela Entrada-saída'!$B$12:$W$12,'coordenadas dos Polos'!$JF$2:$KA$2)))^2)</f>
        <v>7.2043979983055371E-8</v>
      </c>
      <c r="N12">
        <f>EXP(((-1)/(2*'Cálculos Diversos'!$B$5))*(SQRT(SUMXMY2('Tabela Entrada-saída'!$B$12:$W$12,'coordenadas dos Polos'!$KB$2:$KW$2)))^2)</f>
        <v>1.1100445860336756E-9</v>
      </c>
      <c r="O12">
        <f>EXP(((-1)/(2*'Cálculos Diversos'!$B$5))*(SQRT(SUMXMY2('Tabela Entrada-saída'!$B$12:$W$12,'coordenadas dos Polos'!$KX$2:$LS$2)))^2)</f>
        <v>3.2648284445741769E-6</v>
      </c>
      <c r="P12">
        <f>EXP(((-1)/(2*'Cálculos Diversos'!$B$5))*(SQRT(SUMXMY2('Tabela Entrada-saída'!$B$12:$W$12,'coordenadas dos Polos'!$LT$2:$MO$2)))^2)</f>
        <v>7.0452204682404965E-10</v>
      </c>
      <c r="Q12">
        <f>EXP(((-1)/(2*'Cálculos Diversos'!$B$5))*(SQRT(SUMXMY2('Tabela Entrada-saída'!$B$12:$W$12,'coordenadas dos Polos'!$MP$2:$NK$2)))^2)</f>
        <v>4.4220881814220613E-8</v>
      </c>
      <c r="R12">
        <f>EXP(((-1)/(2*'Cálculos Diversos'!$B$5))*(SQRT(SUMXMY2('Tabela Entrada-saída'!$B$12:$W$12,'coordenadas dos Polos'!$NL$2:$OG$2)))^2)</f>
        <v>1.6985271310568634E-8</v>
      </c>
      <c r="S12">
        <f>EXP(((-1)/(2*'Cálculos Diversos'!$B$5))*(SQRT(SUMXMY2('Tabela Entrada-saída'!$B$12:$W$12,'coordenadas dos Polos'!$OH$2:$PC$2)))^2)</f>
        <v>4.7699602994745966E-10</v>
      </c>
      <c r="T12">
        <f>EXP(((-1)/(2*'Cálculos Diversos'!$B$5))*(SQRT(SUMXMY2('Tabela Entrada-saída'!$B$12:$W$12,'coordenadas dos Polos'!$PD$2:$PY$2)))^2)</f>
        <v>7.9110629525050978E-8</v>
      </c>
      <c r="U12">
        <f>EXP(((-1)/(2*'Cálculos Diversos'!$B$5))*(SQRT(SUMXMY2('Tabela Entrada-saída'!$B$12:$W$12,'coordenadas dos Polos'!$PZ$2:$QU$2)))^2)</f>
        <v>8.4483535879627925E-8</v>
      </c>
      <c r="V12">
        <f>EXP(((-1)/(2*'Cálculos Diversos'!$B$5))*(SQRT(SUMXMY2('Tabela Entrada-saída'!$B$12:$W$12,'coordenadas dos Polos'!$QV$2:$RQ$2)))^2)</f>
        <v>3.604462805785465E-8</v>
      </c>
      <c r="W12">
        <f>EXP(((-1)/(2*'Cálculos Diversos'!$B$5))*(SQRT(SUMXMY2('Tabela Entrada-saída'!$B$12:$W$12,'coordenadas dos Polos'!$RR$2:$SM$2)))^2)</f>
        <v>2.0059748407933736E-9</v>
      </c>
      <c r="X12">
        <v>1</v>
      </c>
    </row>
    <row r="13" spans="1:24">
      <c r="A13">
        <v>12</v>
      </c>
      <c r="B13">
        <f>EXP(((-1)/(2*'Cálculos Diversos'!$B$5))*(SQRT(SUMXMY2('Tabela Entrada-saída'!$B$13:$W$13,'coordenadas dos Polos'!$X$2:$AS$2)))^2)</f>
        <v>0.65830972076978744</v>
      </c>
      <c r="C13">
        <f>EXP(((-1)/(2*'Cálculos Diversos'!$B$5))*(SQRT(SUMXMY2('Tabela Entrada-saída'!$B$13:$W$13,'coordenadas dos Polos'!$AT$2:$BO$2)))^2)</f>
        <v>1.1203674802778161E-9</v>
      </c>
      <c r="D13">
        <f>EXP(((-1)/(2*'Cálculos Diversos'!$B$5))*(SQRT(SUMXMY2('Tabela Entrada-saída'!$B$13:$W$13,'coordenadas dos Polos'!$BP$2:$CK$2)))^2)</f>
        <v>9.2974266207821994E-10</v>
      </c>
      <c r="E13">
        <f>EXP(((-1)/(2*'Cálculos Diversos'!$B$5))*(SQRT(SUMXMY2('Tabela Entrada-saída'!$B$13:$W$13,'coordenadas dos Polos'!$CL$2:$DG$2)))^2)</f>
        <v>4.9044446799240138E-6</v>
      </c>
      <c r="F13">
        <f>EXP(((-1)/(2*'Cálculos Diversos'!$B$5))*(SQRT(SUMXMY2('Tabela Entrada-saída'!$B$13:$W$13,'coordenadas dos Polos'!$DH$2:$EC$2)))^2)</f>
        <v>5.5179673879648833E-9</v>
      </c>
      <c r="G13">
        <f>EXP(((-1)/(2*'Cálculos Diversos'!$B$5))*(SQRT(SUMXMY2('Tabela Entrada-saída'!$B$13:$W$13,'coordenadas dos Polos'!$ED$2:$EY$2)))^2)</f>
        <v>5.1176743506673591E-6</v>
      </c>
      <c r="H13">
        <f>EXP(((-1)/(2*'Cálculos Diversos'!$B$5))*(SQRT(SUMXMY2('Tabela Entrada-saída'!$B$13:$W$13,'coordenadas dos Polos'!$EZ$2:$FU$2)))^2)</f>
        <v>5.2246017194150232E-6</v>
      </c>
      <c r="I13">
        <f>EXP(((-1)/(2*'Cálculos Diversos'!$B$5))*(SQRT(SUMXMY2('Tabela Entrada-saída'!$B$13:$W$13,'coordenadas dos Polos'!$FV$2:$GQ$2)))^2)</f>
        <v>4.924372899133084E-7</v>
      </c>
      <c r="J13">
        <f>EXP(((-1)/(2*'Cálculos Diversos'!$B$5))*(SQRT(SUMXMY2('Tabela Entrada-saída'!$B$13:$W$13,'coordenadas dos Polos'!$GR$2:$HM$2)))^2)</f>
        <v>4.8786146063310298E-6</v>
      </c>
      <c r="K13">
        <f>EXP(((-1)/(2*'Cálculos Diversos'!$B$5))*(SQRT(SUMXMY2('Tabela Entrada-saída'!$B$13:$W$13,'coordenadas dos Polos'!$HN$2:$II$2)))^2)</f>
        <v>4.3291843184317499E-9</v>
      </c>
      <c r="L13">
        <f>EXP(((-1)/(2*'Cálculos Diversos'!$B$5))*(SQRT(SUMXMY2('Tabela Entrada-saída'!$B$13:$W$13,'coordenadas dos Polos'!$IJ$2:$JE$2)))^2)</f>
        <v>7.477384439404527E-7</v>
      </c>
      <c r="M13">
        <f>EXP(((-1)/(2*'Cálculos Diversos'!$B$5))*(SQRT(SUMXMY2('Tabela Entrada-saída'!$B$13:$W$13,'coordenadas dos Polos'!$JF$2:$KA$2)))^2)</f>
        <v>2.539858487138208E-7</v>
      </c>
      <c r="N13">
        <f>EXP(((-1)/(2*'Cálculos Diversos'!$B$5))*(SQRT(SUMXMY2('Tabela Entrada-saída'!$B$13:$W$13,'coordenadas dos Polos'!$KB$2:$KW$2)))^2)</f>
        <v>6.4831648562170205E-9</v>
      </c>
      <c r="O13">
        <f>EXP(((-1)/(2*'Cálculos Diversos'!$B$5))*(SQRT(SUMXMY2('Tabela Entrada-saída'!$B$13:$W$13,'coordenadas dos Polos'!$KX$2:$LS$2)))^2)</f>
        <v>2.5689084896386729E-6</v>
      </c>
      <c r="P13">
        <f>EXP(((-1)/(2*'Cálculos Diversos'!$B$5))*(SQRT(SUMXMY2('Tabela Entrada-saída'!$B$13:$W$13,'coordenadas dos Polos'!$LT$2:$MO$2)))^2)</f>
        <v>1.1571901465958081E-9</v>
      </c>
      <c r="Q13">
        <f>EXP(((-1)/(2*'Cálculos Diversos'!$B$5))*(SQRT(SUMXMY2('Tabela Entrada-saída'!$B$13:$W$13,'coordenadas dos Polos'!$MP$2:$NK$2)))^2)</f>
        <v>4.4896713842377508E-8</v>
      </c>
      <c r="R13">
        <f>EXP(((-1)/(2*'Cálculos Diversos'!$B$5))*(SQRT(SUMXMY2('Tabela Entrada-saída'!$B$13:$W$13,'coordenadas dos Polos'!$NL$2:$OG$2)))^2)</f>
        <v>5.0196731213780587E-8</v>
      </c>
      <c r="S13">
        <f>EXP(((-1)/(2*'Cálculos Diversos'!$B$5))*(SQRT(SUMXMY2('Tabela Entrada-saída'!$B$13:$W$13,'coordenadas dos Polos'!$OH$2:$PC$2)))^2)</f>
        <v>1.4053927129510546E-9</v>
      </c>
      <c r="T13">
        <f>EXP(((-1)/(2*'Cálculos Diversos'!$B$5))*(SQRT(SUMXMY2('Tabela Entrada-saída'!$B$13:$W$13,'coordenadas dos Polos'!$PD$2:$PY$2)))^2)</f>
        <v>1.0313471622340154E-7</v>
      </c>
      <c r="U13">
        <f>EXP(((-1)/(2*'Cálculos Diversos'!$B$5))*(SQRT(SUMXMY2('Tabela Entrada-saída'!$B$13:$W$13,'coordenadas dos Polos'!$PZ$2:$QU$2)))^2)</f>
        <v>1.480168561979728E-7</v>
      </c>
      <c r="V13">
        <f>EXP(((-1)/(2*'Cálculos Diversos'!$B$5))*(SQRT(SUMXMY2('Tabela Entrada-saída'!$B$13:$W$13,'coordenadas dos Polos'!$QV$2:$RQ$2)))^2)</f>
        <v>1.3033157838928497E-7</v>
      </c>
      <c r="W13">
        <f>EXP(((-1)/(2*'Cálculos Diversos'!$B$5))*(SQRT(SUMXMY2('Tabela Entrada-saída'!$B$13:$W$13,'coordenadas dos Polos'!$RR$2:$SM$2)))^2)</f>
        <v>6.7944330874885113E-9</v>
      </c>
      <c r="X13">
        <v>1</v>
      </c>
    </row>
    <row r="14" spans="1:24">
      <c r="A14">
        <v>13</v>
      </c>
      <c r="B14">
        <f>EXP(((-1)/(2*'Cálculos Diversos'!$B$5))*(SQRT(SUMXMY2('Tabela Entrada-saída'!$B$14:$W$14,'coordenadas dos Polos'!$X$2:$AS$2)))^2)</f>
        <v>0.20876540185211526</v>
      </c>
      <c r="C14">
        <f>EXP(((-1)/(2*'Cálculos Diversos'!$B$5))*(SQRT(SUMXMY2('Tabela Entrada-saída'!$B$14:$W$14,'coordenadas dos Polos'!$AT$2:$BO$2)))^2)</f>
        <v>1.3758916957620154E-9</v>
      </c>
      <c r="D14">
        <f>EXP(((-1)/(2*'Cálculos Diversos'!$B$5))*(SQRT(SUMXMY2('Tabela Entrada-saída'!$B$14:$W$14,'coordenadas dos Polos'!$BP$2:$CK$2)))^2)</f>
        <v>3.4406428923210614E-10</v>
      </c>
      <c r="E14">
        <f>EXP(((-1)/(2*'Cálculos Diversos'!$B$5))*(SQRT(SUMXMY2('Tabela Entrada-saída'!$B$14:$W$14,'coordenadas dos Polos'!$CL$2:$DG$2)))^2)</f>
        <v>4.8963453701087955E-6</v>
      </c>
      <c r="F14">
        <f>EXP(((-1)/(2*'Cálculos Diversos'!$B$5))*(SQRT(SUMXMY2('Tabela Entrada-saída'!$B$14:$W$14,'coordenadas dos Polos'!$DH$2:$EC$2)))^2)</f>
        <v>2.9187519067820773E-9</v>
      </c>
      <c r="G14">
        <f>EXP(((-1)/(2*'Cálculos Diversos'!$B$5))*(SQRT(SUMXMY2('Tabela Entrada-saída'!$B$14:$W$14,'coordenadas dos Polos'!$ED$2:$EY$2)))^2)</f>
        <v>6.0089291735392466E-6</v>
      </c>
      <c r="H14">
        <f>EXP(((-1)/(2*'Cálculos Diversos'!$B$5))*(SQRT(SUMXMY2('Tabela Entrada-saída'!$B$14:$W$14,'coordenadas dos Polos'!$EZ$2:$FU$2)))^2)</f>
        <v>4.7763370510225541E-6</v>
      </c>
      <c r="I14">
        <f>EXP(((-1)/(2*'Cálculos Diversos'!$B$5))*(SQRT(SUMXMY2('Tabela Entrada-saída'!$B$14:$W$14,'coordenadas dos Polos'!$FV$2:$GQ$2)))^2)</f>
        <v>4.1553565787169801E-7</v>
      </c>
      <c r="J14">
        <f>EXP(((-1)/(2*'Cálculos Diversos'!$B$5))*(SQRT(SUMXMY2('Tabela Entrada-saída'!$B$14:$W$14,'coordenadas dos Polos'!$GR$2:$HM$2)))^2)</f>
        <v>2.632397215312081E-6</v>
      </c>
      <c r="K14">
        <f>EXP(((-1)/(2*'Cálculos Diversos'!$B$5))*(SQRT(SUMXMY2('Tabela Entrada-saída'!$B$14:$W$14,'coordenadas dos Polos'!$HN$2:$II$2)))^2)</f>
        <v>4.8837080756644519E-9</v>
      </c>
      <c r="L14">
        <f>EXP(((-1)/(2*'Cálculos Diversos'!$B$5))*(SQRT(SUMXMY2('Tabela Entrada-saída'!$B$14:$W$14,'coordenadas dos Polos'!$IJ$2:$JE$2)))^2)</f>
        <v>1.8312486903356416E-6</v>
      </c>
      <c r="M14">
        <f>EXP(((-1)/(2*'Cálculos Diversos'!$B$5))*(SQRT(SUMXMY2('Tabela Entrada-saída'!$B$14:$W$14,'coordenadas dos Polos'!$JF$2:$KA$2)))^2)</f>
        <v>1.4147670052375259E-7</v>
      </c>
      <c r="N14">
        <f>EXP(((-1)/(2*'Cálculos Diversos'!$B$5))*(SQRT(SUMXMY2('Tabela Entrada-saída'!$B$14:$W$14,'coordenadas dos Polos'!$KB$2:$KW$2)))^2)</f>
        <v>2.2813165961407288E-9</v>
      </c>
      <c r="O14">
        <f>EXP(((-1)/(2*'Cálculos Diversos'!$B$5))*(SQRT(SUMXMY2('Tabela Entrada-saída'!$B$14:$W$14,'coordenadas dos Polos'!$KX$2:$LS$2)))^2)</f>
        <v>3.7281721065459597E-6</v>
      </c>
      <c r="P14">
        <f>EXP(((-1)/(2*'Cálculos Diversos'!$B$5))*(SQRT(SUMXMY2('Tabela Entrada-saída'!$B$14:$W$14,'coordenadas dos Polos'!$LT$2:$MO$2)))^2)</f>
        <v>1.0605210358326352E-9</v>
      </c>
      <c r="Q14">
        <f>EXP(((-1)/(2*'Cálculos Diversos'!$B$5))*(SQRT(SUMXMY2('Tabela Entrada-saída'!$B$14:$W$14,'coordenadas dos Polos'!$MP$2:$NK$2)))^2)</f>
        <v>5.4507689744610303E-8</v>
      </c>
      <c r="R14">
        <f>EXP(((-1)/(2*'Cálculos Diversos'!$B$5))*(SQRT(SUMXMY2('Tabela Entrada-saída'!$B$14:$W$14,'coordenadas dos Polos'!$NL$2:$OG$2)))^2)</f>
        <v>2.9878487058195449E-8</v>
      </c>
      <c r="S14">
        <f>EXP(((-1)/(2*'Cálculos Diversos'!$B$5))*(SQRT(SUMXMY2('Tabela Entrada-saída'!$B$14:$W$14,'coordenadas dos Polos'!$OH$2:$PC$2)))^2)</f>
        <v>8.544124665782612E-10</v>
      </c>
      <c r="T14">
        <f>EXP(((-1)/(2*'Cálculos Diversos'!$B$5))*(SQRT(SUMXMY2('Tabela Entrada-saída'!$B$14:$W$14,'coordenadas dos Polos'!$PD$2:$PY$2)))^2)</f>
        <v>1.0989184678937747E-7</v>
      </c>
      <c r="U14">
        <f>EXP(((-1)/(2*'Cálculos Diversos'!$B$5))*(SQRT(SUMXMY2('Tabela Entrada-saída'!$B$14:$W$14,'coordenadas dos Polos'!$PZ$2:$QU$2)))^2)</f>
        <v>1.2611749953001856E-7</v>
      </c>
      <c r="V14">
        <f>EXP(((-1)/(2*'Cálculos Diversos'!$B$5))*(SQRT(SUMXMY2('Tabela Entrada-saída'!$B$14:$W$14,'coordenadas dos Polos'!$QV$2:$RQ$2)))^2)</f>
        <v>6.1768298916209026E-8</v>
      </c>
      <c r="W14">
        <f>EXP(((-1)/(2*'Cálculos Diversos'!$B$5))*(SQRT(SUMXMY2('Tabela Entrada-saída'!$B$14:$W$14,'coordenadas dos Polos'!$RR$2:$SM$2)))^2)</f>
        <v>3.6016759231389576E-9</v>
      </c>
      <c r="X14">
        <v>1</v>
      </c>
    </row>
    <row r="15" spans="1:24">
      <c r="A15">
        <v>14</v>
      </c>
      <c r="B15">
        <f>EXP(((-1)/(2*'Cálculos Diversos'!$B$5))*(SQRT(SUMXMY2('Tabela Entrada-saída'!$B$15:$W$15,'coordenadas dos Polos'!$X$2:$AS$2)))^2)</f>
        <v>0.90968256692422267</v>
      </c>
      <c r="C15">
        <f>EXP(((-1)/(2*'Cálculos Diversos'!$B$5))*(SQRT(SUMXMY2('Tabela Entrada-saída'!$B$15:$W$15,'coordenadas dos Polos'!$AT$2:$BO$2)))^2)</f>
        <v>6.6480089810918682E-10</v>
      </c>
      <c r="D15">
        <f>EXP(((-1)/(2*'Cálculos Diversos'!$B$5))*(SQRT(SUMXMY2('Tabela Entrada-saída'!$B$15:$W$15,'coordenadas dos Polos'!$BP$2:$CK$2)))^2)</f>
        <v>1.1262637532886993E-9</v>
      </c>
      <c r="E15">
        <f>EXP(((-1)/(2*'Cálculos Diversos'!$B$5))*(SQRT(SUMXMY2('Tabela Entrada-saída'!$B$15:$W$15,'coordenadas dos Polos'!$CL$2:$DG$2)))^2)</f>
        <v>3.2436261488735207E-6</v>
      </c>
      <c r="F15">
        <f>EXP(((-1)/(2*'Cálculos Diversos'!$B$5))*(SQRT(SUMXMY2('Tabela Entrada-saída'!$B$15:$W$15,'coordenadas dos Polos'!$DH$2:$EC$2)))^2)</f>
        <v>5.7397647399890953E-9</v>
      </c>
      <c r="G15">
        <f>EXP(((-1)/(2*'Cálculos Diversos'!$B$5))*(SQRT(SUMXMY2('Tabela Entrada-saída'!$B$15:$W$15,'coordenadas dos Polos'!$ED$2:$EY$2)))^2)</f>
        <v>3.186168967510698E-6</v>
      </c>
      <c r="H15">
        <f>EXP(((-1)/(2*'Cálculos Diversos'!$B$5))*(SQRT(SUMXMY2('Tabela Entrada-saída'!$B$15:$W$15,'coordenadas dos Polos'!$EZ$2:$FU$2)))^2)</f>
        <v>4.0199273205031395E-6</v>
      </c>
      <c r="I15">
        <f>EXP(((-1)/(2*'Cálculos Diversos'!$B$5))*(SQRT(SUMXMY2('Tabela Entrada-saída'!$B$15:$W$15,'coordenadas dos Polos'!$FV$2:$GQ$2)))^2)</f>
        <v>3.9515454415782797E-7</v>
      </c>
      <c r="J15">
        <f>EXP(((-1)/(2*'Cálculos Diversos'!$B$5))*(SQRT(SUMXMY2('Tabela Entrada-saída'!$B$15:$W$15,'coordenadas dos Polos'!$GR$2:$HM$2)))^2)</f>
        <v>4.8634369596532087E-6</v>
      </c>
      <c r="K15">
        <f>EXP(((-1)/(2*'Cálculos Diversos'!$B$5))*(SQRT(SUMXMY2('Tabela Entrada-saída'!$B$15:$W$15,'coordenadas dos Polos'!$HN$2:$II$2)))^2)</f>
        <v>3.0173675293825472E-9</v>
      </c>
      <c r="L15">
        <f>EXP(((-1)/(2*'Cálculos Diversos'!$B$5))*(SQRT(SUMXMY2('Tabela Entrada-saída'!$B$15:$W$15,'coordenadas dos Polos'!$IJ$2:$JE$2)))^2)</f>
        <v>3.4401371588421563E-7</v>
      </c>
      <c r="M15">
        <f>EXP(((-1)/(2*'Cálculos Diversos'!$B$5))*(SQRT(SUMXMY2('Tabela Entrada-saída'!$B$15:$W$15,'coordenadas dos Polos'!$JF$2:$KA$2)))^2)</f>
        <v>2.6854089453924008E-7</v>
      </c>
      <c r="N15">
        <f>EXP(((-1)/(2*'Cálculos Diversos'!$B$5))*(SQRT(SUMXMY2('Tabela Entrada-saída'!$B$15:$W$15,'coordenadas dos Polos'!$KB$2:$KW$2)))^2)</f>
        <v>7.5755020501396119E-9</v>
      </c>
      <c r="O15">
        <f>EXP(((-1)/(2*'Cálculos Diversos'!$B$5))*(SQRT(SUMXMY2('Tabela Entrada-saída'!$B$15:$W$15,'coordenadas dos Polos'!$KX$2:$LS$2)))^2)</f>
        <v>1.6103412810033674E-6</v>
      </c>
      <c r="P15">
        <f>EXP(((-1)/(2*'Cálculos Diversos'!$B$5))*(SQRT(SUMXMY2('Tabela Entrada-saída'!$B$15:$W$15,'coordenadas dos Polos'!$LT$2:$MO$2)))^2)</f>
        <v>8.6508704596533087E-10</v>
      </c>
      <c r="Q15">
        <f>EXP(((-1)/(2*'Cálculos Diversos'!$B$5))*(SQRT(SUMXMY2('Tabela Entrada-saída'!$B$15:$W$15,'coordenadas dos Polos'!$MP$2:$NK$2)))^2)</f>
        <v>2.9986943023282601E-8</v>
      </c>
      <c r="R15">
        <f>EXP(((-1)/(2*'Cálculos Diversos'!$B$5))*(SQRT(SUMXMY2('Tabela Entrada-saída'!$B$15:$W$15,'coordenadas dos Polos'!$NL$2:$OG$2)))^2)</f>
        <v>4.264088480517657E-8</v>
      </c>
      <c r="S15">
        <f>EXP(((-1)/(2*'Cálculos Diversos'!$B$5))*(SQRT(SUMXMY2('Tabela Entrada-saída'!$B$15:$W$15,'coordenadas dos Polos'!$OH$2:$PC$2)))^2)</f>
        <v>1.3632587615563459E-9</v>
      </c>
      <c r="T15">
        <f>EXP(((-1)/(2*'Cálculos Diversos'!$B$5))*(SQRT(SUMXMY2('Tabela Entrada-saída'!$B$15:$W$15,'coordenadas dos Polos'!$PD$2:$PY$2)))^2)</f>
        <v>7.6302111226000602E-8</v>
      </c>
      <c r="U15">
        <f>EXP(((-1)/(2*'Cálculos Diversos'!$B$5))*(SQRT(SUMXMY2('Tabela Entrada-saída'!$B$15:$W$15,'coordenadas dos Polos'!$PZ$2:$QU$2)))^2)</f>
        <v>1.1649939885201603E-7</v>
      </c>
      <c r="V15">
        <f>EXP(((-1)/(2*'Cálculos Diversos'!$B$5))*(SQRT(SUMXMY2('Tabela Entrada-saída'!$B$15:$W$15,'coordenadas dos Polos'!$QV$2:$RQ$2)))^2)</f>
        <v>1.4276814424518527E-7</v>
      </c>
      <c r="W15">
        <f>EXP(((-1)/(2*'Cálculos Diversos'!$B$5))*(SQRT(SUMXMY2('Tabela Entrada-saída'!$B$15:$W$15,'coordenadas dos Polos'!$RR$2:$SM$2)))^2)</f>
        <v>6.9160110369015246E-9</v>
      </c>
      <c r="X15">
        <v>1</v>
      </c>
    </row>
    <row r="16" spans="1:24">
      <c r="A16">
        <v>15</v>
      </c>
      <c r="B16">
        <f>EXP(((-1)/(2*'Cálculos Diversos'!$B$5))*(SQRT(SUMXMY2('Tabela Entrada-saída'!$B$16:$W$16,'coordenadas dos Polos'!$X$2:$AS$2)))^2)</f>
        <v>0.46575796720279267</v>
      </c>
      <c r="C16">
        <f>EXP(((-1)/(2*'Cálculos Diversos'!$B$5))*(SQRT(SUMXMY2('Tabela Entrada-saída'!$B$16:$W$16,'coordenadas dos Polos'!$AT$2:$BO$2)))^2)</f>
        <v>1.3958426475912892E-9</v>
      </c>
      <c r="D16">
        <f>EXP(((-1)/(2*'Cálculos Diversos'!$B$5))*(SQRT(SUMXMY2('Tabela Entrada-saída'!$B$16:$W$16,'coordenadas dos Polos'!$BP$2:$CK$2)))^2)</f>
        <v>7.5332774073887338E-10</v>
      </c>
      <c r="E16">
        <f>EXP(((-1)/(2*'Cálculos Diversos'!$B$5))*(SQRT(SUMXMY2('Tabela Entrada-saída'!$B$16:$W$16,'coordenadas dos Polos'!$CL$2:$DG$2)))^2)</f>
        <v>5.8994032190226536E-6</v>
      </c>
      <c r="F16">
        <f>EXP(((-1)/(2*'Cálculos Diversos'!$B$5))*(SQRT(SUMXMY2('Tabela Entrada-saída'!$B$16:$W$16,'coordenadas dos Polos'!$DH$2:$EC$2)))^2)</f>
        <v>5.4728341773177759E-9</v>
      </c>
      <c r="G16">
        <f>EXP(((-1)/(2*'Cálculos Diversos'!$B$5))*(SQRT(SUMXMY2('Tabela Entrada-saída'!$B$16:$W$16,'coordenadas dos Polos'!$ED$2:$EY$2)))^2)</f>
        <v>6.4403724206798842E-6</v>
      </c>
      <c r="H16">
        <f>EXP(((-1)/(2*'Cálculos Diversos'!$B$5))*(SQRT(SUMXMY2('Tabela Entrada-saída'!$B$16:$W$16,'coordenadas dos Polos'!$EZ$2:$FU$2)))^2)</f>
        <v>6.1217736335175024E-6</v>
      </c>
      <c r="I16">
        <f>EXP(((-1)/(2*'Cálculos Diversos'!$B$5))*(SQRT(SUMXMY2('Tabela Entrada-saída'!$B$16:$W$16,'coordenadas dos Polos'!$FV$2:$GQ$2)))^2)</f>
        <v>5.7157967331576935E-7</v>
      </c>
      <c r="J16">
        <f>EXP(((-1)/(2*'Cálculos Diversos'!$B$5))*(SQRT(SUMXMY2('Tabela Entrada-saída'!$B$16:$W$16,'coordenadas dos Polos'!$GR$2:$HM$2)))^2)</f>
        <v>4.7217854775341661E-6</v>
      </c>
      <c r="K16">
        <f>EXP(((-1)/(2*'Cálculos Diversos'!$B$5))*(SQRT(SUMXMY2('Tabela Entrada-saída'!$B$16:$W$16,'coordenadas dos Polos'!$HN$2:$II$2)))^2)</f>
        <v>6.148653813010009E-9</v>
      </c>
      <c r="L16">
        <f>EXP(((-1)/(2*'Cálculos Diversos'!$B$5))*(SQRT(SUMXMY2('Tabela Entrada-saída'!$B$16:$W$16,'coordenadas dos Polos'!$IJ$2:$JE$2)))^2)</f>
        <v>1.2881042193828218E-6</v>
      </c>
      <c r="M16">
        <f>EXP(((-1)/(2*'Cálculos Diversos'!$B$5))*(SQRT(SUMXMY2('Tabela Entrada-saída'!$B$16:$W$16,'coordenadas dos Polos'!$JF$2:$KA$2)))^2)</f>
        <v>2.3974674800698783E-7</v>
      </c>
      <c r="N16">
        <f>EXP(((-1)/(2*'Cálculos Diversos'!$B$5))*(SQRT(SUMXMY2('Tabela Entrada-saída'!$B$16:$W$16,'coordenadas dos Polos'!$KB$2:$KW$2)))^2)</f>
        <v>5.3840352105669743E-9</v>
      </c>
      <c r="O16">
        <f>EXP(((-1)/(2*'Cálculos Diversos'!$B$5))*(SQRT(SUMXMY2('Tabela Entrada-saída'!$B$16:$W$16,'coordenadas dos Polos'!$KX$2:$LS$2)))^2)</f>
        <v>3.4769201758407566E-6</v>
      </c>
      <c r="P16">
        <f>EXP(((-1)/(2*'Cálculos Diversos'!$B$5))*(SQRT(SUMXMY2('Tabela Entrada-saída'!$B$16:$W$16,'coordenadas dos Polos'!$LT$2:$MO$2)))^2)</f>
        <v>1.4903577137964678E-9</v>
      </c>
      <c r="Q16">
        <f>EXP(((-1)/(2*'Cálculos Diversos'!$B$5))*(SQRT(SUMXMY2('Tabela Entrada-saída'!$B$16:$W$16,'coordenadas dos Polos'!$MP$2:$NK$2)))^2)</f>
        <v>5.9404893606805904E-8</v>
      </c>
      <c r="R16">
        <f>EXP(((-1)/(2*'Cálculos Diversos'!$B$5))*(SQRT(SUMXMY2('Tabela Entrada-saída'!$B$16:$W$16,'coordenadas dos Polos'!$NL$2:$OG$2)))^2)</f>
        <v>4.6377533239172491E-8</v>
      </c>
      <c r="S16">
        <f>EXP(((-1)/(2*'Cálculos Diversos'!$B$5))*(SQRT(SUMXMY2('Tabela Entrada-saída'!$B$16:$W$16,'coordenadas dos Polos'!$OH$2:$PC$2)))^2)</f>
        <v>1.4526832510101587E-9</v>
      </c>
      <c r="T16">
        <f>EXP(((-1)/(2*'Cálculos Diversos'!$B$5))*(SQRT(SUMXMY2('Tabela Entrada-saída'!$B$16:$W$16,'coordenadas dos Polos'!$PD$2:$PY$2)))^2)</f>
        <v>1.3943707703522963E-7</v>
      </c>
      <c r="U16">
        <f>EXP(((-1)/(2*'Cálculos Diversos'!$B$5))*(SQRT(SUMXMY2('Tabela Entrada-saída'!$B$16:$W$16,'coordenadas dos Polos'!$PZ$2:$QU$2)))^2)</f>
        <v>1.6796759917263552E-7</v>
      </c>
      <c r="V16">
        <f>EXP(((-1)/(2*'Cálculos Diversos'!$B$5))*(SQRT(SUMXMY2('Tabela Entrada-saída'!$B$16:$W$16,'coordenadas dos Polos'!$QV$2:$RQ$2)))^2)</f>
        <v>1.2881837228100221E-7</v>
      </c>
      <c r="W16">
        <f>EXP(((-1)/(2*'Cálculos Diversos'!$B$5))*(SQRT(SUMXMY2('Tabela Entrada-saída'!$B$16:$W$16,'coordenadas dos Polos'!$RR$2:$SM$2)))^2)</f>
        <v>6.3103855955444665E-9</v>
      </c>
      <c r="X16">
        <v>1</v>
      </c>
    </row>
    <row r="17" spans="1:24">
      <c r="A17">
        <v>16</v>
      </c>
      <c r="B17">
        <f>EXP(((-1)/(2*'Cálculos Diversos'!$B$5))*(SQRT(SUMXMY2('Tabela Entrada-saída'!$B$17:$W$17,'coordenadas dos Polos'!$X$2:$AS$2)))^2)</f>
        <v>0.88713448023043284</v>
      </c>
      <c r="C17">
        <f>EXP(((-1)/(2*'Cálculos Diversos'!$B$5))*(SQRT(SUMXMY2('Tabela Entrada-saída'!$B$17:$W$17,'coordenadas dos Polos'!$AT$2:$BO$2)))^2)</f>
        <v>7.3413455685154211E-10</v>
      </c>
      <c r="D17">
        <f>EXP(((-1)/(2*'Cálculos Diversos'!$B$5))*(SQRT(SUMXMY2('Tabela Entrada-saída'!$B$17:$W$17,'coordenadas dos Polos'!$BP$2:$CK$2)))^2)</f>
        <v>1.1270071254073465E-9</v>
      </c>
      <c r="E17">
        <f>EXP(((-1)/(2*'Cálculos Diversos'!$B$5))*(SQRT(SUMXMY2('Tabela Entrada-saída'!$B$17:$W$17,'coordenadas dos Polos'!$CL$2:$DG$2)))^2)</f>
        <v>3.5315255415697709E-6</v>
      </c>
      <c r="F17">
        <f>EXP(((-1)/(2*'Cálculos Diversos'!$B$5))*(SQRT(SUMXMY2('Tabela Entrada-saída'!$B$17:$W$17,'coordenadas dos Polos'!$DH$2:$EC$2)))^2)</f>
        <v>6.1223839994489167E-9</v>
      </c>
      <c r="G17">
        <f>EXP(((-1)/(2*'Cálculos Diversos'!$B$5))*(SQRT(SUMXMY2('Tabela Entrada-saída'!$B$17:$W$17,'coordenadas dos Polos'!$ED$2:$EY$2)))^2)</f>
        <v>3.5555492529276231E-6</v>
      </c>
      <c r="H17">
        <f>EXP(((-1)/(2*'Cálculos Diversos'!$B$5))*(SQRT(SUMXMY2('Tabela Entrada-saída'!$B$17:$W$17,'coordenadas dos Polos'!$EZ$2:$FU$2)))^2)</f>
        <v>4.2886426794676861E-6</v>
      </c>
      <c r="I17">
        <f>EXP(((-1)/(2*'Cálculos Diversos'!$B$5))*(SQRT(SUMXMY2('Tabela Entrada-saída'!$B$17:$W$17,'coordenadas dos Polos'!$FV$2:$GQ$2)))^2)</f>
        <v>4.2255931953375528E-7</v>
      </c>
      <c r="J17">
        <f>EXP(((-1)/(2*'Cálculos Diversos'!$B$5))*(SQRT(SUMXMY2('Tabela Entrada-saída'!$B$17:$W$17,'coordenadas dos Polos'!$GR$2:$HM$2)))^2)</f>
        <v>4.996038189823286E-6</v>
      </c>
      <c r="K17">
        <f>EXP(((-1)/(2*'Cálculos Diversos'!$B$5))*(SQRT(SUMXMY2('Tabela Entrada-saída'!$B$17:$W$17,'coordenadas dos Polos'!$HN$2:$II$2)))^2)</f>
        <v>3.4156254494908454E-9</v>
      </c>
      <c r="L17">
        <f>EXP(((-1)/(2*'Cálculos Diversos'!$B$5))*(SQRT(SUMXMY2('Tabela Entrada-saída'!$B$17:$W$17,'coordenadas dos Polos'!$IJ$2:$JE$2)))^2)</f>
        <v>3.9352821629936589E-7</v>
      </c>
      <c r="M17">
        <f>EXP(((-1)/(2*'Cálculos Diversos'!$B$5))*(SQRT(SUMXMY2('Tabela Entrada-saída'!$B$17:$W$17,'coordenadas dos Polos'!$JF$2:$KA$2)))^2)</f>
        <v>2.6419864310108809E-7</v>
      </c>
      <c r="N17">
        <f>EXP(((-1)/(2*'Cálculos Diversos'!$B$5))*(SQRT(SUMXMY2('Tabela Entrada-saída'!$B$17:$W$17,'coordenadas dos Polos'!$KB$2:$KW$2)))^2)</f>
        <v>7.9747963856478389E-9</v>
      </c>
      <c r="O17">
        <f>EXP(((-1)/(2*'Cálculos Diversos'!$B$5))*(SQRT(SUMXMY2('Tabela Entrada-saída'!$B$17:$W$17,'coordenadas dos Polos'!$KX$2:$LS$2)))^2)</f>
        <v>1.9144500658157923E-6</v>
      </c>
      <c r="P17">
        <f>EXP(((-1)/(2*'Cálculos Diversos'!$B$5))*(SQRT(SUMXMY2('Tabela Entrada-saída'!$B$17:$W$17,'coordenadas dos Polos'!$LT$2:$MO$2)))^2)</f>
        <v>9.4675958076000418E-10</v>
      </c>
      <c r="Q17">
        <f>EXP(((-1)/(2*'Cálculos Diversos'!$B$5))*(SQRT(SUMXMY2('Tabela Entrada-saída'!$B$17:$W$17,'coordenadas dos Polos'!$MP$2:$NK$2)))^2)</f>
        <v>3.1702038295690706E-8</v>
      </c>
      <c r="R17">
        <f>EXP(((-1)/(2*'Cálculos Diversos'!$B$5))*(SQRT(SUMXMY2('Tabela Entrada-saída'!$B$17:$W$17,'coordenadas dos Polos'!$NL$2:$OG$2)))^2)</f>
        <v>4.2623572370251516E-8</v>
      </c>
      <c r="S17">
        <f>EXP(((-1)/(2*'Cálculos Diversos'!$B$5))*(SQRT(SUMXMY2('Tabela Entrada-saída'!$B$17:$W$17,'coordenadas dos Polos'!$OH$2:$PC$2)))^2)</f>
        <v>1.4648511256612417E-9</v>
      </c>
      <c r="T17">
        <f>EXP(((-1)/(2*'Cálculos Diversos'!$B$5))*(SQRT(SUMXMY2('Tabela Entrada-saída'!$B$17:$W$17,'coordenadas dos Polos'!$PD$2:$PY$2)))^2)</f>
        <v>8.7079688622164284E-8</v>
      </c>
      <c r="U17">
        <f>EXP(((-1)/(2*'Cálculos Diversos'!$B$5))*(SQRT(SUMXMY2('Tabela Entrada-saída'!$B$17:$W$17,'coordenadas dos Polos'!$PZ$2:$QU$2)))^2)</f>
        <v>1.2993337803413434E-7</v>
      </c>
      <c r="V17">
        <f>EXP(((-1)/(2*'Cálculos Diversos'!$B$5))*(SQRT(SUMXMY2('Tabela Entrada-saída'!$B$17:$W$17,'coordenadas dos Polos'!$QV$2:$RQ$2)))^2)</f>
        <v>1.5979787913989342E-7</v>
      </c>
      <c r="W17">
        <f>EXP(((-1)/(2*'Cálculos Diversos'!$B$5))*(SQRT(SUMXMY2('Tabela Entrada-saída'!$B$17:$W$17,'coordenadas dos Polos'!$RR$2:$SM$2)))^2)</f>
        <v>7.4529874839576095E-9</v>
      </c>
      <c r="X17">
        <v>1</v>
      </c>
    </row>
    <row r="18" spans="1:24">
      <c r="A18">
        <v>17</v>
      </c>
      <c r="B18">
        <f>EXP(((-1)/(2*'Cálculos Diversos'!$B$5))*(SQRT(SUMXMY2('Tabela Entrada-saída'!$B$18:$W$18,'coordenadas dos Polos'!$X$2:$AS$2)))^2)</f>
        <v>0.10017136539580032</v>
      </c>
      <c r="C18">
        <f>EXP(((-1)/(2*'Cálculos Diversos'!$B$5))*(SQRT(SUMXMY2('Tabela Entrada-saída'!$B$18:$W$18,'coordenadas dos Polos'!$AT$2:$BO$2)))^2)</f>
        <v>1.488287821894102E-9</v>
      </c>
      <c r="D18">
        <f>EXP(((-1)/(2*'Cálculos Diversos'!$B$5))*(SQRT(SUMXMY2('Tabela Entrada-saída'!$B$18:$W$18,'coordenadas dos Polos'!$BP$2:$CK$2)))^2)</f>
        <v>2.0033107599536884E-10</v>
      </c>
      <c r="E18">
        <f>EXP(((-1)/(2*'Cálculos Diversos'!$B$5))*(SQRT(SUMXMY2('Tabela Entrada-saída'!$B$18:$W$18,'coordenadas dos Polos'!$CL$2:$DG$2)))^2)</f>
        <v>3.9532001150217546E-6</v>
      </c>
      <c r="F18">
        <f>EXP(((-1)/(2*'Cálculos Diversos'!$B$5))*(SQRT(SUMXMY2('Tabela Entrada-saída'!$B$18:$W$18,'coordenadas dos Polos'!$DH$2:$EC$2)))^2)</f>
        <v>1.7963789193198994E-9</v>
      </c>
      <c r="G18">
        <f>EXP(((-1)/(2*'Cálculos Diversos'!$B$5))*(SQRT(SUMXMY2('Tabela Entrada-saída'!$B$18:$W$18,'coordenadas dos Polos'!$ED$2:$EY$2)))^2)</f>
        <v>5.7587621209656426E-6</v>
      </c>
      <c r="H18">
        <f>EXP(((-1)/(2*'Cálculos Diversos'!$B$5))*(SQRT(SUMXMY2('Tabela Entrada-saída'!$B$18:$W$18,'coordenadas dos Polos'!$EZ$2:$FU$2)))^2)</f>
        <v>3.8448911778266041E-6</v>
      </c>
      <c r="I18">
        <f>EXP(((-1)/(2*'Cálculos Diversos'!$B$5))*(SQRT(SUMXMY2('Tabela Entrada-saída'!$B$18:$W$18,'coordenadas dos Polos'!$FV$2:$GQ$2)))^2)</f>
        <v>3.1962290545768653E-7</v>
      </c>
      <c r="J18">
        <f>EXP(((-1)/(2*'Cálculos Diversos'!$B$5))*(SQRT(SUMXMY2('Tabela Entrada-saída'!$B$18:$W$18,'coordenadas dos Polos'!$GR$2:$HM$2)))^2)</f>
        <v>1.8105849754364633E-6</v>
      </c>
      <c r="K18">
        <f>EXP(((-1)/(2*'Cálculos Diversos'!$B$5))*(SQRT(SUMXMY2('Tabela Entrada-saída'!$B$18:$W$18,'coordenadas dos Polos'!$HN$2:$II$2)))^2)</f>
        <v>4.4752027739647827E-9</v>
      </c>
      <c r="L18">
        <f>EXP(((-1)/(2*'Cálculos Diversos'!$B$5))*(SQRT(SUMXMY2('Tabela Entrada-saída'!$B$18:$W$18,'coordenadas dos Polos'!$IJ$2:$JE$2)))^2)</f>
        <v>2.2805462419662968E-6</v>
      </c>
      <c r="M18">
        <f>EXP(((-1)/(2*'Cálculos Diversos'!$B$5))*(SQRT(SUMXMY2('Tabela Entrada-saída'!$B$18:$W$18,'coordenadas dos Polos'!$JF$2:$KA$2)))^2)</f>
        <v>9.2546690286278503E-8</v>
      </c>
      <c r="N18">
        <f>EXP(((-1)/(2*'Cálculos Diversos'!$B$5))*(SQRT(SUMXMY2('Tabela Entrada-saída'!$B$18:$W$18,'coordenadas dos Polos'!$KB$2:$KW$2)))^2)</f>
        <v>1.3169141519983989E-9</v>
      </c>
      <c r="O18">
        <f>EXP(((-1)/(2*'Cálculos Diversos'!$B$5))*(SQRT(SUMXMY2('Tabela Entrada-saída'!$B$18:$W$18,'coordenadas dos Polos'!$KX$2:$LS$2)))^2)</f>
        <v>3.813254361649249E-6</v>
      </c>
      <c r="P18">
        <f>EXP(((-1)/(2*'Cálculos Diversos'!$B$5))*(SQRT(SUMXMY2('Tabela Entrada-saída'!$B$18:$W$18,'coordenadas dos Polos'!$LT$2:$MO$2)))^2)</f>
        <v>8.8127910595860888E-10</v>
      </c>
      <c r="Q18">
        <f>EXP(((-1)/(2*'Cálculos Diversos'!$B$5))*(SQRT(SUMXMY2('Tabela Entrada-saída'!$B$18:$W$18,'coordenadas dos Polos'!$MP$2:$NK$2)))^2)</f>
        <v>5.394356865289169E-8</v>
      </c>
      <c r="R18">
        <f>EXP(((-1)/(2*'Cálculos Diversos'!$B$5))*(SQRT(SUMXMY2('Tabela Entrada-saída'!$B$18:$W$18,'coordenadas dos Polos'!$NL$2:$OG$2)))^2)</f>
        <v>2.1714428019545063E-8</v>
      </c>
      <c r="S18">
        <f>EXP(((-1)/(2*'Cálculos Diversos'!$B$5))*(SQRT(SUMXMY2('Tabela Entrada-saída'!$B$18:$W$18,'coordenadas dos Polos'!$OH$2:$PC$2)))^2)</f>
        <v>5.7775046934852715E-10</v>
      </c>
      <c r="T18">
        <f>EXP(((-1)/(2*'Cálculos Diversos'!$B$5))*(SQRT(SUMXMY2('Tabela Entrada-saída'!$B$18:$W$18,'coordenadas dos Polos'!$PD$2:$PY$2)))^2)</f>
        <v>9.1808239551259118E-8</v>
      </c>
      <c r="U18">
        <f>EXP(((-1)/(2*'Cálculos Diversos'!$B$5))*(SQRT(SUMXMY2('Tabela Entrada-saída'!$B$18:$W$18,'coordenadas dos Polos'!$PZ$2:$QU$2)))^2)</f>
        <v>1.0439942883064322E-7</v>
      </c>
      <c r="V18">
        <f>EXP(((-1)/(2*'Cálculos Diversos'!$B$5))*(SQRT(SUMXMY2('Tabela Entrada-saída'!$B$18:$W$18,'coordenadas dos Polos'!$QV$2:$RQ$2)))^2)</f>
        <v>4.1889573348810046E-8</v>
      </c>
      <c r="W18">
        <f>EXP(((-1)/(2*'Cálculos Diversos'!$B$5))*(SQRT(SUMXMY2('Tabela Entrada-saída'!$B$18:$W$18,'coordenadas dos Polos'!$RR$2:$SM$2)))^2)</f>
        <v>2.3124648633307154E-9</v>
      </c>
      <c r="X18">
        <v>1</v>
      </c>
    </row>
    <row r="19" spans="1:24">
      <c r="A19">
        <v>18</v>
      </c>
      <c r="B19">
        <f>EXP(((-1)/(2*'Cálculos Diversos'!$B$5))*(SQRT(SUMXMY2('Tabela Entrada-saída'!$B$19:$W$19,'coordenadas dos Polos'!$X$2:$AS$2)))^2)</f>
        <v>0.21911935978278904</v>
      </c>
      <c r="C19">
        <f>EXP(((-1)/(2*'Cálculos Diversos'!$B$5))*(SQRT(SUMXMY2('Tabela Entrada-saída'!$B$19:$W$19,'coordenadas dos Polos'!$AT$2:$BO$2)))^2)</f>
        <v>1.3032439897222567E-9</v>
      </c>
      <c r="D19">
        <f>EXP(((-1)/(2*'Cálculos Diversos'!$B$5))*(SQRT(SUMXMY2('Tabela Entrada-saída'!$B$19:$W$19,'coordenadas dos Polos'!$BP$2:$CK$2)))^2)</f>
        <v>3.4845781091604247E-10</v>
      </c>
      <c r="E19">
        <f>EXP(((-1)/(2*'Cálculos Diversos'!$B$5))*(SQRT(SUMXMY2('Tabela Entrada-saída'!$B$19:$W$19,'coordenadas dos Polos'!$CL$2:$DG$2)))^2)</f>
        <v>4.4419214242982145E-6</v>
      </c>
      <c r="F19">
        <f>EXP(((-1)/(2*'Cálculos Diversos'!$B$5))*(SQRT(SUMXMY2('Tabela Entrada-saída'!$B$19:$W$19,'coordenadas dos Polos'!$DH$2:$EC$2)))^2)</f>
        <v>2.5971516993195104E-9</v>
      </c>
      <c r="G19">
        <f>EXP(((-1)/(2*'Cálculos Diversos'!$B$5))*(SQRT(SUMXMY2('Tabela Entrada-saída'!$B$19:$W$19,'coordenadas dos Polos'!$ED$2:$EY$2)))^2)</f>
        <v>5.5960999564893749E-6</v>
      </c>
      <c r="H19">
        <f>EXP(((-1)/(2*'Cálculos Diversos'!$B$5))*(SQRT(SUMXMY2('Tabela Entrada-saída'!$B$19:$W$19,'coordenadas dos Polos'!$EZ$2:$FU$2)))^2)</f>
        <v>4.2774698087472142E-6</v>
      </c>
      <c r="I19">
        <f>EXP(((-1)/(2*'Cálculos Diversos'!$B$5))*(SQRT(SUMXMY2('Tabela Entrada-saída'!$B$19:$W$19,'coordenadas dos Polos'!$FV$2:$GQ$2)))^2)</f>
        <v>3.4395362541039506E-7</v>
      </c>
      <c r="J19">
        <f>EXP(((-1)/(2*'Cálculos Diversos'!$B$5))*(SQRT(SUMXMY2('Tabela Entrada-saída'!$B$19:$W$19,'coordenadas dos Polos'!$GR$2:$HM$2)))^2)</f>
        <v>2.7306829360432223E-6</v>
      </c>
      <c r="K19">
        <f>EXP(((-1)/(2*'Cálculos Diversos'!$B$5))*(SQRT(SUMXMY2('Tabela Entrada-saída'!$B$19:$W$19,'coordenadas dos Polos'!$HN$2:$II$2)))^2)</f>
        <v>4.6396575604400332E-9</v>
      </c>
      <c r="L19">
        <f>EXP(((-1)/(2*'Cálculos Diversos'!$B$5))*(SQRT(SUMXMY2('Tabela Entrada-saída'!$B$19:$W$19,'coordenadas dos Polos'!$IJ$2:$JE$2)))^2)</f>
        <v>1.6371606004061021E-6</v>
      </c>
      <c r="M19">
        <f>EXP(((-1)/(2*'Cálculos Diversos'!$B$5))*(SQRT(SUMXMY2('Tabela Entrada-saída'!$B$19:$W$19,'coordenadas dos Polos'!$JF$2:$KA$2)))^2)</f>
        <v>1.2775302193382883E-7</v>
      </c>
      <c r="N19">
        <f>EXP(((-1)/(2*'Cálculos Diversos'!$B$5))*(SQRT(SUMXMY2('Tabela Entrada-saída'!$B$19:$W$19,'coordenadas dos Polos'!$KB$2:$KW$2)))^2)</f>
        <v>2.1249512128034123E-9</v>
      </c>
      <c r="O19">
        <f>EXP(((-1)/(2*'Cálculos Diversos'!$B$5))*(SQRT(SUMXMY2('Tabela Entrada-saída'!$B$19:$W$19,'coordenadas dos Polos'!$KX$2:$LS$2)))^2)</f>
        <v>3.2873265830338405E-6</v>
      </c>
      <c r="P19">
        <f>EXP(((-1)/(2*'Cálculos Diversos'!$B$5))*(SQRT(SUMXMY2('Tabela Entrada-saída'!$B$19:$W$19,'coordenadas dos Polos'!$LT$2:$MO$2)))^2)</f>
        <v>8.8513361226119558E-10</v>
      </c>
      <c r="Q19">
        <f>EXP(((-1)/(2*'Cálculos Diversos'!$B$5))*(SQRT(SUMXMY2('Tabela Entrada-saída'!$B$19:$W$19,'coordenadas dos Polos'!$MP$2:$NK$2)))^2)</f>
        <v>5.0330656940684899E-8</v>
      </c>
      <c r="R19">
        <f>EXP(((-1)/(2*'Cálculos Diversos'!$B$5))*(SQRT(SUMXMY2('Tabela Entrada-saída'!$B$19:$W$19,'coordenadas dos Polos'!$NL$2:$OG$2)))^2)</f>
        <v>2.5561790564579845E-8</v>
      </c>
      <c r="S19">
        <f>EXP(((-1)/(2*'Cálculos Diversos'!$B$5))*(SQRT(SUMXMY2('Tabela Entrada-saída'!$B$19:$W$19,'coordenadas dos Polos'!$OH$2:$PC$2)))^2)</f>
        <v>7.2316549423729779E-10</v>
      </c>
      <c r="T19">
        <f>EXP(((-1)/(2*'Cálculos Diversos'!$B$5))*(SQRT(SUMXMY2('Tabela Entrada-saída'!$B$19:$W$19,'coordenadas dos Polos'!$PD$2:$PY$2)))^2)</f>
        <v>1.0668657074018404E-7</v>
      </c>
      <c r="U19">
        <f>EXP(((-1)/(2*'Cálculos Diversos'!$B$5))*(SQRT(SUMXMY2('Tabela Entrada-saída'!$B$19:$W$19,'coordenadas dos Polos'!$PZ$2:$QU$2)))^2)</f>
        <v>1.1512639631163352E-7</v>
      </c>
      <c r="V19">
        <f>EXP(((-1)/(2*'Cálculos Diversos'!$B$5))*(SQRT(SUMXMY2('Tabela Entrada-saída'!$B$19:$W$19,'coordenadas dos Polos'!$QV$2:$RQ$2)))^2)</f>
        <v>6.2994715052176675E-8</v>
      </c>
      <c r="W19">
        <f>EXP(((-1)/(2*'Cálculos Diversos'!$B$5))*(SQRT(SUMXMY2('Tabela Entrada-saída'!$B$19:$W$19,'coordenadas dos Polos'!$RR$2:$SM$2)))^2)</f>
        <v>3.4113412989167631E-9</v>
      </c>
      <c r="X19">
        <v>1</v>
      </c>
    </row>
    <row r="20" spans="1:24">
      <c r="A20">
        <v>19</v>
      </c>
      <c r="B20">
        <f>EXP(((-1)/(2*'Cálculos Diversos'!$B$5))*(SQRT(SUMXMY2('Tabela Entrada-saída'!$B$20:$W$20,'coordenadas dos Polos'!$X$2:$AS$2)))^2)</f>
        <v>0.10620035858448697</v>
      </c>
      <c r="C20">
        <f>EXP(((-1)/(2*'Cálculos Diversos'!$B$5))*(SQRT(SUMXMY2('Tabela Entrada-saída'!$B$20:$W$20,'coordenadas dos Polos'!$AT$2:$BO$2)))^2)</f>
        <v>1.2862103775477007E-9</v>
      </c>
      <c r="D20">
        <f>EXP(((-1)/(2*'Cálculos Diversos'!$B$5))*(SQRT(SUMXMY2('Tabela Entrada-saída'!$B$20:$W$20,'coordenadas dos Polos'!$BP$2:$CK$2)))^2)</f>
        <v>1.8660804473581027E-10</v>
      </c>
      <c r="E20">
        <f>EXP(((-1)/(2*'Cálculos Diversos'!$B$5))*(SQRT(SUMXMY2('Tabela Entrada-saída'!$B$20:$W$20,'coordenadas dos Polos'!$CL$2:$DG$2)))^2)</f>
        <v>3.7129520592603958E-6</v>
      </c>
      <c r="F20">
        <f>EXP(((-1)/(2*'Cálculos Diversos'!$B$5))*(SQRT(SUMXMY2('Tabela Entrada-saída'!$B$20:$W$20,'coordenadas dos Polos'!$DH$2:$EC$2)))^2)</f>
        <v>1.5678149351236297E-9</v>
      </c>
      <c r="G20">
        <f>EXP(((-1)/(2*'Cálculos Diversos'!$B$5))*(SQRT(SUMXMY2('Tabela Entrada-saída'!$B$20:$W$20,'coordenadas dos Polos'!$ED$2:$EY$2)))^2)</f>
        <v>5.2036658055340807E-6</v>
      </c>
      <c r="H20">
        <f>EXP(((-1)/(2*'Cálculos Diversos'!$B$5))*(SQRT(SUMXMY2('Tabela Entrada-saída'!$B$20:$W$20,'coordenadas dos Polos'!$EZ$2:$FU$2)))^2)</f>
        <v>3.8739430815563882E-6</v>
      </c>
      <c r="I20">
        <f>EXP(((-1)/(2*'Cálculos Diversos'!$B$5))*(SQRT(SUMXMY2('Tabela Entrada-saída'!$B$20:$W$20,'coordenadas dos Polos'!$FV$2:$GQ$2)))^2)</f>
        <v>2.821304115655161E-7</v>
      </c>
      <c r="J20">
        <f>EXP(((-1)/(2*'Cálculos Diversos'!$B$5))*(SQRT(SUMXMY2('Tabela Entrada-saída'!$B$20:$W$20,'coordenadas dos Polos'!$GR$2:$HM$2)))^2)</f>
        <v>1.7467424005461442E-6</v>
      </c>
      <c r="K20">
        <f>EXP(((-1)/(2*'Cálculos Diversos'!$B$5))*(SQRT(SUMXMY2('Tabela Entrada-saída'!$B$20:$W$20,'coordenadas dos Polos'!$HN$2:$II$2)))^2)</f>
        <v>4.286601981107631E-9</v>
      </c>
      <c r="L20">
        <f>EXP(((-1)/(2*'Cálculos Diversos'!$B$5))*(SQRT(SUMXMY2('Tabela Entrada-saída'!$B$20:$W$20,'coordenadas dos Polos'!$IJ$2:$JE$2)))^2)</f>
        <v>1.9106366809536838E-6</v>
      </c>
      <c r="M20">
        <f>EXP(((-1)/(2*'Cálculos Diversos'!$B$5))*(SQRT(SUMXMY2('Tabela Entrada-saída'!$B$20:$W$20,'coordenadas dos Polos'!$JF$2:$KA$2)))^2)</f>
        <v>8.0754167768169713E-8</v>
      </c>
      <c r="N20">
        <f>EXP(((-1)/(2*'Cálculos Diversos'!$B$5))*(SQRT(SUMXMY2('Tabela Entrada-saída'!$B$20:$W$20,'coordenadas dos Polos'!$KB$2:$KW$2)))^2)</f>
        <v>1.2498520696898866E-9</v>
      </c>
      <c r="O20">
        <f>EXP(((-1)/(2*'Cálculos Diversos'!$B$5))*(SQRT(SUMXMY2('Tabela Entrada-saída'!$B$20:$W$20,'coordenadas dos Polos'!$KX$2:$LS$2)))^2)</f>
        <v>3.5105538376984456E-6</v>
      </c>
      <c r="P20">
        <f>EXP(((-1)/(2*'Cálculos Diversos'!$B$5))*(SQRT(SUMXMY2('Tabela Entrada-saída'!$B$20:$W$20,'coordenadas dos Polos'!$LT$2:$MO$2)))^2)</f>
        <v>7.6381222492459707E-10</v>
      </c>
      <c r="Q20">
        <f>EXP(((-1)/(2*'Cálculos Diversos'!$B$5))*(SQRT(SUMXMY2('Tabela Entrada-saída'!$B$20:$W$20,'coordenadas dos Polos'!$MP$2:$NK$2)))^2)</f>
        <v>4.9556557494777911E-8</v>
      </c>
      <c r="R20">
        <f>EXP(((-1)/(2*'Cálculos Diversos'!$B$5))*(SQRT(SUMXMY2('Tabela Entrada-saída'!$B$20:$W$20,'coordenadas dos Polos'!$NL$2:$OG$2)))^2)</f>
        <v>1.8299551043681414E-8</v>
      </c>
      <c r="S20">
        <f>EXP(((-1)/(2*'Cálculos Diversos'!$B$5))*(SQRT(SUMXMY2('Tabela Entrada-saída'!$B$20:$W$20,'coordenadas dos Polos'!$OH$2:$PC$2)))^2)</f>
        <v>5.1963759401021048E-10</v>
      </c>
      <c r="T20">
        <f>EXP(((-1)/(2*'Cálculos Diversos'!$B$5))*(SQRT(SUMXMY2('Tabela Entrada-saída'!$B$20:$W$20,'coordenadas dos Polos'!$PD$2:$PY$2)))^2)</f>
        <v>8.5717394160941368E-8</v>
      </c>
      <c r="U20">
        <f>EXP(((-1)/(2*'Cálculos Diversos'!$B$5))*(SQRT(SUMXMY2('Tabela Entrada-saída'!$B$20:$W$20,'coordenadas dos Polos'!$PZ$2:$QU$2)))^2)</f>
        <v>9.6941493793415122E-8</v>
      </c>
      <c r="V20">
        <f>EXP(((-1)/(2*'Cálculos Diversos'!$B$5))*(SQRT(SUMXMY2('Tabela Entrada-saída'!$B$20:$W$20,'coordenadas dos Polos'!$QV$2:$RQ$2)))^2)</f>
        <v>3.6783347743630064E-8</v>
      </c>
      <c r="W20">
        <f>EXP(((-1)/(2*'Cálculos Diversos'!$B$5))*(SQRT(SUMXMY2('Tabela Entrada-saída'!$B$20:$W$20,'coordenadas dos Polos'!$RR$2:$SM$2)))^2)</f>
        <v>2.0923459417674726E-9</v>
      </c>
      <c r="X20">
        <v>1</v>
      </c>
    </row>
    <row r="21" spans="1:24">
      <c r="A21">
        <v>20</v>
      </c>
      <c r="B21">
        <f>EXP(((-1)/(2*'Cálculos Diversos'!$B$5))*(SQRT(SUMXMY2('Tabela Entrada-saída'!$B$21:$W$21,'coordenadas dos Polos'!$X$2:$AS$2)))^2)</f>
        <v>0.62607944071164534</v>
      </c>
      <c r="C21">
        <f>EXP(((-1)/(2*'Cálculos Diversos'!$B$5))*(SQRT(SUMXMY2('Tabela Entrada-saída'!$B$21:$W$21,'coordenadas dos Polos'!$AT$2:$BO$2)))^2)</f>
        <v>1.0713525649042983E-9</v>
      </c>
      <c r="D21">
        <f>EXP(((-1)/(2*'Cálculos Diversos'!$B$5))*(SQRT(SUMXMY2('Tabela Entrada-saída'!$B$21:$W$21,'coordenadas dos Polos'!$BP$2:$CK$2)))^2)</f>
        <v>9.0058221593407246E-10</v>
      </c>
      <c r="E21">
        <f>EXP(((-1)/(2*'Cálculos Diversos'!$B$5))*(SQRT(SUMXMY2('Tabela Entrada-saída'!$B$21:$W$21,'coordenadas dos Polos'!$CL$2:$DG$2)))^2)</f>
        <v>5.1809256862527547E-6</v>
      </c>
      <c r="F21">
        <f>EXP(((-1)/(2*'Cálculos Diversos'!$B$5))*(SQRT(SUMXMY2('Tabela Entrada-saída'!$B$21:$W$21,'coordenadas dos Polos'!$DH$2:$EC$2)))^2)</f>
        <v>5.7303947212419005E-9</v>
      </c>
      <c r="G21">
        <f>EXP(((-1)/(2*'Cálculos Diversos'!$B$5))*(SQRT(SUMXMY2('Tabela Entrada-saída'!$B$21:$W$21,'coordenadas dos Polos'!$ED$2:$EY$2)))^2)</f>
        <v>5.3719759318369783E-6</v>
      </c>
      <c r="H21">
        <f>EXP(((-1)/(2*'Cálculos Diversos'!$B$5))*(SQRT(SUMXMY2('Tabela Entrada-saída'!$B$21:$W$21,'coordenadas dos Polos'!$EZ$2:$FU$2)))^2)</f>
        <v>5.2350518635459606E-6</v>
      </c>
      <c r="I21">
        <f>EXP(((-1)/(2*'Cálculos Diversos'!$B$5))*(SQRT(SUMXMY2('Tabela Entrada-saída'!$B$21:$W$21,'coordenadas dos Polos'!$FV$2:$GQ$2)))^2)</f>
        <v>4.7513697133336398E-7</v>
      </c>
      <c r="J21">
        <f>EXP(((-1)/(2*'Cálculos Diversos'!$B$5))*(SQRT(SUMXMY2('Tabela Entrada-saída'!$B$21:$W$21,'coordenadas dos Polos'!$GR$2:$HM$2)))^2)</f>
        <v>5.1550256393825058E-6</v>
      </c>
      <c r="K21">
        <f>EXP(((-1)/(2*'Cálculos Diversos'!$B$5))*(SQRT(SUMXMY2('Tabela Entrada-saída'!$B$21:$W$21,'coordenadas dos Polos'!$HN$2:$II$2)))^2)</f>
        <v>4.8152175006930817E-9</v>
      </c>
      <c r="L21">
        <f>EXP(((-1)/(2*'Cálculos Diversos'!$B$5))*(SQRT(SUMXMY2('Tabela Entrada-saída'!$B$21:$W$21,'coordenadas dos Polos'!$IJ$2:$JE$2)))^2)</f>
        <v>8.2444093137187344E-7</v>
      </c>
      <c r="M21">
        <f>EXP(((-1)/(2*'Cálculos Diversos'!$B$5))*(SQRT(SUMXMY2('Tabela Entrada-saída'!$B$21:$W$21,'coordenadas dos Polos'!$JF$2:$KA$2)))^2)</f>
        <v>2.4956200660858448E-7</v>
      </c>
      <c r="N21">
        <f>EXP(((-1)/(2*'Cálculos Diversos'!$B$5))*(SQRT(SUMXMY2('Tabela Entrada-saída'!$B$21:$W$21,'coordenadas dos Polos'!$KB$2:$KW$2)))^2)</f>
        <v>6.0326462804599929E-9</v>
      </c>
      <c r="O21">
        <f>EXP(((-1)/(2*'Cálculos Diversos'!$B$5))*(SQRT(SUMXMY2('Tabela Entrada-saída'!$B$21:$W$21,'coordenadas dos Polos'!$KX$2:$LS$2)))^2)</f>
        <v>2.8859442247365655E-6</v>
      </c>
      <c r="P21">
        <f>EXP(((-1)/(2*'Cálculos Diversos'!$B$5))*(SQRT(SUMXMY2('Tabela Entrada-saída'!$B$21:$W$21,'coordenadas dos Polos'!$LT$2:$MO$2)))^2)</f>
        <v>1.1563622672576075E-9</v>
      </c>
      <c r="Q21">
        <f>EXP(((-1)/(2*'Cálculos Diversos'!$B$5))*(SQRT(SUMXMY2('Tabela Entrada-saída'!$B$21:$W$21,'coordenadas dos Polos'!$MP$2:$NK$2)))^2)</f>
        <v>4.5956751811831339E-8</v>
      </c>
      <c r="R21">
        <f>EXP(((-1)/(2*'Cálculos Diversos'!$B$5))*(SQRT(SUMXMY2('Tabela Entrada-saída'!$B$21:$W$21,'coordenadas dos Polos'!$NL$2:$OG$2)))^2)</f>
        <v>4.4748063514975314E-8</v>
      </c>
      <c r="S21">
        <f>EXP(((-1)/(2*'Cálculos Diversos'!$B$5))*(SQRT(SUMXMY2('Tabela Entrada-saída'!$B$21:$W$21,'coordenadas dos Polos'!$OH$2:$PC$2)))^2)</f>
        <v>1.3550044228479448E-9</v>
      </c>
      <c r="T21">
        <f>EXP(((-1)/(2*'Cálculos Diversos'!$B$5))*(SQRT(SUMXMY2('Tabela Entrada-saída'!$B$21:$W$21,'coordenadas dos Polos'!$PD$2:$PY$2)))^2)</f>
        <v>1.0822223453950497E-7</v>
      </c>
      <c r="U21">
        <f>EXP(((-1)/(2*'Cálculos Diversos'!$B$5))*(SQRT(SUMXMY2('Tabela Entrada-saída'!$B$21:$W$21,'coordenadas dos Polos'!$PZ$2:$QU$2)))^2)</f>
        <v>1.4622984610447596E-7</v>
      </c>
      <c r="V21">
        <f>EXP(((-1)/(2*'Cálculos Diversos'!$B$5))*(SQRT(SUMXMY2('Tabela Entrada-saída'!$B$21:$W$21,'coordenadas dos Polos'!$QV$2:$RQ$2)))^2)</f>
        <v>1.3141226410384491E-7</v>
      </c>
      <c r="W21">
        <f>EXP(((-1)/(2*'Cálculos Diversos'!$B$5))*(SQRT(SUMXMY2('Tabela Entrada-saída'!$B$21:$W$21,'coordenadas dos Polos'!$RR$2:$SM$2)))^2)</f>
        <v>6.5687758990156076E-9</v>
      </c>
      <c r="X21">
        <v>1</v>
      </c>
    </row>
    <row r="22" spans="1:24">
      <c r="A22">
        <v>21</v>
      </c>
      <c r="B22">
        <f>EXP(((-1)/(2*'Cálculos Diversos'!$B$5))*(SQRT(SUMXMY2('Tabela Entrada-saída'!$B$22:$W$22,'coordenadas dos Polos'!$X$2:$AS$2)))^2)</f>
        <v>0.11868593062910332</v>
      </c>
      <c r="C22">
        <f>EXP(((-1)/(2*'Cálculos Diversos'!$B$5))*(SQRT(SUMXMY2('Tabela Entrada-saída'!$B$22:$W$22,'coordenadas dos Polos'!$AT$2:$BO$2)))^2)</f>
        <v>1.4118042896378478E-9</v>
      </c>
      <c r="D22">
        <f>EXP(((-1)/(2*'Cálculos Diversos'!$B$5))*(SQRT(SUMXMY2('Tabela Entrada-saída'!$B$22:$W$22,'coordenadas dos Polos'!$BP$2:$CK$2)))^2)</f>
        <v>2.273164394795388E-10</v>
      </c>
      <c r="E22">
        <f>EXP(((-1)/(2*'Cálculos Diversos'!$B$5))*(SQRT(SUMXMY2('Tabela Entrada-saída'!$B$22:$W$22,'coordenadas dos Polos'!$CL$2:$DG$2)))^2)</f>
        <v>4.4689056130366846E-6</v>
      </c>
      <c r="F22">
        <f>EXP(((-1)/(2*'Cálculos Diversos'!$B$5))*(SQRT(SUMXMY2('Tabela Entrada-saída'!$B$22:$W$22,'coordenadas dos Polos'!$DH$2:$EC$2)))^2)</f>
        <v>1.9010836405679818E-9</v>
      </c>
      <c r="G22">
        <f>EXP(((-1)/(2*'Cálculos Diversos'!$B$5))*(SQRT(SUMXMY2('Tabela Entrada-saída'!$B$22:$W$22,'coordenadas dos Polos'!$ED$2:$EY$2)))^2)</f>
        <v>5.7419159945043965E-6</v>
      </c>
      <c r="H22">
        <f>EXP(((-1)/(2*'Cálculos Diversos'!$B$5))*(SQRT(SUMXMY2('Tabela Entrada-saída'!$B$22:$W$22,'coordenadas dos Polos'!$EZ$2:$FU$2)))^2)</f>
        <v>3.7520149072845588E-6</v>
      </c>
      <c r="I22">
        <f>EXP(((-1)/(2*'Cálculos Diversos'!$B$5))*(SQRT(SUMXMY2('Tabela Entrada-saída'!$B$22:$W$22,'coordenadas dos Polos'!$FV$2:$GQ$2)))^2)</f>
        <v>3.0364739994291563E-7</v>
      </c>
      <c r="J22">
        <f>EXP(((-1)/(2*'Cálculos Diversos'!$B$5))*(SQRT(SUMXMY2('Tabela Entrada-saída'!$B$22:$W$22,'coordenadas dos Polos'!$GR$2:$HM$2)))^2)</f>
        <v>2.114434082409381E-6</v>
      </c>
      <c r="K22">
        <f>EXP(((-1)/(2*'Cálculos Diversos'!$B$5))*(SQRT(SUMXMY2('Tabela Entrada-saída'!$B$22:$W$22,'coordenadas dos Polos'!$HN$2:$II$2)))^2)</f>
        <v>4.6520170034235886E-9</v>
      </c>
      <c r="L22">
        <f>EXP(((-1)/(2*'Cálculos Diversos'!$B$5))*(SQRT(SUMXMY2('Tabela Entrada-saída'!$B$22:$W$22,'coordenadas dos Polos'!$IJ$2:$JE$2)))^2)</f>
        <v>2.0789171493834425E-6</v>
      </c>
      <c r="M22">
        <f>EXP(((-1)/(2*'Cálculos Diversos'!$B$5))*(SQRT(SUMXMY2('Tabela Entrada-saída'!$B$22:$W$22,'coordenadas dos Polos'!$JF$2:$KA$2)))^2)</f>
        <v>9.980647166581107E-8</v>
      </c>
      <c r="N22">
        <f>EXP(((-1)/(2*'Cálculos Diversos'!$B$5))*(SQRT(SUMXMY2('Tabela Entrada-saída'!$B$22:$W$22,'coordenadas dos Polos'!$KB$2:$KW$2)))^2)</f>
        <v>1.6092972253707636E-9</v>
      </c>
      <c r="O22">
        <f>EXP(((-1)/(2*'Cálculos Diversos'!$B$5))*(SQRT(SUMXMY2('Tabela Entrada-saída'!$B$22:$W$22,'coordenadas dos Polos'!$KX$2:$LS$2)))^2)</f>
        <v>3.6693075318384471E-6</v>
      </c>
      <c r="P22">
        <f>EXP(((-1)/(2*'Cálculos Diversos'!$B$5))*(SQRT(SUMXMY2('Tabela Entrada-saída'!$B$22:$W$22,'coordenadas dos Polos'!$LT$2:$MO$2)))^2)</f>
        <v>8.9018643004053663E-10</v>
      </c>
      <c r="Q22">
        <f>EXP(((-1)/(2*'Cálculos Diversos'!$B$5))*(SQRT(SUMXMY2('Tabela Entrada-saída'!$B$22:$W$22,'coordenadas dos Polos'!$MP$2:$NK$2)))^2)</f>
        <v>5.2131570496944987E-8</v>
      </c>
      <c r="R22">
        <f>EXP(((-1)/(2*'Cálculos Diversos'!$B$5))*(SQRT(SUMXMY2('Tabela Entrada-saída'!$B$22:$W$22,'coordenadas dos Polos'!$NL$2:$OG$2)))^2)</f>
        <v>2.1223687226279262E-8</v>
      </c>
      <c r="S22">
        <f>EXP(((-1)/(2*'Cálculos Diversos'!$B$5))*(SQRT(SUMXMY2('Tabela Entrada-saída'!$B$22:$W$22,'coordenadas dos Polos'!$OH$2:$PC$2)))^2)</f>
        <v>5.9499977255286168E-10</v>
      </c>
      <c r="T22">
        <f>EXP(((-1)/(2*'Cálculos Diversos'!$B$5))*(SQRT(SUMXMY2('Tabela Entrada-saída'!$B$22:$W$22,'coordenadas dos Polos'!$PD$2:$PY$2)))^2)</f>
        <v>8.9982854607068585E-8</v>
      </c>
      <c r="U22">
        <f>EXP(((-1)/(2*'Cálculos Diversos'!$B$5))*(SQRT(SUMXMY2('Tabela Entrada-saída'!$B$22:$W$22,'coordenadas dos Polos'!$PZ$2:$QU$2)))^2)</f>
        <v>1.0522279282533338E-7</v>
      </c>
      <c r="V22">
        <f>EXP(((-1)/(2*'Cálculos Diversos'!$B$5))*(SQRT(SUMXMY2('Tabela Entrada-saída'!$B$22:$W$22,'coordenadas dos Polos'!$QV$2:$RQ$2)))^2)</f>
        <v>4.552316188238693E-8</v>
      </c>
      <c r="W22">
        <f>EXP(((-1)/(2*'Cálculos Diversos'!$B$5))*(SQRT(SUMXMY2('Tabela Entrada-saída'!$B$22:$W$22,'coordenadas dos Polos'!$RR$2:$SM$2)))^2)</f>
        <v>2.6527095963198142E-9</v>
      </c>
      <c r="X22">
        <v>1</v>
      </c>
    </row>
    <row r="23" spans="1:24">
      <c r="A23">
        <v>22</v>
      </c>
      <c r="B23">
        <f>EXP(((-1)/(2*'Cálculos Diversos'!$B$5))*(SQRT(SUMXMY2('Tabela Entrada-saída'!$B$23:$W$23,'coordenadas dos Polos'!$X$2:$AS$2)))^2)</f>
        <v>0.18067717544139864</v>
      </c>
      <c r="C23">
        <f>EXP(((-1)/(2*'Cálculos Diversos'!$B$5))*(SQRT(SUMXMY2('Tabela Entrada-saída'!$B$23:$W$23,'coordenadas dos Polos'!$AT$2:$BO$2)))^2)</f>
        <v>1.3174899127190754E-9</v>
      </c>
      <c r="D23">
        <f>EXP(((-1)/(2*'Cálculos Diversos'!$B$5))*(SQRT(SUMXMY2('Tabela Entrada-saída'!$B$23:$W$23,'coordenadas dos Polos'!$BP$2:$CK$2)))^2)</f>
        <v>2.9649549723250883E-10</v>
      </c>
      <c r="E23">
        <f>EXP(((-1)/(2*'Cálculos Diversos'!$B$5))*(SQRT(SUMXMY2('Tabela Entrada-saída'!$B$23:$W$23,'coordenadas dos Polos'!$CL$2:$DG$2)))^2)</f>
        <v>4.3357424288308834E-6</v>
      </c>
      <c r="F23">
        <f>EXP(((-1)/(2*'Cálculos Diversos'!$B$5))*(SQRT(SUMXMY2('Tabela Entrada-saída'!$B$23:$W$23,'coordenadas dos Polos'!$DH$2:$EC$2)))^2)</f>
        <v>2.273450539244886E-9</v>
      </c>
      <c r="G23">
        <f>EXP(((-1)/(2*'Cálculos Diversos'!$B$5))*(SQRT(SUMXMY2('Tabela Entrada-saída'!$B$23:$W$23,'coordenadas dos Polos'!$ED$2:$EY$2)))^2)</f>
        <v>5.8119524985875155E-6</v>
      </c>
      <c r="H23">
        <f>EXP(((-1)/(2*'Cálculos Diversos'!$B$5))*(SQRT(SUMXMY2('Tabela Entrada-saída'!$B$23:$W$23,'coordenadas dos Polos'!$EZ$2:$FU$2)))^2)</f>
        <v>4.0292993053380602E-6</v>
      </c>
      <c r="I23">
        <f>EXP(((-1)/(2*'Cálculos Diversos'!$B$5))*(SQRT(SUMXMY2('Tabela Entrada-saída'!$B$23:$W$23,'coordenadas dos Polos'!$FV$2:$GQ$2)))^2)</f>
        <v>3.3966181951585957E-7</v>
      </c>
      <c r="J23">
        <f>EXP(((-1)/(2*'Cálculos Diversos'!$B$5))*(SQRT(SUMXMY2('Tabela Entrada-saída'!$B$23:$W$23,'coordenadas dos Polos'!$GR$2:$HM$2)))^2)</f>
        <v>2.3486691557003049E-6</v>
      </c>
      <c r="K23">
        <f>EXP(((-1)/(2*'Cálculos Diversos'!$B$5))*(SQRT(SUMXMY2('Tabela Entrada-saída'!$B$23:$W$23,'coordenadas dos Polos'!$HN$2:$II$2)))^2)</f>
        <v>4.2838278065898553E-9</v>
      </c>
      <c r="L23">
        <f>EXP(((-1)/(2*'Cálculos Diversos'!$B$5))*(SQRT(SUMXMY2('Tabela Entrada-saída'!$B$23:$W$23,'coordenadas dos Polos'!$IJ$2:$JE$2)))^2)</f>
        <v>1.7209228587498461E-6</v>
      </c>
      <c r="M23">
        <f>EXP(((-1)/(2*'Cálculos Diversos'!$B$5))*(SQRT(SUMXMY2('Tabela Entrada-saída'!$B$23:$W$23,'coordenadas dos Polos'!$JF$2:$KA$2)))^2)</f>
        <v>1.2180482468621513E-7</v>
      </c>
      <c r="N23">
        <f>EXP(((-1)/(2*'Cálculos Diversos'!$B$5))*(SQRT(SUMXMY2('Tabela Entrada-saída'!$B$23:$W$23,'coordenadas dos Polos'!$KB$2:$KW$2)))^2)</f>
        <v>1.9327560653556732E-9</v>
      </c>
      <c r="O23">
        <f>EXP(((-1)/(2*'Cálculos Diversos'!$B$5))*(SQRT(SUMXMY2('Tabela Entrada-saída'!$B$23:$W$23,'coordenadas dos Polos'!$KX$2:$LS$2)))^2)</f>
        <v>3.5781403646914317E-6</v>
      </c>
      <c r="P23">
        <f>EXP(((-1)/(2*'Cálculos Diversos'!$B$5))*(SQRT(SUMXMY2('Tabela Entrada-saída'!$B$23:$W$23,'coordenadas dos Polos'!$LT$2:$MO$2)))^2)</f>
        <v>9.4428535019718747E-10</v>
      </c>
      <c r="Q23">
        <f>EXP(((-1)/(2*'Cálculos Diversos'!$B$5))*(SQRT(SUMXMY2('Tabela Entrada-saída'!$B$23:$W$23,'coordenadas dos Polos'!$MP$2:$NK$2)))^2)</f>
        <v>5.2268642901451884E-8</v>
      </c>
      <c r="R23">
        <f>EXP(((-1)/(2*'Cálculos Diversos'!$B$5))*(SQRT(SUMXMY2('Tabela Entrada-saída'!$B$23:$W$23,'coordenadas dos Polos'!$NL$2:$OG$2)))^2)</f>
        <v>2.6918998438067177E-8</v>
      </c>
      <c r="S23">
        <f>EXP(((-1)/(2*'Cálculos Diversos'!$B$5))*(SQRT(SUMXMY2('Tabela Entrada-saída'!$B$23:$W$23,'coordenadas dos Polos'!$OH$2:$PC$2)))^2)</f>
        <v>6.8676723033045727E-10</v>
      </c>
      <c r="T23">
        <f>EXP(((-1)/(2*'Cálculos Diversos'!$B$5))*(SQRT(SUMXMY2('Tabela Entrada-saída'!$B$23:$W$23,'coordenadas dos Polos'!$PD$2:$PY$2)))^2)</f>
        <v>9.9303392495229994E-8</v>
      </c>
      <c r="U23">
        <f>EXP(((-1)/(2*'Cálculos Diversos'!$B$5))*(SQRT(SUMXMY2('Tabela Entrada-saída'!$B$23:$W$23,'coordenadas dos Polos'!$PZ$2:$QU$2)))^2)</f>
        <v>1.1817620454403838E-7</v>
      </c>
      <c r="V23">
        <f>EXP(((-1)/(2*'Cálculos Diversos'!$B$5))*(SQRT(SUMXMY2('Tabela Entrada-saída'!$B$23:$W$23,'coordenadas dos Polos'!$QV$2:$RQ$2)))^2)</f>
        <v>5.735133627662346E-8</v>
      </c>
      <c r="W23">
        <f>EXP(((-1)/(2*'Cálculos Diversos'!$B$5))*(SQRT(SUMXMY2('Tabela Entrada-saída'!$B$23:$W$23,'coordenadas dos Polos'!$RR$2:$SM$2)))^2)</f>
        <v>3.0316135301424387E-9</v>
      </c>
      <c r="X23">
        <v>1</v>
      </c>
    </row>
    <row r="24" spans="1:24">
      <c r="A24">
        <v>23</v>
      </c>
      <c r="B24">
        <f>EXP(((-1)/(2*'Cálculos Diversos'!$B$5))*(SQRT(SUMXMY2('Tabela Entrada-saída'!$B$24:$W$24,'coordenadas dos Polos'!$X$2:$AS$2)))^2)</f>
        <v>0.11263259572352913</v>
      </c>
      <c r="C24">
        <f>EXP(((-1)/(2*'Cálculos Diversos'!$B$5))*(SQRT(SUMXMY2('Tabela Entrada-saída'!$B$24:$W$24,'coordenadas dos Polos'!$AT$2:$BO$2)))^2)</f>
        <v>1.078586233394235E-9</v>
      </c>
      <c r="D24">
        <f>EXP(((-1)/(2*'Cálculos Diversos'!$B$5))*(SQRT(SUMXMY2('Tabela Entrada-saída'!$B$24:$W$24,'coordenadas dos Polos'!$BP$2:$CK$2)))^2)</f>
        <v>1.4938080875647493E-10</v>
      </c>
      <c r="E24">
        <f>EXP(((-1)/(2*'Cálculos Diversos'!$B$5))*(SQRT(SUMXMY2('Tabela Entrada-saída'!$B$24:$W$24,'coordenadas dos Polos'!$CL$2:$DG$2)))^2)</f>
        <v>3.2597209408686272E-6</v>
      </c>
      <c r="F24">
        <f>EXP(((-1)/(2*'Cálculos Diversos'!$B$5))*(SQRT(SUMXMY2('Tabela Entrada-saída'!$B$24:$W$24,'coordenadas dos Polos'!$DH$2:$EC$2)))^2)</f>
        <v>1.3312343957594908E-9</v>
      </c>
      <c r="G24">
        <f>EXP(((-1)/(2*'Cálculos Diversos'!$B$5))*(SQRT(SUMXMY2('Tabela Entrada-saída'!$B$24:$W$24,'coordenadas dos Polos'!$ED$2:$EY$2)))^2)</f>
        <v>4.5462664764777341E-6</v>
      </c>
      <c r="H24">
        <f>EXP(((-1)/(2*'Cálculos Diversos'!$B$5))*(SQRT(SUMXMY2('Tabela Entrada-saída'!$B$24:$W$24,'coordenadas dos Polos'!$EZ$2:$FU$2)))^2)</f>
        <v>3.1095541093245556E-6</v>
      </c>
      <c r="I24">
        <f>EXP(((-1)/(2*'Cálculos Diversos'!$B$5))*(SQRT(SUMXMY2('Tabela Entrada-saída'!$B$24:$W$24,'coordenadas dos Polos'!$FV$2:$GQ$2)))^2)</f>
        <v>2.4541342655822151E-7</v>
      </c>
      <c r="J24">
        <f>EXP(((-1)/(2*'Cálculos Diversos'!$B$5))*(SQRT(SUMXMY2('Tabela Entrada-saída'!$B$24:$W$24,'coordenadas dos Polos'!$GR$2:$HM$2)))^2)</f>
        <v>1.5460177354437277E-6</v>
      </c>
      <c r="K24">
        <f>EXP(((-1)/(2*'Cálculos Diversos'!$B$5))*(SQRT(SUMXMY2('Tabela Entrada-saída'!$B$24:$W$24,'coordenadas dos Polos'!$HN$2:$II$2)))^2)</f>
        <v>3.3023844680358284E-9</v>
      </c>
      <c r="L24">
        <f>EXP(((-1)/(2*'Cálculos Diversos'!$B$5))*(SQRT(SUMXMY2('Tabela Entrada-saída'!$B$24:$W$24,'coordenadas dos Polos'!$IJ$2:$JE$2)))^2)</f>
        <v>1.6761200914138777E-6</v>
      </c>
      <c r="M24">
        <f>EXP(((-1)/(2*'Cálculos Diversos'!$B$5))*(SQRT(SUMXMY2('Tabela Entrada-saída'!$B$24:$W$24,'coordenadas dos Polos'!$JF$2:$KA$2)))^2)</f>
        <v>7.688359686159468E-8</v>
      </c>
      <c r="N24">
        <f>EXP(((-1)/(2*'Cálculos Diversos'!$B$5))*(SQRT(SUMXMY2('Tabela Entrada-saída'!$B$24:$W$24,'coordenadas dos Polos'!$KB$2:$KW$2)))^2)</f>
        <v>1.1068507587951337E-9</v>
      </c>
      <c r="O24">
        <f>EXP(((-1)/(2*'Cálculos Diversos'!$B$5))*(SQRT(SUMXMY2('Tabela Entrada-saída'!$B$24:$W$24,'coordenadas dos Polos'!$KX$2:$LS$2)))^2)</f>
        <v>2.7352656861120922E-6</v>
      </c>
      <c r="P24">
        <f>EXP(((-1)/(2*'Cálculos Diversos'!$B$5))*(SQRT(SUMXMY2('Tabela Entrada-saída'!$B$24:$W$24,'coordenadas dos Polos'!$LT$2:$MO$2)))^2)</f>
        <v>6.533684438006489E-10</v>
      </c>
      <c r="Q24">
        <f>EXP(((-1)/(2*'Cálculos Diversos'!$B$5))*(SQRT(SUMXMY2('Tabela Entrada-saída'!$B$24:$W$24,'coordenadas dos Polos'!$MP$2:$NK$2)))^2)</f>
        <v>3.9719651493065335E-8</v>
      </c>
      <c r="R24">
        <f>EXP(((-1)/(2*'Cálculos Diversos'!$B$5))*(SQRT(SUMXMY2('Tabela Entrada-saída'!$B$24:$W$24,'coordenadas dos Polos'!$NL$2:$OG$2)))^2)</f>
        <v>1.6469164905928034E-8</v>
      </c>
      <c r="S24">
        <f>EXP(((-1)/(2*'Cálculos Diversos'!$B$5))*(SQRT(SUMXMY2('Tabela Entrada-saída'!$B$24:$W$24,'coordenadas dos Polos'!$OH$2:$PC$2)))^2)</f>
        <v>4.3546921955396957E-10</v>
      </c>
      <c r="T24">
        <f>EXP(((-1)/(2*'Cálculos Diversos'!$B$5))*(SQRT(SUMXMY2('Tabela Entrada-saída'!$B$24:$W$24,'coordenadas dos Polos'!$PD$2:$PY$2)))^2)</f>
        <v>6.8764183914038886E-8</v>
      </c>
      <c r="U24">
        <f>EXP(((-1)/(2*'Cálculos Diversos'!$B$5))*(SQRT(SUMXMY2('Tabela Entrada-saída'!$B$24:$W$24,'coordenadas dos Polos'!$PZ$2:$QU$2)))^2)</f>
        <v>7.8821941929481613E-8</v>
      </c>
      <c r="V24">
        <f>EXP(((-1)/(2*'Cálculos Diversos'!$B$5))*(SQRT(SUMXMY2('Tabela Entrada-saída'!$B$24:$W$24,'coordenadas dos Polos'!$QV$2:$RQ$2)))^2)</f>
        <v>3.5357555178695389E-8</v>
      </c>
      <c r="W24">
        <f>EXP(((-1)/(2*'Cálculos Diversos'!$B$5))*(SQRT(SUMXMY2('Tabela Entrada-saída'!$B$24:$W$24,'coordenadas dos Polos'!$RR$2:$SM$2)))^2)</f>
        <v>1.7135117270984004E-9</v>
      </c>
      <c r="X24">
        <v>1</v>
      </c>
    </row>
    <row r="25" spans="1:24">
      <c r="A25">
        <v>24</v>
      </c>
      <c r="B25">
        <f>EXP(((-1)/(2*'Cálculos Diversos'!$B$5))*(SQRT(SUMXMY2('Tabela Entrada-saída'!$B$25:$W$25,'coordenadas dos Polos'!$X$2:$AS$2)))^2)</f>
        <v>0.27406283365201256</v>
      </c>
      <c r="C25">
        <f>EXP(((-1)/(2*'Cálculos Diversos'!$B$5))*(SQRT(SUMXMY2('Tabela Entrada-saída'!$B$25:$W$25,'coordenadas dos Polos'!$AT$2:$BO$2)))^2)</f>
        <v>1.4372355031292998E-9</v>
      </c>
      <c r="D25">
        <f>EXP(((-1)/(2*'Cálculos Diversos'!$B$5))*(SQRT(SUMXMY2('Tabela Entrada-saída'!$B$25:$W$25,'coordenadas dos Polos'!$BP$2:$CK$2)))^2)</f>
        <v>4.1872840851285164E-10</v>
      </c>
      <c r="E25">
        <f>EXP(((-1)/(2*'Cálculos Diversos'!$B$5))*(SQRT(SUMXMY2('Tabela Entrada-saída'!$B$25:$W$25,'coordenadas dos Polos'!$CL$2:$DG$2)))^2)</f>
        <v>4.834380010150422E-6</v>
      </c>
      <c r="F25">
        <f>EXP(((-1)/(2*'Cálculos Diversos'!$B$5))*(SQRT(SUMXMY2('Tabela Entrada-saída'!$B$25:$W$25,'coordenadas dos Polos'!$DH$2:$EC$2)))^2)</f>
        <v>3.0782080248902894E-9</v>
      </c>
      <c r="G25">
        <f>EXP(((-1)/(2*'Cálculos Diversos'!$B$5))*(SQRT(SUMXMY2('Tabela Entrada-saída'!$B$25:$W$25,'coordenadas dos Polos'!$ED$2:$EY$2)))^2)</f>
        <v>6.1005155609607039E-6</v>
      </c>
      <c r="H25">
        <f>EXP(((-1)/(2*'Cálculos Diversos'!$B$5))*(SQRT(SUMXMY2('Tabela Entrada-saída'!$B$25:$W$25,'coordenadas dos Polos'!$EZ$2:$FU$2)))^2)</f>
        <v>5.0698498308093034E-6</v>
      </c>
      <c r="I25">
        <f>EXP(((-1)/(2*'Cálculos Diversos'!$B$5))*(SQRT(SUMXMY2('Tabela Entrada-saída'!$B$25:$W$25,'coordenadas dos Polos'!$FV$2:$GQ$2)))^2)</f>
        <v>4.1785021773424261E-7</v>
      </c>
      <c r="J25">
        <f>EXP(((-1)/(2*'Cálculos Diversos'!$B$5))*(SQRT(SUMXMY2('Tabela Entrada-saída'!$B$25:$W$25,'coordenadas dos Polos'!$GR$2:$HM$2)))^2)</f>
        <v>3.1994087472314622E-6</v>
      </c>
      <c r="K25">
        <f>EXP(((-1)/(2*'Cálculos Diversos'!$B$5))*(SQRT(SUMXMY2('Tabela Entrada-saída'!$B$25:$W$25,'coordenadas dos Polos'!$HN$2:$II$2)))^2)</f>
        <v>4.9942036015048395E-9</v>
      </c>
      <c r="L25">
        <f>EXP(((-1)/(2*'Cálculos Diversos'!$B$5))*(SQRT(SUMXMY2('Tabela Entrada-saída'!$B$25:$W$25,'coordenadas dos Polos'!$IJ$2:$JE$2)))^2)</f>
        <v>1.4673590290506581E-6</v>
      </c>
      <c r="M25">
        <f>EXP(((-1)/(2*'Cálculos Diversos'!$B$5))*(SQRT(SUMXMY2('Tabela Entrada-saída'!$B$25:$W$25,'coordenadas dos Polos'!$JF$2:$KA$2)))^2)</f>
        <v>1.4842933753298539E-7</v>
      </c>
      <c r="N25">
        <f>EXP(((-1)/(2*'Cálculos Diversos'!$B$5))*(SQRT(SUMXMY2('Tabela Entrada-saída'!$B$25:$W$25,'coordenadas dos Polos'!$KB$2:$KW$2)))^2)</f>
        <v>2.9569200545909547E-9</v>
      </c>
      <c r="O25">
        <f>EXP(((-1)/(2*'Cálculos Diversos'!$B$5))*(SQRT(SUMXMY2('Tabela Entrada-saída'!$B$25:$W$25,'coordenadas dos Polos'!$KX$2:$LS$2)))^2)</f>
        <v>3.7249094716698064E-6</v>
      </c>
      <c r="P25">
        <f>EXP(((-1)/(2*'Cálculos Diversos'!$B$5))*(SQRT(SUMXMY2('Tabela Entrada-saída'!$B$25:$W$25,'coordenadas dos Polos'!$LT$2:$MO$2)))^2)</f>
        <v>1.0177283562192838E-9</v>
      </c>
      <c r="Q25">
        <f>EXP(((-1)/(2*'Cálculos Diversos'!$B$5))*(SQRT(SUMXMY2('Tabela Entrada-saída'!$B$25:$W$25,'coordenadas dos Polos'!$MP$2:$NK$2)))^2)</f>
        <v>5.5915634956718663E-8</v>
      </c>
      <c r="R25">
        <f>EXP(((-1)/(2*'Cálculos Diversos'!$B$5))*(SQRT(SUMXMY2('Tabela Entrada-saída'!$B$25:$W$25,'coordenadas dos Polos'!$NL$2:$OG$2)))^2)</f>
        <v>3.1234390167770696E-8</v>
      </c>
      <c r="S25">
        <f>EXP(((-1)/(2*'Cálculos Diversos'!$B$5))*(SQRT(SUMXMY2('Tabela Entrada-saída'!$B$25:$W$25,'coordenadas dos Polos'!$OH$2:$PC$2)))^2)</f>
        <v>8.7130515101137757E-10</v>
      </c>
      <c r="T25">
        <f>EXP(((-1)/(2*'Cálculos Diversos'!$B$5))*(SQRT(SUMXMY2('Tabela Entrada-saída'!$B$25:$W$25,'coordenadas dos Polos'!$PD$2:$PY$2)))^2)</f>
        <v>1.0513436401911823E-7</v>
      </c>
      <c r="U25">
        <f>EXP(((-1)/(2*'Cálculos Diversos'!$B$5))*(SQRT(SUMXMY2('Tabela Entrada-saída'!$B$25:$W$25,'coordenadas dos Polos'!$PZ$2:$QU$2)))^2)</f>
        <v>1.2667768159644886E-7</v>
      </c>
      <c r="V25">
        <f>EXP(((-1)/(2*'Cálculos Diversos'!$B$5))*(SQRT(SUMXMY2('Tabela Entrada-saída'!$B$25:$W$25,'coordenadas dos Polos'!$QV$2:$RQ$2)))^2)</f>
        <v>7.510413431756658E-8</v>
      </c>
      <c r="W25">
        <f>EXP(((-1)/(2*'Cálculos Diversos'!$B$5))*(SQRT(SUMXMY2('Tabela Entrada-saída'!$B$25:$W$25,'coordenadas dos Polos'!$RR$2:$SM$2)))^2)</f>
        <v>3.7132943623726337E-9</v>
      </c>
      <c r="X25">
        <v>1</v>
      </c>
    </row>
    <row r="26" spans="1:24">
      <c r="A26">
        <v>25</v>
      </c>
      <c r="B26">
        <f>EXP(((-1)/(2*'Cálculos Diversos'!$B$5))*(SQRT(SUMXMY2('Tabela Entrada-saída'!$B$26:$W$26,'coordenadas dos Polos'!$X$2:$AS$2)))^2)</f>
        <v>0.75278267606291893</v>
      </c>
      <c r="C26">
        <f>EXP(((-1)/(2*'Cálculos Diversos'!$B$5))*(SQRT(SUMXMY2('Tabela Entrada-saída'!$B$26:$W$26,'coordenadas dos Polos'!$AT$2:$BO$2)))^2)</f>
        <v>8.5297203694145211E-10</v>
      </c>
      <c r="D26">
        <f>EXP(((-1)/(2*'Cálculos Diversos'!$B$5))*(SQRT(SUMXMY2('Tabela Entrada-saída'!$B$26:$W$26,'coordenadas dos Polos'!$BP$2:$CK$2)))^2)</f>
        <v>9.1098580377024733E-10</v>
      </c>
      <c r="E26">
        <f>EXP(((-1)/(2*'Cálculos Diversos'!$B$5))*(SQRT(SUMXMY2('Tabela Entrada-saída'!$B$26:$W$26,'coordenadas dos Polos'!$CL$2:$DG$2)))^2)</f>
        <v>4.1067473807216597E-6</v>
      </c>
      <c r="F26">
        <f>EXP(((-1)/(2*'Cálculos Diversos'!$B$5))*(SQRT(SUMXMY2('Tabela Entrada-saída'!$B$26:$W$26,'coordenadas dos Polos'!$DH$2:$EC$2)))^2)</f>
        <v>5.7485114439319921E-9</v>
      </c>
      <c r="G26">
        <f>EXP(((-1)/(2*'Cálculos Diversos'!$B$5))*(SQRT(SUMXMY2('Tabela Entrada-saída'!$B$26:$W$26,'coordenadas dos Polos'!$ED$2:$EY$2)))^2)</f>
        <v>4.3158828596402021E-6</v>
      </c>
      <c r="H26">
        <f>EXP(((-1)/(2*'Cálculos Diversos'!$B$5))*(SQRT(SUMXMY2('Tabela Entrada-saída'!$B$26:$W$26,'coordenadas dos Polos'!$EZ$2:$FU$2)))^2)</f>
        <v>4.8803151818374695E-6</v>
      </c>
      <c r="I26">
        <f>EXP(((-1)/(2*'Cálculos Diversos'!$B$5))*(SQRT(SUMXMY2('Tabela Entrada-saída'!$B$26:$W$26,'coordenadas dos Polos'!$FV$2:$GQ$2)))^2)</f>
        <v>4.5862728272758506E-7</v>
      </c>
      <c r="J26">
        <f>EXP(((-1)/(2*'Cálculos Diversos'!$B$5))*(SQRT(SUMXMY2('Tabela Entrada-saída'!$B$26:$W$26,'coordenadas dos Polos'!$GR$2:$HM$2)))^2)</f>
        <v>4.8365366365251499E-6</v>
      </c>
      <c r="K26">
        <f>EXP(((-1)/(2*'Cálculos Diversos'!$B$5))*(SQRT(SUMXMY2('Tabela Entrada-saída'!$B$26:$W$26,'coordenadas dos Polos'!$HN$2:$II$2)))^2)</f>
        <v>3.9396982452412943E-9</v>
      </c>
      <c r="L26">
        <f>EXP(((-1)/(2*'Cálculos Diversos'!$B$5))*(SQRT(SUMXMY2('Tabela Entrada-saída'!$B$26:$W$26,'coordenadas dos Polos'!$IJ$2:$JE$2)))^2)</f>
        <v>5.7417049700127019E-7</v>
      </c>
      <c r="M26">
        <f>EXP(((-1)/(2*'Cálculos Diversos'!$B$5))*(SQRT(SUMXMY2('Tabela Entrada-saída'!$B$26:$W$26,'coordenadas dos Polos'!$JF$2:$KA$2)))^2)</f>
        <v>2.5184472570517436E-7</v>
      </c>
      <c r="N26">
        <f>EXP(((-1)/(2*'Cálculos Diversos'!$B$5))*(SQRT(SUMXMY2('Tabela Entrada-saída'!$B$26:$W$26,'coordenadas dos Polos'!$KB$2:$KW$2)))^2)</f>
        <v>6.5447414016916798E-9</v>
      </c>
      <c r="O26">
        <f>EXP(((-1)/(2*'Cálculos Diversos'!$B$5))*(SQRT(SUMXMY2('Tabela Entrada-saída'!$B$26:$W$26,'coordenadas dos Polos'!$KX$2:$LS$2)))^2)</f>
        <v>2.231505862083307E-6</v>
      </c>
      <c r="P26">
        <f>EXP(((-1)/(2*'Cálculos Diversos'!$B$5))*(SQRT(SUMXMY2('Tabela Entrada-saída'!$B$26:$W$26,'coordenadas dos Polos'!$LT$2:$MO$2)))^2)</f>
        <v>1.0429353175073327E-9</v>
      </c>
      <c r="Q26">
        <f>EXP(((-1)/(2*'Cálculos Diversos'!$B$5))*(SQRT(SUMXMY2('Tabela Entrada-saída'!$B$26:$W$26,'coordenadas dos Polos'!$MP$2:$NK$2)))^2)</f>
        <v>3.9840148274014482E-8</v>
      </c>
      <c r="R26">
        <f>EXP(((-1)/(2*'Cálculos Diversos'!$B$5))*(SQRT(SUMXMY2('Tabela Entrada-saída'!$B$26:$W$26,'coordenadas dos Polos'!$NL$2:$OG$2)))^2)</f>
        <v>4.4592131231928029E-8</v>
      </c>
      <c r="S26">
        <f>EXP(((-1)/(2*'Cálculos Diversos'!$B$5))*(SQRT(SUMXMY2('Tabela Entrada-saída'!$B$26:$W$26,'coordenadas dos Polos'!$OH$2:$PC$2)))^2)</f>
        <v>1.3278034993455297E-9</v>
      </c>
      <c r="T26">
        <f>EXP(((-1)/(2*'Cálculos Diversos'!$B$5))*(SQRT(SUMXMY2('Tabela Entrada-saída'!$B$26:$W$26,'coordenadas dos Polos'!$PD$2:$PY$2)))^2)</f>
        <v>9.3073236981267855E-8</v>
      </c>
      <c r="U26">
        <f>EXP(((-1)/(2*'Cálculos Diversos'!$B$5))*(SQRT(SUMXMY2('Tabela Entrada-saída'!$B$26:$W$26,'coordenadas dos Polos'!$PZ$2:$QU$2)))^2)</f>
        <v>1.3062912710795468E-7</v>
      </c>
      <c r="V26">
        <f>EXP(((-1)/(2*'Cálculos Diversos'!$B$5))*(SQRT(SUMXMY2('Tabela Entrada-saída'!$B$26:$W$26,'coordenadas dos Polos'!$QV$2:$RQ$2)))^2)</f>
        <v>1.3584314765046835E-7</v>
      </c>
      <c r="W26">
        <f>EXP(((-1)/(2*'Cálculos Diversos'!$B$5))*(SQRT(SUMXMY2('Tabela Entrada-saída'!$B$26:$W$26,'coordenadas dos Polos'!$RR$2:$SM$2)))^2)</f>
        <v>6.7058489512974043E-9</v>
      </c>
      <c r="X26">
        <v>1</v>
      </c>
    </row>
    <row r="27" spans="1:24">
      <c r="A27">
        <v>26</v>
      </c>
      <c r="B27">
        <f>EXP(((-1)/(2*'Cálculos Diversos'!$B$5))*(SQRT(SUMXMY2('Tabela Entrada-saída'!$B$27:$W$27,'coordenadas dos Polos'!$X$2:$AS$2)))^2)</f>
        <v>0.87544287519556419</v>
      </c>
      <c r="C27">
        <f>EXP(((-1)/(2*'Cálculos Diversos'!$B$5))*(SQRT(SUMXMY2('Tabela Entrada-saída'!$B$27:$W$27,'coordenadas dos Polos'!$AT$2:$BO$2)))^2)</f>
        <v>7.7163608733175997E-10</v>
      </c>
      <c r="D27">
        <f>EXP(((-1)/(2*'Cálculos Diversos'!$B$5))*(SQRT(SUMXMY2('Tabela Entrada-saída'!$B$27:$W$27,'coordenadas dos Polos'!$BP$2:$CK$2)))^2)</f>
        <v>1.1194198878740536E-9</v>
      </c>
      <c r="E27">
        <f>EXP(((-1)/(2*'Cálculos Diversos'!$B$5))*(SQRT(SUMXMY2('Tabela Entrada-saída'!$B$27:$W$27,'coordenadas dos Polos'!$CL$2:$DG$2)))^2)</f>
        <v>3.8989884879721123E-6</v>
      </c>
      <c r="F27">
        <f>EXP(((-1)/(2*'Cálculos Diversos'!$B$5))*(SQRT(SUMXMY2('Tabela Entrada-saída'!$B$27:$W$27,'coordenadas dos Polos'!$DH$2:$EC$2)))^2)</f>
        <v>6.3320808169762262E-9</v>
      </c>
      <c r="G27">
        <f>EXP(((-1)/(2*'Cálculos Diversos'!$B$5))*(SQRT(SUMXMY2('Tabela Entrada-saída'!$B$27:$W$27,'coordenadas dos Polos'!$ED$2:$EY$2)))^2)</f>
        <v>3.6311543719041812E-6</v>
      </c>
      <c r="H27">
        <f>EXP(((-1)/(2*'Cálculos Diversos'!$B$5))*(SQRT(SUMXMY2('Tabela Entrada-saída'!$B$27:$W$27,'coordenadas dos Polos'!$EZ$2:$FU$2)))^2)</f>
        <v>4.6966796817083852E-6</v>
      </c>
      <c r="I27">
        <f>EXP(((-1)/(2*'Cálculos Diversos'!$B$5))*(SQRT(SUMXMY2('Tabela Entrada-saída'!$B$27:$W$27,'coordenadas dos Polos'!$FV$2:$GQ$2)))^2)</f>
        <v>4.1972786880717683E-7</v>
      </c>
      <c r="J27">
        <f>EXP(((-1)/(2*'Cálculos Diversos'!$B$5))*(SQRT(SUMXMY2('Tabela Entrada-saída'!$B$27:$W$27,'coordenadas dos Polos'!$GR$2:$HM$2)))^2)</f>
        <v>5.4585189429494797E-6</v>
      </c>
      <c r="K27">
        <f>EXP(((-1)/(2*'Cálculos Diversos'!$B$5))*(SQRT(SUMXMY2('Tabela Entrada-saída'!$B$27:$W$27,'coordenadas dos Polos'!$HN$2:$II$2)))^2)</f>
        <v>3.3056958802038195E-9</v>
      </c>
      <c r="L27">
        <f>EXP(((-1)/(2*'Cálculos Diversos'!$B$5))*(SQRT(SUMXMY2('Tabela Entrada-saída'!$B$27:$W$27,'coordenadas dos Polos'!$IJ$2:$JE$2)))^2)</f>
        <v>4.2683196190955979E-7</v>
      </c>
      <c r="M27">
        <f>EXP(((-1)/(2*'Cálculos Diversos'!$B$5))*(SQRT(SUMXMY2('Tabela Entrada-saída'!$B$27:$W$27,'coordenadas dos Polos'!$JF$2:$KA$2)))^2)</f>
        <v>2.8435298889669196E-7</v>
      </c>
      <c r="N27">
        <f>EXP(((-1)/(2*'Cálculos Diversos'!$B$5))*(SQRT(SUMXMY2('Tabela Entrada-saída'!$B$27:$W$27,'coordenadas dos Polos'!$KB$2:$KW$2)))^2)</f>
        <v>8.0698262614571915E-9</v>
      </c>
      <c r="O27">
        <f>EXP(((-1)/(2*'Cálculos Diversos'!$B$5))*(SQRT(SUMXMY2('Tabela Entrada-saída'!$B$27:$W$27,'coordenadas dos Polos'!$KX$2:$LS$2)))^2)</f>
        <v>1.970473079505715E-6</v>
      </c>
      <c r="P27">
        <f>EXP(((-1)/(2*'Cálculos Diversos'!$B$5))*(SQRT(SUMXMY2('Tabela Entrada-saída'!$B$27:$W$27,'coordenadas dos Polos'!$LT$2:$MO$2)))^2)</f>
        <v>9.6517022531326814E-10</v>
      </c>
      <c r="Q27">
        <f>EXP(((-1)/(2*'Cálculos Diversos'!$B$5))*(SQRT(SUMXMY2('Tabela Entrada-saída'!$B$27:$W$27,'coordenadas dos Polos'!$MP$2:$NK$2)))^2)</f>
        <v>3.52677864715963E-8</v>
      </c>
      <c r="R27">
        <f>EXP(((-1)/(2*'Cálculos Diversos'!$B$5))*(SQRT(SUMXMY2('Tabela Entrada-saída'!$B$27:$W$27,'coordenadas dos Polos'!$NL$2:$OG$2)))^2)</f>
        <v>4.2089156165382783E-8</v>
      </c>
      <c r="S27">
        <f>EXP(((-1)/(2*'Cálculos Diversos'!$B$5))*(SQRT(SUMXMY2('Tabela Entrada-saída'!$B$27:$W$27,'coordenadas dos Polos'!$OH$2:$PC$2)))^2)</f>
        <v>1.3510420119452581E-9</v>
      </c>
      <c r="T27">
        <f>EXP(((-1)/(2*'Cálculos Diversos'!$B$5))*(SQRT(SUMXMY2('Tabela Entrada-saída'!$B$27:$W$27,'coordenadas dos Polos'!$PD$2:$PY$2)))^2)</f>
        <v>8.2192319222794128E-8</v>
      </c>
      <c r="U27">
        <f>EXP(((-1)/(2*'Cálculos Diversos'!$B$5))*(SQRT(SUMXMY2('Tabela Entrada-saída'!$B$27:$W$27,'coordenadas dos Polos'!$PZ$2:$QU$2)))^2)</f>
        <v>1.2400700346165391E-7</v>
      </c>
      <c r="V27">
        <f>EXP(((-1)/(2*'Cálculos Diversos'!$B$5))*(SQRT(SUMXMY2('Tabela Entrada-saída'!$B$27:$W$27,'coordenadas dos Polos'!$QV$2:$RQ$2)))^2)</f>
        <v>1.5785934483479482E-7</v>
      </c>
      <c r="W27">
        <f>EXP(((-1)/(2*'Cálculos Diversos'!$B$5))*(SQRT(SUMXMY2('Tabela Entrada-saída'!$B$27:$W$27,'coordenadas dos Polos'!$RR$2:$SM$2)))^2)</f>
        <v>7.6477312923168243E-9</v>
      </c>
      <c r="X27">
        <v>1</v>
      </c>
    </row>
    <row r="28" spans="1:24">
      <c r="A28">
        <v>27</v>
      </c>
      <c r="B28">
        <f>EXP(((-1)/(2*'Cálculos Diversos'!$B$5))*(SQRT(SUMXMY2('Tabela Entrada-saída'!$B$28:$W$28,'coordenadas dos Polos'!$X$2:$AS$2)))^2)</f>
        <v>0.21896228168770832</v>
      </c>
      <c r="C28">
        <f>EXP(((-1)/(2*'Cálculos Diversos'!$B$5))*(SQRT(SUMXMY2('Tabela Entrada-saída'!$B$28:$W$28,'coordenadas dos Polos'!$AT$2:$BO$2)))^2)</f>
        <v>1.3098315884277975E-9</v>
      </c>
      <c r="D28">
        <f>EXP(((-1)/(2*'Cálculos Diversos'!$B$5))*(SQRT(SUMXMY2('Tabela Entrada-saída'!$B$28:$W$28,'coordenadas dos Polos'!$BP$2:$CK$2)))^2)</f>
        <v>3.2909116579971658E-10</v>
      </c>
      <c r="E28">
        <f>EXP(((-1)/(2*'Cálculos Diversos'!$B$5))*(SQRT(SUMXMY2('Tabela Entrada-saída'!$B$28:$W$28,'coordenadas dos Polos'!$CL$2:$DG$2)))^2)</f>
        <v>4.9486181886751783E-6</v>
      </c>
      <c r="F28">
        <f>EXP(((-1)/(2*'Cálculos Diversos'!$B$5))*(SQRT(SUMXMY2('Tabela Entrada-saída'!$B$28:$W$28,'coordenadas dos Polos'!$DH$2:$EC$2)))^2)</f>
        <v>2.7535181095291219E-9</v>
      </c>
      <c r="G28">
        <f>EXP(((-1)/(2*'Cálculos Diversos'!$B$5))*(SQRT(SUMXMY2('Tabela Entrada-saída'!$B$28:$W$28,'coordenadas dos Polos'!$ED$2:$EY$2)))^2)</f>
        <v>5.80824587301919E-6</v>
      </c>
      <c r="H28">
        <f>EXP(((-1)/(2*'Cálculos Diversos'!$B$5))*(SQRT(SUMXMY2('Tabela Entrada-saída'!$B$28:$W$28,'coordenadas dos Polos'!$EZ$2:$FU$2)))^2)</f>
        <v>4.860736426160083E-6</v>
      </c>
      <c r="I28">
        <f>EXP(((-1)/(2*'Cálculos Diversos'!$B$5))*(SQRT(SUMXMY2('Tabela Entrada-saída'!$B$28:$W$28,'coordenadas dos Polos'!$FV$2:$GQ$2)))^2)</f>
        <v>3.7528474038975702E-7</v>
      </c>
      <c r="J28">
        <f>EXP(((-1)/(2*'Cálculos Diversos'!$B$5))*(SQRT(SUMXMY2('Tabela Entrada-saída'!$B$28:$W$28,'coordenadas dos Polos'!$GR$2:$HM$2)))^2)</f>
        <v>3.0327727688192756E-6</v>
      </c>
      <c r="K28">
        <f>EXP(((-1)/(2*'Cálculos Diversos'!$B$5))*(SQRT(SUMXMY2('Tabela Entrada-saída'!$B$28:$W$28,'coordenadas dos Polos'!$HN$2:$II$2)))^2)</f>
        <v>5.0786461536121266E-9</v>
      </c>
      <c r="L28">
        <f>EXP(((-1)/(2*'Cálculos Diversos'!$B$5))*(SQRT(SUMXMY2('Tabela Entrada-saída'!$B$28:$W$28,'coordenadas dos Polos'!$IJ$2:$JE$2)))^2)</f>
        <v>1.6336087542035968E-6</v>
      </c>
      <c r="M28">
        <f>EXP(((-1)/(2*'Cálculos Diversos'!$B$5))*(SQRT(SUMXMY2('Tabela Entrada-saída'!$B$28:$W$28,'coordenadas dos Polos'!$JF$2:$KA$2)))^2)</f>
        <v>1.3301582137369295E-7</v>
      </c>
      <c r="N28">
        <f>EXP(((-1)/(2*'Cálculos Diversos'!$B$5))*(SQRT(SUMXMY2('Tabela Entrada-saída'!$B$28:$W$28,'coordenadas dos Polos'!$KB$2:$KW$2)))^2)</f>
        <v>2.467678203971116E-9</v>
      </c>
      <c r="O28">
        <f>EXP(((-1)/(2*'Cálculos Diversos'!$B$5))*(SQRT(SUMXMY2('Tabela Entrada-saída'!$B$28:$W$28,'coordenadas dos Polos'!$KX$2:$LS$2)))^2)</f>
        <v>3.5958448414878159E-6</v>
      </c>
      <c r="P28">
        <f>EXP(((-1)/(2*'Cálculos Diversos'!$B$5))*(SQRT(SUMXMY2('Tabela Entrada-saída'!$B$28:$W$28,'coordenadas dos Polos'!$LT$2:$MO$2)))^2)</f>
        <v>9.9805179469491792E-10</v>
      </c>
      <c r="Q28">
        <f>EXP(((-1)/(2*'Cálculos Diversos'!$B$5))*(SQRT(SUMXMY2('Tabela Entrada-saída'!$B$28:$W$28,'coordenadas dos Polos'!$MP$2:$NK$2)))^2)</f>
        <v>5.573104430869434E-8</v>
      </c>
      <c r="R28">
        <f>EXP(((-1)/(2*'Cálculos Diversos'!$B$5))*(SQRT(SUMXMY2('Tabela Entrada-saída'!$B$28:$W$28,'coordenadas dos Polos'!$NL$2:$OG$2)))^2)</f>
        <v>2.657211818196504E-8</v>
      </c>
      <c r="S28">
        <f>EXP(((-1)/(2*'Cálculos Diversos'!$B$5))*(SQRT(SUMXMY2('Tabela Entrada-saída'!$B$28:$W$28,'coordenadas dos Polos'!$OH$2:$PC$2)))^2)</f>
        <v>7.7266421653048799E-10</v>
      </c>
      <c r="T28">
        <f>EXP(((-1)/(2*'Cálculos Diversos'!$B$5))*(SQRT(SUMXMY2('Tabela Entrada-saída'!$B$28:$W$28,'coordenadas dos Polos'!$PD$2:$PY$2)))^2)</f>
        <v>1.0276180270223648E-7</v>
      </c>
      <c r="U28">
        <f>EXP(((-1)/(2*'Cálculos Diversos'!$B$5))*(SQRT(SUMXMY2('Tabela Entrada-saída'!$B$28:$W$28,'coordenadas dos Polos'!$PZ$2:$QU$2)))^2)</f>
        <v>1.1584968138205956E-7</v>
      </c>
      <c r="V28">
        <f>EXP(((-1)/(2*'Cálculos Diversos'!$B$5))*(SQRT(SUMXMY2('Tabela Entrada-saída'!$B$28:$W$28,'coordenadas dos Polos'!$QV$2:$RQ$2)))^2)</f>
        <v>6.9421552239823324E-8</v>
      </c>
      <c r="W28">
        <f>EXP(((-1)/(2*'Cálculos Diversos'!$B$5))*(SQRT(SUMXMY2('Tabela Entrada-saída'!$B$28:$W$28,'coordenadas dos Polos'!$RR$2:$SM$2)))^2)</f>
        <v>3.5434232145852145E-9</v>
      </c>
      <c r="X28">
        <v>1</v>
      </c>
    </row>
    <row r="29" spans="1:24">
      <c r="A29">
        <v>28</v>
      </c>
      <c r="B29">
        <f>EXP(((-1)/(2*'Cálculos Diversos'!$B$5))*(SQRT(SUMXMY2('Tabela Entrada-saída'!$B$29:$W$29,'coordenadas dos Polos'!$X$2:$AS$2)))^2)</f>
        <v>0.5291717818639583</v>
      </c>
      <c r="C29">
        <f>EXP(((-1)/(2*'Cálculos Diversos'!$B$5))*(SQRT(SUMXMY2('Tabela Entrada-saída'!$B$29:$W$29,'coordenadas dos Polos'!$AT$2:$BO$2)))^2)</f>
        <v>1.1684976354958699E-9</v>
      </c>
      <c r="D29">
        <f>EXP(((-1)/(2*'Cálculos Diversos'!$B$5))*(SQRT(SUMXMY2('Tabela Entrada-saída'!$B$29:$W$29,'coordenadas dos Polos'!$BP$2:$CK$2)))^2)</f>
        <v>7.6804695249252908E-10</v>
      </c>
      <c r="E29">
        <f>EXP(((-1)/(2*'Cálculos Diversos'!$B$5))*(SQRT(SUMXMY2('Tabela Entrada-saída'!$B$29:$W$29,'coordenadas dos Polos'!$CL$2:$DG$2)))^2)</f>
        <v>5.3551716734020586E-6</v>
      </c>
      <c r="F29">
        <f>EXP(((-1)/(2*'Cálculos Diversos'!$B$5))*(SQRT(SUMXMY2('Tabela Entrada-saída'!$B$29:$W$29,'coordenadas dos Polos'!$DH$2:$EC$2)))^2)</f>
        <v>5.4219458695073481E-9</v>
      </c>
      <c r="G29">
        <f>EXP(((-1)/(2*'Cálculos Diversos'!$B$5))*(SQRT(SUMXMY2('Tabela Entrada-saída'!$B$29:$W$29,'coordenadas dos Polos'!$ED$2:$EY$2)))^2)</f>
        <v>5.6574806034926374E-6</v>
      </c>
      <c r="H29">
        <f>EXP(((-1)/(2*'Cálculos Diversos'!$B$5))*(SQRT(SUMXMY2('Tabela Entrada-saída'!$B$29:$W$29,'coordenadas dos Polos'!$EZ$2:$FU$2)))^2)</f>
        <v>5.6183515444941606E-6</v>
      </c>
      <c r="I29">
        <f>EXP(((-1)/(2*'Cálculos Diversos'!$B$5))*(SQRT(SUMXMY2('Tabela Entrada-saída'!$B$29:$W$29,'coordenadas dos Polos'!$FV$2:$GQ$2)))^2)</f>
        <v>4.8391444263187812E-7</v>
      </c>
      <c r="J29">
        <f>EXP(((-1)/(2*'Cálculos Diversos'!$B$5))*(SQRT(SUMXMY2('Tabela Entrada-saída'!$B$29:$W$29,'coordenadas dos Polos'!$GR$2:$HM$2)))^2)</f>
        <v>4.8831259301012498E-6</v>
      </c>
      <c r="K29">
        <f>EXP(((-1)/(2*'Cálculos Diversos'!$B$5))*(SQRT(SUMXMY2('Tabela Entrada-saída'!$B$29:$W$29,'coordenadas dos Polos'!$HN$2:$II$2)))^2)</f>
        <v>5.100001333240663E-9</v>
      </c>
      <c r="L29">
        <f>EXP(((-1)/(2*'Cálculos Diversos'!$B$5))*(SQRT(SUMXMY2('Tabela Entrada-saída'!$B$29:$W$29,'coordenadas dos Polos'!$IJ$2:$JE$2)))^2)</f>
        <v>1.0431016832636215E-6</v>
      </c>
      <c r="M29">
        <f>EXP(((-1)/(2*'Cálculos Diversos'!$B$5))*(SQRT(SUMXMY2('Tabela Entrada-saída'!$B$29:$W$29,'coordenadas dos Polos'!$JF$2:$KA$2)))^2)</f>
        <v>2.3456855625850044E-7</v>
      </c>
      <c r="N29">
        <f>EXP(((-1)/(2*'Cálculos Diversos'!$B$5))*(SQRT(SUMXMY2('Tabela Entrada-saída'!$B$29:$W$29,'coordenadas dos Polos'!$KB$2:$KW$2)))^2)</f>
        <v>5.1720057109868512E-9</v>
      </c>
      <c r="O29">
        <f>EXP(((-1)/(2*'Cálculos Diversos'!$B$5))*(SQRT(SUMXMY2('Tabela Entrada-saída'!$B$29:$W$29,'coordenadas dos Polos'!$KX$2:$LS$2)))^2)</f>
        <v>3.2509173298147866E-6</v>
      </c>
      <c r="P29">
        <f>EXP(((-1)/(2*'Cálculos Diversos'!$B$5))*(SQRT(SUMXMY2('Tabela Entrada-saída'!$B$29:$W$29,'coordenadas dos Polos'!$LT$2:$MO$2)))^2)</f>
        <v>1.2294548738654104E-9</v>
      </c>
      <c r="Q29">
        <f>EXP(((-1)/(2*'Cálculos Diversos'!$B$5))*(SQRT(SUMXMY2('Tabela Entrada-saída'!$B$29:$W$29,'coordenadas dos Polos'!$MP$2:$NK$2)))^2)</f>
        <v>4.799046802479041E-8</v>
      </c>
      <c r="R29">
        <f>EXP(((-1)/(2*'Cálculos Diversos'!$B$5))*(SQRT(SUMXMY2('Tabela Entrada-saída'!$B$29:$W$29,'coordenadas dos Polos'!$NL$2:$OG$2)))^2)</f>
        <v>4.6032508563118642E-8</v>
      </c>
      <c r="S29">
        <f>EXP(((-1)/(2*'Cálculos Diversos'!$B$5))*(SQRT(SUMXMY2('Tabela Entrada-saída'!$B$29:$W$29,'coordenadas dos Polos'!$OH$2:$PC$2)))^2)</f>
        <v>1.3373212807347208E-9</v>
      </c>
      <c r="T29">
        <f>EXP(((-1)/(2*'Cálculos Diversos'!$B$5))*(SQRT(SUMXMY2('Tabela Entrada-saída'!$B$29:$W$29,'coordenadas dos Polos'!$PD$2:$PY$2)))^2)</f>
        <v>1.1149057746875101E-7</v>
      </c>
      <c r="U29">
        <f>EXP(((-1)/(2*'Cálculos Diversos'!$B$5))*(SQRT(SUMXMY2('Tabela Entrada-saída'!$B$29:$W$29,'coordenadas dos Polos'!$PZ$2:$QU$2)))^2)</f>
        <v>1.5179136508529758E-7</v>
      </c>
      <c r="V29">
        <f>EXP(((-1)/(2*'Cálculos Diversos'!$B$5))*(SQRT(SUMXMY2('Tabela Entrada-saída'!$B$29:$W$29,'coordenadas dos Polos'!$QV$2:$RQ$2)))^2)</f>
        <v>1.2853626331883086E-7</v>
      </c>
      <c r="W29">
        <f>EXP(((-1)/(2*'Cálculos Diversos'!$B$5))*(SQRT(SUMXMY2('Tabela Entrada-saída'!$B$29:$W$29,'coordenadas dos Polos'!$RR$2:$SM$2)))^2)</f>
        <v>6.2451492396255945E-9</v>
      </c>
      <c r="X29">
        <v>1</v>
      </c>
    </row>
    <row r="30" spans="1:24">
      <c r="A30">
        <v>29</v>
      </c>
      <c r="B30">
        <f>EXP(((-1)/(2*'Cálculos Diversos'!$B$5))*(SQRT(SUMXMY2('Tabela Entrada-saída'!$B$30:$W$30,'coordenadas dos Polos'!$X$2:$AS$2)))^2)</f>
        <v>0.12569397726076204</v>
      </c>
      <c r="C30">
        <f>EXP(((-1)/(2*'Cálculos Diversos'!$B$5))*(SQRT(SUMXMY2('Tabela Entrada-saída'!$B$30:$W$30,'coordenadas dos Polos'!$AT$2:$BO$2)))^2)</f>
        <v>1.0852924039078781E-9</v>
      </c>
      <c r="D30">
        <f>EXP(((-1)/(2*'Cálculos Diversos'!$B$5))*(SQRT(SUMXMY2('Tabela Entrada-saída'!$B$30:$W$30,'coordenadas dos Polos'!$BP$2:$CK$2)))^2)</f>
        <v>1.8353472658053243E-10</v>
      </c>
      <c r="E30">
        <f>EXP(((-1)/(2*'Cálculos Diversos'!$B$5))*(SQRT(SUMXMY2('Tabela Entrada-saída'!$B$30:$W$30,'coordenadas dos Polos'!$CL$2:$DG$2)))^2)</f>
        <v>3.5996705319531619E-6</v>
      </c>
      <c r="F30">
        <f>EXP(((-1)/(2*'Cálculos Diversos'!$B$5))*(SQRT(SUMXMY2('Tabela Entrada-saída'!$B$30:$W$30,'coordenadas dos Polos'!$DH$2:$EC$2)))^2)</f>
        <v>1.6893763621041586E-9</v>
      </c>
      <c r="G30">
        <f>EXP(((-1)/(2*'Cálculos Diversos'!$B$5))*(SQRT(SUMXMY2('Tabela Entrada-saída'!$B$30:$W$30,'coordenadas dos Polos'!$ED$2:$EY$2)))^2)</f>
        <v>5.2024390079617781E-6</v>
      </c>
      <c r="H30">
        <f>EXP(((-1)/(2*'Cálculos Diversos'!$B$5))*(SQRT(SUMXMY2('Tabela Entrada-saída'!$B$30:$W$30,'coordenadas dos Polos'!$EZ$2:$FU$2)))^2)</f>
        <v>3.3511640110584561E-6</v>
      </c>
      <c r="I30">
        <f>EXP(((-1)/(2*'Cálculos Diversos'!$B$5))*(SQRT(SUMXMY2('Tabela Entrada-saída'!$B$30:$W$30,'coordenadas dos Polos'!$FV$2:$GQ$2)))^2)</f>
        <v>2.7557689279137932E-7</v>
      </c>
      <c r="J30">
        <f>EXP(((-1)/(2*'Cálculos Diversos'!$B$5))*(SQRT(SUMXMY2('Tabela Entrada-saída'!$B$30:$W$30,'coordenadas dos Polos'!$GR$2:$HM$2)))^2)</f>
        <v>1.7860498193336235E-6</v>
      </c>
      <c r="K30">
        <f>EXP(((-1)/(2*'Cálculos Diversos'!$B$5))*(SQRT(SUMXMY2('Tabela Entrada-saída'!$B$30:$W$30,'coordenadas dos Polos'!$HN$2:$II$2)))^2)</f>
        <v>3.8952232313344051E-9</v>
      </c>
      <c r="L30">
        <f>EXP(((-1)/(2*'Cálculos Diversos'!$B$5))*(SQRT(SUMXMY2('Tabela Entrada-saída'!$B$30:$W$30,'coordenadas dos Polos'!$IJ$2:$JE$2)))^2)</f>
        <v>1.676216367997191E-6</v>
      </c>
      <c r="M30">
        <f>EXP(((-1)/(2*'Cálculos Diversos'!$B$5))*(SQRT(SUMXMY2('Tabela Entrada-saída'!$B$30:$W$30,'coordenadas dos Polos'!$JF$2:$KA$2)))^2)</f>
        <v>8.2223394805378799E-8</v>
      </c>
      <c r="N30">
        <f>EXP(((-1)/(2*'Cálculos Diversos'!$B$5))*(SQRT(SUMXMY2('Tabela Entrada-saída'!$B$30:$W$30,'coordenadas dos Polos'!$KB$2:$KW$2)))^2)</f>
        <v>1.2910758730371968E-9</v>
      </c>
      <c r="O30">
        <f>EXP(((-1)/(2*'Cálculos Diversos'!$B$5))*(SQRT(SUMXMY2('Tabela Entrada-saída'!$B$30:$W$30,'coordenadas dos Polos'!$KX$2:$LS$2)))^2)</f>
        <v>3.086733628503127E-6</v>
      </c>
      <c r="P30">
        <f>EXP(((-1)/(2*'Cálculos Diversos'!$B$5))*(SQRT(SUMXMY2('Tabela Entrada-saída'!$B$30:$W$30,'coordenadas dos Polos'!$LT$2:$MO$2)))^2)</f>
        <v>7.6729934263534985E-10</v>
      </c>
      <c r="Q30">
        <f>EXP(((-1)/(2*'Cálculos Diversos'!$B$5))*(SQRT(SUMXMY2('Tabela Entrada-saída'!$B$30:$W$30,'coordenadas dos Polos'!$MP$2:$NK$2)))^2)</f>
        <v>4.3306140333388061E-8</v>
      </c>
      <c r="R30">
        <f>EXP(((-1)/(2*'Cálculos Diversos'!$B$5))*(SQRT(SUMXMY2('Tabela Entrada-saída'!$B$30:$W$30,'coordenadas dos Polos'!$NL$2:$OG$2)))^2)</f>
        <v>1.8105955409274487E-8</v>
      </c>
      <c r="S30">
        <f>EXP(((-1)/(2*'Cálculos Diversos'!$B$5))*(SQRT(SUMXMY2('Tabela Entrada-saída'!$B$30:$W$30,'coordenadas dos Polos'!$OH$2:$PC$2)))^2)</f>
        <v>5.0908480340105632E-10</v>
      </c>
      <c r="T30">
        <f>EXP(((-1)/(2*'Cálculos Diversos'!$B$5))*(SQRT(SUMXMY2('Tabela Entrada-saída'!$B$30:$W$30,'coordenadas dos Polos'!$PD$2:$PY$2)))^2)</f>
        <v>8.2467378030503894E-8</v>
      </c>
      <c r="U30">
        <f>EXP(((-1)/(2*'Cálculos Diversos'!$B$5))*(SQRT(SUMXMY2('Tabela Entrada-saída'!$B$30:$W$30,'coordenadas dos Polos'!$PZ$2:$QU$2)))^2)</f>
        <v>9.0666487668719614E-8</v>
      </c>
      <c r="V30">
        <f>EXP(((-1)/(2*'Cálculos Diversos'!$B$5))*(SQRT(SUMXMY2('Tabela Entrada-saída'!$B$30:$W$30,'coordenadas dos Polos'!$QV$2:$RQ$2)))^2)</f>
        <v>4.0380280702502628E-8</v>
      </c>
      <c r="W30">
        <f>EXP(((-1)/(2*'Cálculos Diversos'!$B$5))*(SQRT(SUMXMY2('Tabela Entrada-saída'!$B$30:$W$30,'coordenadas dos Polos'!$RR$2:$SM$2)))^2)</f>
        <v>1.9682748817480825E-9</v>
      </c>
      <c r="X30">
        <v>1</v>
      </c>
    </row>
    <row r="31" spans="1:24">
      <c r="A31">
        <v>30</v>
      </c>
      <c r="B31">
        <f>EXP(((-1)/(2*'Cálculos Diversos'!$B$5))*(SQRT(SUMXMY2('Tabela Entrada-saída'!$B$31:$W$31,'coordenadas dos Polos'!$X$2:$AS$2)))^2)</f>
        <v>0.87575682937270949</v>
      </c>
      <c r="C31">
        <f>EXP(((-1)/(2*'Cálculos Diversos'!$B$5))*(SQRT(SUMXMY2('Tabela Entrada-saída'!$B$31:$W$31,'coordenadas dos Polos'!$AT$2:$BO$2)))^2)</f>
        <v>6.88664767877288E-10</v>
      </c>
      <c r="D31">
        <f>EXP(((-1)/(2*'Cálculos Diversos'!$B$5))*(SQRT(SUMXMY2('Tabela Entrada-saída'!$B$31:$W$31,'coordenadas dos Polos'!$BP$2:$CK$2)))^2)</f>
        <v>1.0499924575013134E-9</v>
      </c>
      <c r="E31">
        <f>EXP(((-1)/(2*'Cálculos Diversos'!$B$5))*(SQRT(SUMXMY2('Tabela Entrada-saída'!$B$31:$W$31,'coordenadas dos Polos'!$CL$2:$DG$2)))^2)</f>
        <v>3.7490365842650956E-6</v>
      </c>
      <c r="F31">
        <f>EXP(((-1)/(2*'Cálculos Diversos'!$B$5))*(SQRT(SUMXMY2('Tabela Entrada-saída'!$B$31:$W$31,'coordenadas dos Polos'!$DH$2:$EC$2)))^2)</f>
        <v>6.3252142615490924E-9</v>
      </c>
      <c r="G31">
        <f>EXP(((-1)/(2*'Cálculos Diversos'!$B$5))*(SQRT(SUMXMY2('Tabela Entrada-saída'!$B$31:$W$31,'coordenadas dos Polos'!$ED$2:$EY$2)))^2)</f>
        <v>3.5255058283648924E-6</v>
      </c>
      <c r="H31">
        <f>EXP(((-1)/(2*'Cálculos Diversos'!$B$5))*(SQRT(SUMXMY2('Tabela Entrada-saída'!$B$31:$W$31,'coordenadas dos Polos'!$EZ$2:$FU$2)))^2)</f>
        <v>4.476172407911836E-6</v>
      </c>
      <c r="I31">
        <f>EXP(((-1)/(2*'Cálculos Diversos'!$B$5))*(SQRT(SUMXMY2('Tabela Entrada-saída'!$B$31:$W$31,'coordenadas dos Polos'!$FV$2:$GQ$2)))^2)</f>
        <v>4.2609840349259965E-7</v>
      </c>
      <c r="J31">
        <f>EXP(((-1)/(2*'Cálculos Diversos'!$B$5))*(SQRT(SUMXMY2('Tabela Entrada-saída'!$B$31:$W$31,'coordenadas dos Polos'!$GR$2:$HM$2)))^2)</f>
        <v>5.2050940871091179E-6</v>
      </c>
      <c r="K31">
        <f>EXP(((-1)/(2*'Cálculos Diversos'!$B$5))*(SQRT(SUMXMY2('Tabela Entrada-saída'!$B$31:$W$31,'coordenadas dos Polos'!$HN$2:$II$2)))^2)</f>
        <v>3.4035267235569002E-9</v>
      </c>
      <c r="L31">
        <f>EXP(((-1)/(2*'Cálculos Diversos'!$B$5))*(SQRT(SUMXMY2('Tabela Entrada-saída'!$B$31:$W$31,'coordenadas dos Polos'!$IJ$2:$JE$2)))^2)</f>
        <v>4.092938608833263E-7</v>
      </c>
      <c r="M31">
        <f>EXP(((-1)/(2*'Cálculos Diversos'!$B$5))*(SQRT(SUMXMY2('Tabela Entrada-saída'!$B$31:$W$31,'coordenadas dos Polos'!$JF$2:$KA$2)))^2)</f>
        <v>2.6963871270602939E-7</v>
      </c>
      <c r="N31">
        <f>EXP(((-1)/(2*'Cálculos Diversos'!$B$5))*(SQRT(SUMXMY2('Tabela Entrada-saída'!$B$31:$W$31,'coordenadas dos Polos'!$KB$2:$KW$2)))^2)</f>
        <v>7.8516183746765378E-9</v>
      </c>
      <c r="O31">
        <f>EXP(((-1)/(2*'Cálculos Diversos'!$B$5))*(SQRT(SUMXMY2('Tabela Entrada-saída'!$B$31:$W$31,'coordenadas dos Polos'!$KX$2:$LS$2)))^2)</f>
        <v>1.8026544960615092E-6</v>
      </c>
      <c r="P31">
        <f>EXP(((-1)/(2*'Cálculos Diversos'!$B$5))*(SQRT(SUMXMY2('Tabela Entrada-saída'!$B$31:$W$31,'coordenadas dos Polos'!$LT$2:$MO$2)))^2)</f>
        <v>1.0045133869315924E-9</v>
      </c>
      <c r="Q31">
        <f>EXP(((-1)/(2*'Cálculos Diversos'!$B$5))*(SQRT(SUMXMY2('Tabela Entrada-saída'!$B$31:$W$31,'coordenadas dos Polos'!$MP$2:$NK$2)))^2)</f>
        <v>3.2941363254853272E-8</v>
      </c>
      <c r="R31">
        <f>EXP(((-1)/(2*'Cálculos Diversos'!$B$5))*(SQRT(SUMXMY2('Tabela Entrada-saída'!$B$31:$W$31,'coordenadas dos Polos'!$NL$2:$OG$2)))^2)</f>
        <v>4.3981597774902418E-8</v>
      </c>
      <c r="S31">
        <f>EXP(((-1)/(2*'Cálculos Diversos'!$B$5))*(SQRT(SUMXMY2('Tabela Entrada-saída'!$B$31:$W$31,'coordenadas dos Polos'!$OH$2:$PC$2)))^2)</f>
        <v>1.3602665341322281E-9</v>
      </c>
      <c r="T31">
        <f>EXP(((-1)/(2*'Cálculos Diversos'!$B$5))*(SQRT(SUMXMY2('Tabela Entrada-saída'!$B$31:$W$31,'coordenadas dos Polos'!$PD$2:$PY$2)))^2)</f>
        <v>7.9748946948228778E-8</v>
      </c>
      <c r="U31">
        <f>EXP(((-1)/(2*'Cálculos Diversos'!$B$5))*(SQRT(SUMXMY2('Tabela Entrada-saída'!$B$31:$W$31,'coordenadas dos Polos'!$PZ$2:$QU$2)))^2)</f>
        <v>1.2254474696762439E-7</v>
      </c>
      <c r="V31">
        <f>EXP(((-1)/(2*'Cálculos Diversos'!$B$5))*(SQRT(SUMXMY2('Tabela Entrada-saída'!$B$31:$W$31,'coordenadas dos Polos'!$QV$2:$RQ$2)))^2)</f>
        <v>1.5347482630139631E-7</v>
      </c>
      <c r="W31">
        <f>EXP(((-1)/(2*'Cálculos Diversos'!$B$5))*(SQRT(SUMXMY2('Tabela Entrada-saída'!$B$31:$W$31,'coordenadas dos Polos'!$RR$2:$SM$2)))^2)</f>
        <v>6.9927505081474776E-9</v>
      </c>
      <c r="X31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D7517-AB85-4C43-84F7-BAACEC821482}">
  <sheetPr codeName="Planilha6"/>
  <dimension ref="A1:AD24"/>
  <sheetViews>
    <sheetView workbookViewId="0">
      <selection activeCell="A2" sqref="A2:AD24"/>
    </sheetView>
  </sheetViews>
  <sheetFormatPr defaultRowHeight="14.4"/>
  <sheetData>
    <row r="1" spans="1:30">
      <c r="A1" t="s">
        <v>20</v>
      </c>
    </row>
    <row r="2" spans="1:30">
      <c r="A2">
        <f t="array" ref="A2:AD24">TRANSPOSE('Matrix (R)'!$B$2:$X$31)</f>
        <v>0.86173974639691697</v>
      </c>
      <c r="B2">
        <v>0.65830972076978744</v>
      </c>
      <c r="C2">
        <v>0.27435779532673299</v>
      </c>
      <c r="D2">
        <v>0.10646724701547554</v>
      </c>
      <c r="E2">
        <v>0.75224303561817274</v>
      </c>
      <c r="F2">
        <v>0.64222258676718724</v>
      </c>
      <c r="G2">
        <v>0.11235025220856582</v>
      </c>
      <c r="H2">
        <v>8.4242402840753641E-2</v>
      </c>
      <c r="I2">
        <v>0.7205626614752717</v>
      </c>
      <c r="J2">
        <v>0.36367493274683993</v>
      </c>
      <c r="K2">
        <v>9.4722084145007379E-2</v>
      </c>
      <c r="L2">
        <v>0.65830972076978744</v>
      </c>
      <c r="M2">
        <v>0.20876540185211526</v>
      </c>
      <c r="N2">
        <v>0.90968256692422267</v>
      </c>
      <c r="O2">
        <v>0.46575796720279267</v>
      </c>
      <c r="P2">
        <v>0.88713448023043284</v>
      </c>
      <c r="Q2">
        <v>0.10017136539580032</v>
      </c>
      <c r="R2">
        <v>0.21911935978278904</v>
      </c>
      <c r="S2">
        <v>0.10620035858448697</v>
      </c>
      <c r="T2">
        <v>0.62607944071164534</v>
      </c>
      <c r="U2">
        <v>0.11868593062910332</v>
      </c>
      <c r="V2">
        <v>0.18067717544139864</v>
      </c>
      <c r="W2">
        <v>0.11263259572352913</v>
      </c>
      <c r="X2">
        <v>0.27406283365201256</v>
      </c>
      <c r="Y2">
        <v>0.75278267606291893</v>
      </c>
      <c r="Z2">
        <v>0.87544287519556419</v>
      </c>
      <c r="AA2">
        <v>0.21896228168770832</v>
      </c>
      <c r="AB2">
        <v>0.5291717818639583</v>
      </c>
      <c r="AC2">
        <v>0.12569397726076204</v>
      </c>
      <c r="AD2">
        <v>0.87575682937270949</v>
      </c>
    </row>
    <row r="3" spans="1:30">
      <c r="A3">
        <v>9.5143344008545201E-10</v>
      </c>
      <c r="B3">
        <v>1.0859158632279109E-9</v>
      </c>
      <c r="C3">
        <v>1.2077608113751208E-9</v>
      </c>
      <c r="D3">
        <v>1.0101345220118534E-9</v>
      </c>
      <c r="E3">
        <v>9.8789371517236427E-10</v>
      </c>
      <c r="F3">
        <v>1.0723005073243409E-9</v>
      </c>
      <c r="G3">
        <v>1.261471546096044E-9</v>
      </c>
      <c r="H3">
        <v>1.1191241074705783E-9</v>
      </c>
      <c r="I3">
        <v>1.0740690068371481E-9</v>
      </c>
      <c r="J3">
        <v>1.352050264150747E-9</v>
      </c>
      <c r="K3">
        <v>1.187149137639615E-9</v>
      </c>
      <c r="L3">
        <v>1.1203674802778161E-9</v>
      </c>
      <c r="M3">
        <v>1.3758916957620154E-9</v>
      </c>
      <c r="N3">
        <v>6.6480089810918682E-10</v>
      </c>
      <c r="O3">
        <v>1.3958426475912892E-9</v>
      </c>
      <c r="P3">
        <v>7.3413455685154211E-10</v>
      </c>
      <c r="Q3">
        <v>1.488287821894102E-9</v>
      </c>
      <c r="R3">
        <v>1.3032439897222567E-9</v>
      </c>
      <c r="S3">
        <v>1.2862103775477007E-9</v>
      </c>
      <c r="T3">
        <v>1.0713525649042983E-9</v>
      </c>
      <c r="U3">
        <v>1.4118042896378478E-9</v>
      </c>
      <c r="V3">
        <v>1.3174899127190754E-9</v>
      </c>
      <c r="W3">
        <v>1.078586233394235E-9</v>
      </c>
      <c r="X3">
        <v>1.4372355031292998E-9</v>
      </c>
      <c r="Y3">
        <v>8.5297203694145211E-10</v>
      </c>
      <c r="Z3">
        <v>7.7163608733175997E-10</v>
      </c>
      <c r="AA3">
        <v>1.3098315884277975E-9</v>
      </c>
      <c r="AB3">
        <v>1.1684976354958699E-9</v>
      </c>
      <c r="AC3">
        <v>1.0852924039078781E-9</v>
      </c>
      <c r="AD3">
        <v>6.88664767877288E-10</v>
      </c>
    </row>
    <row r="4" spans="1:30">
      <c r="A4">
        <v>1.3037665274927419E-9</v>
      </c>
      <c r="B4">
        <v>8.8182357152763296E-10</v>
      </c>
      <c r="C4">
        <v>3.7360564261098664E-10</v>
      </c>
      <c r="D4">
        <v>1.4211636456862424E-10</v>
      </c>
      <c r="E4">
        <v>9.6936629498345646E-10</v>
      </c>
      <c r="F4">
        <v>8.908823528347811E-10</v>
      </c>
      <c r="G4">
        <v>2.0824702328899478E-10</v>
      </c>
      <c r="H4">
        <v>1.4374777173532211E-10</v>
      </c>
      <c r="I4">
        <v>1.1540001679343334E-9</v>
      </c>
      <c r="J4">
        <v>5.6495197807622019E-10</v>
      </c>
      <c r="K4">
        <v>1.5704056834641455E-10</v>
      </c>
      <c r="L4">
        <v>9.2974266207821994E-10</v>
      </c>
      <c r="M4">
        <v>3.4406428923210614E-10</v>
      </c>
      <c r="N4">
        <v>1.1262637532886993E-9</v>
      </c>
      <c r="O4">
        <v>7.5332774073887338E-10</v>
      </c>
      <c r="P4">
        <v>1.1270071254073465E-9</v>
      </c>
      <c r="Q4">
        <v>2.0033107599536884E-10</v>
      </c>
      <c r="R4">
        <v>3.4845781091604247E-10</v>
      </c>
      <c r="S4">
        <v>1.8660804473581027E-10</v>
      </c>
      <c r="T4">
        <v>9.0058221593407246E-10</v>
      </c>
      <c r="U4">
        <v>2.273164394795388E-10</v>
      </c>
      <c r="V4">
        <v>2.9649549723250883E-10</v>
      </c>
      <c r="W4">
        <v>1.4938080875647493E-10</v>
      </c>
      <c r="X4">
        <v>4.1872840851285164E-10</v>
      </c>
      <c r="Y4">
        <v>9.1098580377024733E-10</v>
      </c>
      <c r="Z4">
        <v>1.1194198878740536E-9</v>
      </c>
      <c r="AA4">
        <v>3.2909116579971658E-10</v>
      </c>
      <c r="AB4">
        <v>7.6804695249252908E-10</v>
      </c>
      <c r="AC4">
        <v>1.8353472658053243E-10</v>
      </c>
      <c r="AD4">
        <v>1.0499924575013134E-9</v>
      </c>
    </row>
    <row r="5" spans="1:30">
      <c r="A5">
        <v>4.4400533202547317E-6</v>
      </c>
      <c r="B5">
        <v>4.4886262112322158E-6</v>
      </c>
      <c r="C5">
        <v>4.455416842438329E-6</v>
      </c>
      <c r="D5">
        <v>3.2044677753379971E-6</v>
      </c>
      <c r="E5">
        <v>4.9061168491386364E-6</v>
      </c>
      <c r="F5">
        <v>5.2151272033549703E-6</v>
      </c>
      <c r="G5">
        <v>3.9412562382668591E-6</v>
      </c>
      <c r="H5">
        <v>3.5345317129266266E-6</v>
      </c>
      <c r="I5">
        <v>5.2288802145604009E-6</v>
      </c>
      <c r="J5">
        <v>5.0049940428798476E-6</v>
      </c>
      <c r="K5">
        <v>3.6327166331965193E-6</v>
      </c>
      <c r="L5">
        <v>4.9044446799240138E-6</v>
      </c>
      <c r="M5">
        <v>4.8963453701087955E-6</v>
      </c>
      <c r="N5">
        <v>3.2436261488735207E-6</v>
      </c>
      <c r="O5">
        <v>5.8994032190226536E-6</v>
      </c>
      <c r="P5">
        <v>3.5315255415697709E-6</v>
      </c>
      <c r="Q5">
        <v>3.9532001150217546E-6</v>
      </c>
      <c r="R5">
        <v>4.4419214242982145E-6</v>
      </c>
      <c r="S5">
        <v>3.7129520592603958E-6</v>
      </c>
      <c r="T5">
        <v>5.1809256862527547E-6</v>
      </c>
      <c r="U5">
        <v>4.4689056130366846E-6</v>
      </c>
      <c r="V5">
        <v>4.3357424288308834E-6</v>
      </c>
      <c r="W5">
        <v>3.2597209408686272E-6</v>
      </c>
      <c r="X5">
        <v>4.834380010150422E-6</v>
      </c>
      <c r="Y5">
        <v>4.1067473807216597E-6</v>
      </c>
      <c r="Z5">
        <v>3.8989884879721123E-6</v>
      </c>
      <c r="AA5">
        <v>4.9486181886751783E-6</v>
      </c>
      <c r="AB5">
        <v>5.3551716734020586E-6</v>
      </c>
      <c r="AC5">
        <v>3.5996705319531619E-6</v>
      </c>
      <c r="AD5">
        <v>3.7490365842650956E-6</v>
      </c>
    </row>
    <row r="6" spans="1:30">
      <c r="A6">
        <v>7.0979885921022058E-9</v>
      </c>
      <c r="B6">
        <v>5.2678805553595914E-9</v>
      </c>
      <c r="C6">
        <v>2.9919204298004143E-9</v>
      </c>
      <c r="D6">
        <v>1.2703976364055335E-9</v>
      </c>
      <c r="E6">
        <v>6.0844527857282787E-9</v>
      </c>
      <c r="F6">
        <v>5.9858239083224287E-9</v>
      </c>
      <c r="G6">
        <v>1.7628137745727809E-9</v>
      </c>
      <c r="H6">
        <v>1.3868487842300486E-9</v>
      </c>
      <c r="I6">
        <v>6.6937215877904982E-9</v>
      </c>
      <c r="J6">
        <v>4.0078377843242729E-9</v>
      </c>
      <c r="K6">
        <v>1.4799421882700942E-9</v>
      </c>
      <c r="L6">
        <v>5.5179673879648833E-9</v>
      </c>
      <c r="M6">
        <v>2.9187519067820773E-9</v>
      </c>
      <c r="N6">
        <v>5.7397647399890953E-9</v>
      </c>
      <c r="O6">
        <v>5.4728341773177759E-9</v>
      </c>
      <c r="P6">
        <v>6.1223839994489167E-9</v>
      </c>
      <c r="Q6">
        <v>1.7963789193198994E-9</v>
      </c>
      <c r="R6">
        <v>2.5971516993195104E-9</v>
      </c>
      <c r="S6">
        <v>1.5678149351236297E-9</v>
      </c>
      <c r="T6">
        <v>5.7303947212419005E-9</v>
      </c>
      <c r="U6">
        <v>1.9010836405679818E-9</v>
      </c>
      <c r="V6">
        <v>2.273450539244886E-9</v>
      </c>
      <c r="W6">
        <v>1.3312343957594908E-9</v>
      </c>
      <c r="X6">
        <v>3.0782080248902894E-9</v>
      </c>
      <c r="Y6">
        <v>5.7485114439319921E-9</v>
      </c>
      <c r="Z6">
        <v>6.3320808169762262E-9</v>
      </c>
      <c r="AA6">
        <v>2.7535181095291219E-9</v>
      </c>
      <c r="AB6">
        <v>5.4219458695073481E-9</v>
      </c>
      <c r="AC6">
        <v>1.6893763621041586E-9</v>
      </c>
      <c r="AD6">
        <v>6.3252142615490924E-9</v>
      </c>
    </row>
    <row r="7" spans="1:30">
      <c r="A7">
        <v>4.0684082796232061E-6</v>
      </c>
      <c r="B7">
        <v>4.6346104285880143E-6</v>
      </c>
      <c r="C7">
        <v>5.4502246582908273E-6</v>
      </c>
      <c r="D7">
        <v>4.3644560483619449E-6</v>
      </c>
      <c r="E7">
        <v>4.5725570180235041E-6</v>
      </c>
      <c r="F7">
        <v>5.0728610921619672E-6</v>
      </c>
      <c r="G7">
        <v>5.454301714815119E-6</v>
      </c>
      <c r="H7">
        <v>4.6961367862298348E-6</v>
      </c>
      <c r="I7">
        <v>5.1354090243317113E-6</v>
      </c>
      <c r="J7">
        <v>6.0630697971510328E-6</v>
      </c>
      <c r="K7">
        <v>4.8802820391337544E-6</v>
      </c>
      <c r="L7">
        <v>5.1176743506673591E-6</v>
      </c>
      <c r="M7">
        <v>6.0089291735392466E-6</v>
      </c>
      <c r="N7">
        <v>3.186168967510698E-6</v>
      </c>
      <c r="O7">
        <v>6.4403724206798842E-6</v>
      </c>
      <c r="P7">
        <v>3.5555492529276231E-6</v>
      </c>
      <c r="Q7">
        <v>5.7587621209656426E-6</v>
      </c>
      <c r="R7">
        <v>5.5960999564893749E-6</v>
      </c>
      <c r="S7">
        <v>5.2036658055340807E-6</v>
      </c>
      <c r="T7">
        <v>5.3719759318369783E-6</v>
      </c>
      <c r="U7">
        <v>5.7419159945043965E-6</v>
      </c>
      <c r="V7">
        <v>5.8119524985875155E-6</v>
      </c>
      <c r="W7">
        <v>4.5462664764777341E-6</v>
      </c>
      <c r="X7">
        <v>6.1005155609607039E-6</v>
      </c>
      <c r="Y7">
        <v>4.3158828596402021E-6</v>
      </c>
      <c r="Z7">
        <v>3.6311543719041812E-6</v>
      </c>
      <c r="AA7">
        <v>5.80824587301919E-6</v>
      </c>
      <c r="AB7">
        <v>5.6574806034926374E-6</v>
      </c>
      <c r="AC7">
        <v>5.2024390079617781E-6</v>
      </c>
      <c r="AD7">
        <v>3.5255058283648924E-6</v>
      </c>
    </row>
    <row r="8" spans="1:30">
      <c r="A8">
        <v>5.3107876539528714E-6</v>
      </c>
      <c r="B8">
        <v>5.4603469627789458E-6</v>
      </c>
      <c r="C8">
        <v>4.6851811301991768E-6</v>
      </c>
      <c r="D8">
        <v>3.1080071070153984E-6</v>
      </c>
      <c r="E8">
        <v>5.1604295237650946E-6</v>
      </c>
      <c r="F8">
        <v>5.3751699722845621E-6</v>
      </c>
      <c r="G8">
        <v>3.5346696322315311E-6</v>
      </c>
      <c r="H8">
        <v>3.0281951119229159E-6</v>
      </c>
      <c r="I8">
        <v>5.554287369778013E-6</v>
      </c>
      <c r="J8">
        <v>5.0975396293325447E-6</v>
      </c>
      <c r="K8">
        <v>3.3878694988607615E-6</v>
      </c>
      <c r="L8">
        <v>5.2246017194150232E-6</v>
      </c>
      <c r="M8">
        <v>4.7763370510225541E-6</v>
      </c>
      <c r="N8">
        <v>4.0199273205031395E-6</v>
      </c>
      <c r="O8">
        <v>6.1217736335175024E-6</v>
      </c>
      <c r="P8">
        <v>4.2886426794676861E-6</v>
      </c>
      <c r="Q8">
        <v>3.8448911778266041E-6</v>
      </c>
      <c r="R8">
        <v>4.2774698087472142E-6</v>
      </c>
      <c r="S8">
        <v>3.8739430815563882E-6</v>
      </c>
      <c r="T8">
        <v>5.2350518635459606E-6</v>
      </c>
      <c r="U8">
        <v>3.7520149072845588E-6</v>
      </c>
      <c r="V8">
        <v>4.0292993053380602E-6</v>
      </c>
      <c r="W8">
        <v>3.1095541093245556E-6</v>
      </c>
      <c r="X8">
        <v>5.0698498308093034E-6</v>
      </c>
      <c r="Y8">
        <v>4.8803151818374695E-6</v>
      </c>
      <c r="Z8">
        <v>4.6966796817083852E-6</v>
      </c>
      <c r="AA8">
        <v>4.860736426160083E-6</v>
      </c>
      <c r="AB8">
        <v>5.6183515444941606E-6</v>
      </c>
      <c r="AC8">
        <v>3.3511640110584561E-6</v>
      </c>
      <c r="AD8">
        <v>4.476172407911836E-6</v>
      </c>
    </row>
    <row r="9" spans="1:30">
      <c r="A9">
        <v>4.9681468941816278E-7</v>
      </c>
      <c r="B9">
        <v>4.6899886721578423E-7</v>
      </c>
      <c r="C9">
        <v>3.7330553054824873E-7</v>
      </c>
      <c r="D9">
        <v>2.488546131100757E-7</v>
      </c>
      <c r="E9">
        <v>4.8833746249554582E-7</v>
      </c>
      <c r="F9">
        <v>4.8274451133007217E-7</v>
      </c>
      <c r="G9">
        <v>2.8134475052003781E-7</v>
      </c>
      <c r="H9">
        <v>2.487149726104794E-7</v>
      </c>
      <c r="I9">
        <v>5.0694293473304112E-7</v>
      </c>
      <c r="J9">
        <v>4.6033894433158686E-7</v>
      </c>
      <c r="K9">
        <v>2.6689527749468906E-7</v>
      </c>
      <c r="L9">
        <v>4.924372899133084E-7</v>
      </c>
      <c r="M9">
        <v>4.1553565787169801E-7</v>
      </c>
      <c r="N9">
        <v>3.9515454415782797E-7</v>
      </c>
      <c r="O9">
        <v>5.7157967331576935E-7</v>
      </c>
      <c r="P9">
        <v>4.2255931953375528E-7</v>
      </c>
      <c r="Q9">
        <v>3.1962290545768653E-7</v>
      </c>
      <c r="R9">
        <v>3.4395362541039506E-7</v>
      </c>
      <c r="S9">
        <v>2.821304115655161E-7</v>
      </c>
      <c r="T9">
        <v>4.7513697133336398E-7</v>
      </c>
      <c r="U9">
        <v>3.0364739994291563E-7</v>
      </c>
      <c r="V9">
        <v>3.3966181951585957E-7</v>
      </c>
      <c r="W9">
        <v>2.4541342655822151E-7</v>
      </c>
      <c r="X9">
        <v>4.1785021773424261E-7</v>
      </c>
      <c r="Y9">
        <v>4.5862728272758506E-7</v>
      </c>
      <c r="Z9">
        <v>4.1972786880717683E-7</v>
      </c>
      <c r="AA9">
        <v>3.7528474038975702E-7</v>
      </c>
      <c r="AB9">
        <v>4.8391444263187812E-7</v>
      </c>
      <c r="AC9">
        <v>2.7557689279137932E-7</v>
      </c>
      <c r="AD9">
        <v>4.2609840349259965E-7</v>
      </c>
    </row>
    <row r="10" spans="1:30">
      <c r="A10">
        <v>5.7305491808948654E-6</v>
      </c>
      <c r="B10">
        <v>5.0577315270207171E-6</v>
      </c>
      <c r="C10">
        <v>3.1381589888030963E-6</v>
      </c>
      <c r="D10">
        <v>1.4582993263018658E-6</v>
      </c>
      <c r="E10">
        <v>5.2844868628397467E-6</v>
      </c>
      <c r="F10">
        <v>5.3052635768166531E-6</v>
      </c>
      <c r="G10">
        <v>1.9637057763341606E-6</v>
      </c>
      <c r="H10">
        <v>1.4301369866870598E-6</v>
      </c>
      <c r="I10">
        <v>5.9209354899638818E-6</v>
      </c>
      <c r="J10">
        <v>3.7248220865853063E-6</v>
      </c>
      <c r="K10">
        <v>1.6621162632803107E-6</v>
      </c>
      <c r="L10">
        <v>4.8786146063310298E-6</v>
      </c>
      <c r="M10">
        <v>2.632397215312081E-6</v>
      </c>
      <c r="N10">
        <v>4.8634369596532087E-6</v>
      </c>
      <c r="O10">
        <v>4.7217854775341661E-6</v>
      </c>
      <c r="P10">
        <v>4.996038189823286E-6</v>
      </c>
      <c r="Q10">
        <v>1.8105849754364633E-6</v>
      </c>
      <c r="R10">
        <v>2.7306829360432223E-6</v>
      </c>
      <c r="S10">
        <v>1.7467424005461442E-6</v>
      </c>
      <c r="T10">
        <v>5.1550256393825058E-6</v>
      </c>
      <c r="U10">
        <v>2.114434082409381E-6</v>
      </c>
      <c r="V10">
        <v>2.3486691557003049E-6</v>
      </c>
      <c r="W10">
        <v>1.5460177354437277E-6</v>
      </c>
      <c r="X10">
        <v>3.1994087472314622E-6</v>
      </c>
      <c r="Y10">
        <v>4.8365366365251499E-6</v>
      </c>
      <c r="Z10">
        <v>5.4585189429494797E-6</v>
      </c>
      <c r="AA10">
        <v>3.0327727688192756E-6</v>
      </c>
      <c r="AB10">
        <v>4.8831259301012498E-6</v>
      </c>
      <c r="AC10">
        <v>1.7860498193336235E-6</v>
      </c>
      <c r="AD10">
        <v>5.2050940871091179E-6</v>
      </c>
    </row>
    <row r="11" spans="1:30">
      <c r="A11">
        <v>3.6976063972712541E-9</v>
      </c>
      <c r="B11">
        <v>4.6959581192062084E-9</v>
      </c>
      <c r="C11">
        <v>4.5006461105670087E-9</v>
      </c>
      <c r="D11">
        <v>3.2656756835079551E-9</v>
      </c>
      <c r="E11">
        <v>4.2054077746985696E-9</v>
      </c>
      <c r="F11">
        <v>4.4917105787854198E-9</v>
      </c>
      <c r="G11">
        <v>4.4263277460535937E-9</v>
      </c>
      <c r="H11">
        <v>3.5675688128578807E-9</v>
      </c>
      <c r="I11">
        <v>4.942336697405478E-9</v>
      </c>
      <c r="J11">
        <v>5.3826593278645971E-9</v>
      </c>
      <c r="K11">
        <v>4.3314709316259334E-9</v>
      </c>
      <c r="L11">
        <v>4.3291843184317499E-9</v>
      </c>
      <c r="M11">
        <v>4.8837080756644519E-9</v>
      </c>
      <c r="N11">
        <v>3.0173675293825472E-9</v>
      </c>
      <c r="O11">
        <v>6.148653813010009E-9</v>
      </c>
      <c r="P11">
        <v>3.4156254494908454E-9</v>
      </c>
      <c r="Q11">
        <v>4.4752027739647827E-9</v>
      </c>
      <c r="R11">
        <v>4.6396575604400332E-9</v>
      </c>
      <c r="S11">
        <v>4.286601981107631E-9</v>
      </c>
      <c r="T11">
        <v>4.8152175006930817E-9</v>
      </c>
      <c r="U11">
        <v>4.6520170034235886E-9</v>
      </c>
      <c r="V11">
        <v>4.2838278065898553E-9</v>
      </c>
      <c r="W11">
        <v>3.3023844680358284E-9</v>
      </c>
      <c r="X11">
        <v>4.9942036015048395E-9</v>
      </c>
      <c r="Y11">
        <v>3.9396982452412943E-9</v>
      </c>
      <c r="Z11">
        <v>3.3056958802038195E-9</v>
      </c>
      <c r="AA11">
        <v>5.0786461536121266E-9</v>
      </c>
      <c r="AB11">
        <v>5.100001333240663E-9</v>
      </c>
      <c r="AC11">
        <v>3.8952232313344051E-9</v>
      </c>
      <c r="AD11">
        <v>3.4035267235569002E-9</v>
      </c>
    </row>
    <row r="12" spans="1:30">
      <c r="A12">
        <v>5.0918168550137795E-7</v>
      </c>
      <c r="B12">
        <v>7.7952261203448269E-7</v>
      </c>
      <c r="C12">
        <v>1.4131949713111478E-6</v>
      </c>
      <c r="D12">
        <v>1.5847267869179074E-6</v>
      </c>
      <c r="E12">
        <v>6.2853611678105737E-7</v>
      </c>
      <c r="F12">
        <v>7.9640369485012532E-7</v>
      </c>
      <c r="G12">
        <v>1.9611105353543011E-6</v>
      </c>
      <c r="H12">
        <v>1.8962469318872378E-6</v>
      </c>
      <c r="I12">
        <v>7.2277167531032698E-7</v>
      </c>
      <c r="J12">
        <v>1.440022171907919E-6</v>
      </c>
      <c r="K12">
        <v>1.9322455601666152E-6</v>
      </c>
      <c r="L12">
        <v>7.477384439404527E-7</v>
      </c>
      <c r="M12">
        <v>1.8312486903356416E-6</v>
      </c>
      <c r="N12">
        <v>3.4401371588421563E-7</v>
      </c>
      <c r="O12">
        <v>1.2881042193828218E-6</v>
      </c>
      <c r="P12">
        <v>3.9352821629936589E-7</v>
      </c>
      <c r="Q12">
        <v>2.2805462419662968E-6</v>
      </c>
      <c r="R12">
        <v>1.6371606004061021E-6</v>
      </c>
      <c r="S12">
        <v>1.9106366809536838E-6</v>
      </c>
      <c r="T12">
        <v>8.2444093137187344E-7</v>
      </c>
      <c r="U12">
        <v>2.0789171493834425E-6</v>
      </c>
      <c r="V12">
        <v>1.7209228587498461E-6</v>
      </c>
      <c r="W12">
        <v>1.6761200914138777E-6</v>
      </c>
      <c r="X12">
        <v>1.4673590290506581E-6</v>
      </c>
      <c r="Y12">
        <v>5.7417049700127019E-7</v>
      </c>
      <c r="Z12">
        <v>4.2683196190955979E-7</v>
      </c>
      <c r="AA12">
        <v>1.6336087542035968E-6</v>
      </c>
      <c r="AB12">
        <v>1.0431016832636215E-6</v>
      </c>
      <c r="AC12">
        <v>1.676216367997191E-6</v>
      </c>
      <c r="AD12">
        <v>4.092938608833263E-7</v>
      </c>
    </row>
    <row r="13" spans="1:30">
      <c r="A13">
        <v>3.4520403032656662E-7</v>
      </c>
      <c r="B13">
        <v>2.5451009422446536E-7</v>
      </c>
      <c r="C13">
        <v>1.3875068186916298E-7</v>
      </c>
      <c r="D13">
        <v>6.9779136456925051E-8</v>
      </c>
      <c r="E13">
        <v>2.7456422893392294E-7</v>
      </c>
      <c r="F13">
        <v>2.4538467823736888E-7</v>
      </c>
      <c r="G13">
        <v>8.5670794245293152E-8</v>
      </c>
      <c r="H13">
        <v>6.3057671513456383E-8</v>
      </c>
      <c r="I13">
        <v>2.8593850928240928E-7</v>
      </c>
      <c r="J13">
        <v>2.0063576232627186E-7</v>
      </c>
      <c r="K13">
        <v>7.2043979983055371E-8</v>
      </c>
      <c r="L13">
        <v>2.539858487138208E-7</v>
      </c>
      <c r="M13">
        <v>1.4147670052375259E-7</v>
      </c>
      <c r="N13">
        <v>2.6854089453924008E-7</v>
      </c>
      <c r="O13">
        <v>2.3974674800698783E-7</v>
      </c>
      <c r="P13">
        <v>2.6419864310108809E-7</v>
      </c>
      <c r="Q13">
        <v>9.2546690286278503E-8</v>
      </c>
      <c r="R13">
        <v>1.2775302193382883E-7</v>
      </c>
      <c r="S13">
        <v>8.0754167768169713E-8</v>
      </c>
      <c r="T13">
        <v>2.4956200660858448E-7</v>
      </c>
      <c r="U13">
        <v>9.980647166581107E-8</v>
      </c>
      <c r="V13">
        <v>1.2180482468621513E-7</v>
      </c>
      <c r="W13">
        <v>7.688359686159468E-8</v>
      </c>
      <c r="X13">
        <v>1.4842933753298539E-7</v>
      </c>
      <c r="Y13">
        <v>2.5184472570517436E-7</v>
      </c>
      <c r="Z13">
        <v>2.8435298889669196E-7</v>
      </c>
      <c r="AA13">
        <v>1.3301582137369295E-7</v>
      </c>
      <c r="AB13">
        <v>2.3456855625850044E-7</v>
      </c>
      <c r="AC13">
        <v>8.2223394805378799E-8</v>
      </c>
      <c r="AD13">
        <v>2.6963871270602939E-7</v>
      </c>
    </row>
    <row r="14" spans="1:30">
      <c r="A14">
        <v>9.6373837251967904E-9</v>
      </c>
      <c r="B14">
        <v>6.3348481316376125E-9</v>
      </c>
      <c r="C14">
        <v>2.4882513777401119E-9</v>
      </c>
      <c r="D14">
        <v>1.0068258283575743E-9</v>
      </c>
      <c r="E14">
        <v>7.548964700419009E-9</v>
      </c>
      <c r="F14">
        <v>6.2613092253735278E-9</v>
      </c>
      <c r="G14">
        <v>1.3074963240961502E-9</v>
      </c>
      <c r="H14">
        <v>9.1618181464418635E-10</v>
      </c>
      <c r="I14">
        <v>8.0085153025344865E-9</v>
      </c>
      <c r="J14">
        <v>3.7613627926741572E-9</v>
      </c>
      <c r="K14">
        <v>1.1100445860336756E-9</v>
      </c>
      <c r="L14">
        <v>6.4831648562170205E-9</v>
      </c>
      <c r="M14">
        <v>2.2813165961407288E-9</v>
      </c>
      <c r="N14">
        <v>7.5755020501396119E-9</v>
      </c>
      <c r="O14">
        <v>5.3840352105669743E-9</v>
      </c>
      <c r="P14">
        <v>7.9747963856478389E-9</v>
      </c>
      <c r="Q14">
        <v>1.3169141519983989E-9</v>
      </c>
      <c r="R14">
        <v>2.1249512128034123E-9</v>
      </c>
      <c r="S14">
        <v>1.2498520696898866E-9</v>
      </c>
      <c r="T14">
        <v>6.0326462804599929E-9</v>
      </c>
      <c r="U14">
        <v>1.6092972253707636E-9</v>
      </c>
      <c r="V14">
        <v>1.9327560653556732E-9</v>
      </c>
      <c r="W14">
        <v>1.1068507587951337E-9</v>
      </c>
      <c r="X14">
        <v>2.9569200545909547E-9</v>
      </c>
      <c r="Y14">
        <v>6.5447414016916798E-9</v>
      </c>
      <c r="Z14">
        <v>8.0698262614571915E-9</v>
      </c>
      <c r="AA14">
        <v>2.467678203971116E-9</v>
      </c>
      <c r="AB14">
        <v>5.1720057109868512E-9</v>
      </c>
      <c r="AC14">
        <v>1.2910758730371968E-9</v>
      </c>
      <c r="AD14">
        <v>7.8516183746765378E-9</v>
      </c>
    </row>
    <row r="15" spans="1:30">
      <c r="A15">
        <v>2.0173750394467918E-6</v>
      </c>
      <c r="B15">
        <v>2.877755895360227E-6</v>
      </c>
      <c r="C15">
        <v>3.2868840681802199E-6</v>
      </c>
      <c r="D15">
        <v>2.8407480089036989E-6</v>
      </c>
      <c r="E15">
        <v>2.3336903399194187E-6</v>
      </c>
      <c r="F15">
        <v>2.8857958541753176E-6</v>
      </c>
      <c r="G15">
        <v>3.5470602213751635E-6</v>
      </c>
      <c r="H15">
        <v>3.063952576874812E-6</v>
      </c>
      <c r="I15">
        <v>2.664399293505055E-6</v>
      </c>
      <c r="J15">
        <v>3.4822595981914679E-6</v>
      </c>
      <c r="K15">
        <v>3.2648284445741769E-6</v>
      </c>
      <c r="L15">
        <v>2.5689084896386729E-6</v>
      </c>
      <c r="M15">
        <v>3.7281721065459597E-6</v>
      </c>
      <c r="N15">
        <v>1.6103412810033674E-6</v>
      </c>
      <c r="O15">
        <v>3.4769201758407566E-6</v>
      </c>
      <c r="P15">
        <v>1.9144500658157923E-6</v>
      </c>
      <c r="Q15">
        <v>3.813254361649249E-6</v>
      </c>
      <c r="R15">
        <v>3.2873265830338405E-6</v>
      </c>
      <c r="S15">
        <v>3.5105538376984456E-6</v>
      </c>
      <c r="T15">
        <v>2.8859442247365655E-6</v>
      </c>
      <c r="U15">
        <v>3.6693075318384471E-6</v>
      </c>
      <c r="V15">
        <v>3.5781403646914317E-6</v>
      </c>
      <c r="W15">
        <v>2.7352656861120922E-6</v>
      </c>
      <c r="X15">
        <v>3.7249094716698064E-6</v>
      </c>
      <c r="Y15">
        <v>2.231505862083307E-6</v>
      </c>
      <c r="Z15">
        <v>1.970473079505715E-6</v>
      </c>
      <c r="AA15">
        <v>3.5958448414878159E-6</v>
      </c>
      <c r="AB15">
        <v>3.2509173298147866E-6</v>
      </c>
      <c r="AC15">
        <v>3.086733628503127E-6</v>
      </c>
      <c r="AD15">
        <v>1.8026544960615092E-6</v>
      </c>
    </row>
    <row r="16" spans="1:30">
      <c r="A16">
        <v>1.1040287163085831E-9</v>
      </c>
      <c r="B16">
        <v>1.0510162291166384E-9</v>
      </c>
      <c r="C16">
        <v>9.4603226843467491E-10</v>
      </c>
      <c r="D16">
        <v>6.3243008492397096E-10</v>
      </c>
      <c r="E16">
        <v>1.0725907388186842E-9</v>
      </c>
      <c r="F16">
        <v>1.1422794646212395E-9</v>
      </c>
      <c r="G16">
        <v>8.1728890400122455E-10</v>
      </c>
      <c r="H16">
        <v>6.3867780284377853E-10</v>
      </c>
      <c r="I16">
        <v>1.3303073457299813E-9</v>
      </c>
      <c r="J16">
        <v>1.219361330263385E-9</v>
      </c>
      <c r="K16">
        <v>7.0452204682404965E-10</v>
      </c>
      <c r="L16">
        <v>1.1571901465958081E-9</v>
      </c>
      <c r="M16">
        <v>1.0605210358326352E-9</v>
      </c>
      <c r="N16">
        <v>8.6508704596533087E-10</v>
      </c>
      <c r="O16">
        <v>1.4903577137964678E-9</v>
      </c>
      <c r="P16">
        <v>9.4675958076000418E-10</v>
      </c>
      <c r="Q16">
        <v>8.8127910595860888E-10</v>
      </c>
      <c r="R16">
        <v>8.8513361226119558E-10</v>
      </c>
      <c r="S16">
        <v>7.6381222492459707E-10</v>
      </c>
      <c r="T16">
        <v>1.1563622672576075E-9</v>
      </c>
      <c r="U16">
        <v>8.9018643004053663E-10</v>
      </c>
      <c r="V16">
        <v>9.4428535019718747E-10</v>
      </c>
      <c r="W16">
        <v>6.533684438006489E-10</v>
      </c>
      <c r="X16">
        <v>1.0177283562192838E-9</v>
      </c>
      <c r="Y16">
        <v>1.0429353175073327E-9</v>
      </c>
      <c r="Z16">
        <v>9.6517022531326814E-10</v>
      </c>
      <c r="AA16">
        <v>9.9805179469491792E-10</v>
      </c>
      <c r="AB16">
        <v>1.2294548738654104E-9</v>
      </c>
      <c r="AC16">
        <v>7.6729934263534985E-10</v>
      </c>
      <c r="AD16">
        <v>1.0045133869315924E-9</v>
      </c>
    </row>
    <row r="17" spans="1:30">
      <c r="A17">
        <v>3.8411260235181513E-8</v>
      </c>
      <c r="B17">
        <v>4.4988628064259004E-8</v>
      </c>
      <c r="C17">
        <v>5.2951373707825953E-8</v>
      </c>
      <c r="D17">
        <v>4.069301154394501E-8</v>
      </c>
      <c r="E17">
        <v>3.797476155451227E-8</v>
      </c>
      <c r="F17">
        <v>4.5253334597322382E-8</v>
      </c>
      <c r="G17">
        <v>4.7023738791697013E-8</v>
      </c>
      <c r="H17">
        <v>4.0663471487694949E-8</v>
      </c>
      <c r="I17">
        <v>4.845338604571836E-8</v>
      </c>
      <c r="J17">
        <v>5.4497582743938703E-8</v>
      </c>
      <c r="K17">
        <v>4.4220881814220613E-8</v>
      </c>
      <c r="L17">
        <v>4.4896713842377508E-8</v>
      </c>
      <c r="M17">
        <v>5.4507689744610303E-8</v>
      </c>
      <c r="N17">
        <v>2.9986943023282601E-8</v>
      </c>
      <c r="O17">
        <v>5.9404893606805904E-8</v>
      </c>
      <c r="P17">
        <v>3.1702038295690706E-8</v>
      </c>
      <c r="Q17">
        <v>5.394356865289169E-8</v>
      </c>
      <c r="R17">
        <v>5.0330656940684899E-8</v>
      </c>
      <c r="S17">
        <v>4.9556557494777911E-8</v>
      </c>
      <c r="T17">
        <v>4.5956751811831339E-8</v>
      </c>
      <c r="U17">
        <v>5.2131570496944987E-8</v>
      </c>
      <c r="V17">
        <v>5.2268642901451884E-8</v>
      </c>
      <c r="W17">
        <v>3.9719651493065335E-8</v>
      </c>
      <c r="X17">
        <v>5.5915634956718663E-8</v>
      </c>
      <c r="Y17">
        <v>3.9840148274014482E-8</v>
      </c>
      <c r="Z17">
        <v>3.52677864715963E-8</v>
      </c>
      <c r="AA17">
        <v>5.573104430869434E-8</v>
      </c>
      <c r="AB17">
        <v>4.799046802479041E-8</v>
      </c>
      <c r="AC17">
        <v>4.3306140333388061E-8</v>
      </c>
      <c r="AD17">
        <v>3.2941363254853272E-8</v>
      </c>
    </row>
    <row r="18" spans="1:30">
      <c r="A18">
        <v>5.2784229385387247E-8</v>
      </c>
      <c r="B18">
        <v>4.2643934859139735E-8</v>
      </c>
      <c r="C18">
        <v>2.7948049036892109E-8</v>
      </c>
      <c r="D18">
        <v>1.5940777323157845E-8</v>
      </c>
      <c r="E18">
        <v>4.4857432773025225E-8</v>
      </c>
      <c r="F18">
        <v>4.5292980978507397E-8</v>
      </c>
      <c r="G18">
        <v>1.9719451141892413E-8</v>
      </c>
      <c r="H18">
        <v>1.6072508041249594E-8</v>
      </c>
      <c r="I18">
        <v>5.1769582608410067E-8</v>
      </c>
      <c r="J18">
        <v>4.1576289938365199E-8</v>
      </c>
      <c r="K18">
        <v>1.6985271310568634E-8</v>
      </c>
      <c r="L18">
        <v>5.0196731213780587E-8</v>
      </c>
      <c r="M18">
        <v>2.9878487058195449E-8</v>
      </c>
      <c r="N18">
        <v>4.264088480517657E-8</v>
      </c>
      <c r="O18">
        <v>4.6377533239172491E-8</v>
      </c>
      <c r="P18">
        <v>4.2623572370251516E-8</v>
      </c>
      <c r="Q18">
        <v>2.1714428019545063E-8</v>
      </c>
      <c r="R18">
        <v>2.5561790564579845E-8</v>
      </c>
      <c r="S18">
        <v>1.8299551043681414E-8</v>
      </c>
      <c r="T18">
        <v>4.4748063514975314E-8</v>
      </c>
      <c r="U18">
        <v>2.1223687226279262E-8</v>
      </c>
      <c r="V18">
        <v>2.6918998438067177E-8</v>
      </c>
      <c r="W18">
        <v>1.6469164905928034E-8</v>
      </c>
      <c r="X18">
        <v>3.1234390167770696E-8</v>
      </c>
      <c r="Y18">
        <v>4.4592131231928029E-8</v>
      </c>
      <c r="Z18">
        <v>4.2089156165382783E-8</v>
      </c>
      <c r="AA18">
        <v>2.657211818196504E-8</v>
      </c>
      <c r="AB18">
        <v>4.6032508563118642E-8</v>
      </c>
      <c r="AC18">
        <v>1.8105955409274487E-8</v>
      </c>
      <c r="AD18">
        <v>4.3981597774902418E-8</v>
      </c>
    </row>
    <row r="19" spans="1:30">
      <c r="A19">
        <v>1.7337281625030231E-9</v>
      </c>
      <c r="B19">
        <v>1.367717787353619E-9</v>
      </c>
      <c r="C19">
        <v>7.4562416006455936E-10</v>
      </c>
      <c r="D19">
        <v>4.2223939672345332E-10</v>
      </c>
      <c r="E19">
        <v>1.5238469207981755E-9</v>
      </c>
      <c r="F19">
        <v>1.3252276500320901E-9</v>
      </c>
      <c r="G19">
        <v>5.3721227515533278E-10</v>
      </c>
      <c r="H19">
        <v>4.1014624387939836E-10</v>
      </c>
      <c r="I19">
        <v>1.5635543593427167E-9</v>
      </c>
      <c r="J19">
        <v>1.1317877518660154E-9</v>
      </c>
      <c r="K19">
        <v>4.7699602994745966E-10</v>
      </c>
      <c r="L19">
        <v>1.4053927129510546E-9</v>
      </c>
      <c r="M19">
        <v>8.544124665782612E-10</v>
      </c>
      <c r="N19">
        <v>1.3632587615563459E-9</v>
      </c>
      <c r="O19">
        <v>1.4526832510101587E-9</v>
      </c>
      <c r="P19">
        <v>1.4648511256612417E-9</v>
      </c>
      <c r="Q19">
        <v>5.7775046934852715E-10</v>
      </c>
      <c r="R19">
        <v>7.2316549423729779E-10</v>
      </c>
      <c r="S19">
        <v>5.1963759401021048E-10</v>
      </c>
      <c r="T19">
        <v>1.3550044228479448E-9</v>
      </c>
      <c r="U19">
        <v>5.9499977255286168E-10</v>
      </c>
      <c r="V19">
        <v>6.8676723033045727E-10</v>
      </c>
      <c r="W19">
        <v>4.3546921955396957E-10</v>
      </c>
      <c r="X19">
        <v>8.7130515101137757E-10</v>
      </c>
      <c r="Y19">
        <v>1.3278034993455297E-9</v>
      </c>
      <c r="Z19">
        <v>1.3510420119452581E-9</v>
      </c>
      <c r="AA19">
        <v>7.7266421653048799E-10</v>
      </c>
      <c r="AB19">
        <v>1.3373212807347208E-9</v>
      </c>
      <c r="AC19">
        <v>5.0908480340105632E-10</v>
      </c>
      <c r="AD19">
        <v>1.3602665341322281E-9</v>
      </c>
    </row>
    <row r="20" spans="1:30">
      <c r="A20">
        <v>9.5254937671982403E-8</v>
      </c>
      <c r="B20">
        <v>1.0587858044109246E-7</v>
      </c>
      <c r="C20">
        <v>1.0098254040824653E-7</v>
      </c>
      <c r="D20">
        <v>7.1244951443127491E-8</v>
      </c>
      <c r="E20">
        <v>9.4134426969197212E-8</v>
      </c>
      <c r="F20">
        <v>1.0650142233984108E-7</v>
      </c>
      <c r="G20">
        <v>9.1795301719285426E-8</v>
      </c>
      <c r="H20">
        <v>7.6270816615730725E-8</v>
      </c>
      <c r="I20">
        <v>1.1634172868961141E-7</v>
      </c>
      <c r="J20">
        <v>1.1745122480593711E-7</v>
      </c>
      <c r="K20">
        <v>7.9110629525050978E-8</v>
      </c>
      <c r="L20">
        <v>1.0313471622340154E-7</v>
      </c>
      <c r="M20">
        <v>1.0989184678937747E-7</v>
      </c>
      <c r="N20">
        <v>7.6302111226000602E-8</v>
      </c>
      <c r="O20">
        <v>1.3943707703522963E-7</v>
      </c>
      <c r="P20">
        <v>8.7079688622164284E-8</v>
      </c>
      <c r="Q20">
        <v>9.1808239551259118E-8</v>
      </c>
      <c r="R20">
        <v>1.0668657074018404E-7</v>
      </c>
      <c r="S20">
        <v>8.5717394160941368E-8</v>
      </c>
      <c r="T20">
        <v>1.0822223453950497E-7</v>
      </c>
      <c r="U20">
        <v>8.9982854607068585E-8</v>
      </c>
      <c r="V20">
        <v>9.9303392495229994E-8</v>
      </c>
      <c r="W20">
        <v>6.8764183914038886E-8</v>
      </c>
      <c r="X20">
        <v>1.0513436401911823E-7</v>
      </c>
      <c r="Y20">
        <v>9.3073236981267855E-8</v>
      </c>
      <c r="Z20">
        <v>8.2192319222794128E-8</v>
      </c>
      <c r="AA20">
        <v>1.0276180270223648E-7</v>
      </c>
      <c r="AB20">
        <v>1.1149057746875101E-7</v>
      </c>
      <c r="AC20">
        <v>8.2467378030503894E-8</v>
      </c>
      <c r="AD20">
        <v>7.9748946948228778E-8</v>
      </c>
    </row>
    <row r="21" spans="1:30">
      <c r="A21">
        <v>1.3655166814396122E-7</v>
      </c>
      <c r="B21">
        <v>1.4274561809673642E-7</v>
      </c>
      <c r="C21">
        <v>1.1679825385437857E-7</v>
      </c>
      <c r="D21">
        <v>7.8014245178200487E-8</v>
      </c>
      <c r="E21">
        <v>1.3274185077820802E-7</v>
      </c>
      <c r="F21">
        <v>1.4073378820100462E-7</v>
      </c>
      <c r="G21">
        <v>9.8020522502116355E-8</v>
      </c>
      <c r="H21">
        <v>7.973768563413044E-8</v>
      </c>
      <c r="I21">
        <v>1.6478529054577969E-7</v>
      </c>
      <c r="J21">
        <v>1.5079059172767885E-7</v>
      </c>
      <c r="K21">
        <v>8.4483535879627925E-8</v>
      </c>
      <c r="L21">
        <v>1.480168561979728E-7</v>
      </c>
      <c r="M21">
        <v>1.2611749953001856E-7</v>
      </c>
      <c r="N21">
        <v>1.1649939885201603E-7</v>
      </c>
      <c r="O21">
        <v>1.6796759917263552E-7</v>
      </c>
      <c r="P21">
        <v>1.2993337803413434E-7</v>
      </c>
      <c r="Q21">
        <v>1.0439942883064322E-7</v>
      </c>
      <c r="R21">
        <v>1.1512639631163352E-7</v>
      </c>
      <c r="S21">
        <v>9.6941493793415122E-8</v>
      </c>
      <c r="T21">
        <v>1.4622984610447596E-7</v>
      </c>
      <c r="U21">
        <v>1.0522279282533338E-7</v>
      </c>
      <c r="V21">
        <v>1.1817620454403838E-7</v>
      </c>
      <c r="W21">
        <v>7.8821941929481613E-8</v>
      </c>
      <c r="X21">
        <v>1.2667768159644886E-7</v>
      </c>
      <c r="Y21">
        <v>1.3062912710795468E-7</v>
      </c>
      <c r="Z21">
        <v>1.2400700346165391E-7</v>
      </c>
      <c r="AA21">
        <v>1.1584968138205956E-7</v>
      </c>
      <c r="AB21">
        <v>1.5179136508529758E-7</v>
      </c>
      <c r="AC21">
        <v>9.0666487668719614E-8</v>
      </c>
      <c r="AD21">
        <v>1.2254474696762439E-7</v>
      </c>
    </row>
    <row r="22" spans="1:30">
      <c r="A22">
        <v>1.7469869211579929E-7</v>
      </c>
      <c r="B22">
        <v>1.5421306837303211E-7</v>
      </c>
      <c r="C22">
        <v>7.3693170094241168E-8</v>
      </c>
      <c r="D22">
        <v>3.3904521711703434E-8</v>
      </c>
      <c r="E22">
        <v>1.5508862177599742E-7</v>
      </c>
      <c r="F22">
        <v>1.4471790423574182E-7</v>
      </c>
      <c r="G22">
        <v>4.6283738934140924E-8</v>
      </c>
      <c r="H22">
        <v>3.1091744483700893E-8</v>
      </c>
      <c r="I22">
        <v>1.6825770588356824E-7</v>
      </c>
      <c r="J22">
        <v>9.8071715079430956E-8</v>
      </c>
      <c r="K22">
        <v>3.604462805785465E-8</v>
      </c>
      <c r="L22">
        <v>1.3033157838928497E-7</v>
      </c>
      <c r="M22">
        <v>6.1768298916209026E-8</v>
      </c>
      <c r="N22">
        <v>1.4276814424518527E-7</v>
      </c>
      <c r="O22">
        <v>1.2881837228100221E-7</v>
      </c>
      <c r="P22">
        <v>1.5979787913989342E-7</v>
      </c>
      <c r="Q22">
        <v>4.1889573348810046E-8</v>
      </c>
      <c r="R22">
        <v>6.2994715052176675E-8</v>
      </c>
      <c r="S22">
        <v>3.6783347743630064E-8</v>
      </c>
      <c r="T22">
        <v>1.3141226410384491E-7</v>
      </c>
      <c r="U22">
        <v>4.552316188238693E-8</v>
      </c>
      <c r="V22">
        <v>5.735133627662346E-8</v>
      </c>
      <c r="W22">
        <v>3.5357555178695389E-8</v>
      </c>
      <c r="X22">
        <v>7.510413431756658E-8</v>
      </c>
      <c r="Y22">
        <v>1.3584314765046835E-7</v>
      </c>
      <c r="Z22">
        <v>1.5785934483479482E-7</v>
      </c>
      <c r="AA22">
        <v>6.9421552239823324E-8</v>
      </c>
      <c r="AB22">
        <v>1.2853626331883086E-7</v>
      </c>
      <c r="AC22">
        <v>4.0380280702502628E-8</v>
      </c>
      <c r="AD22">
        <v>1.5347482630139631E-7</v>
      </c>
    </row>
    <row r="23" spans="1:30">
      <c r="A23">
        <v>9.0289816348413355E-9</v>
      </c>
      <c r="B23">
        <v>6.8392450011306173E-9</v>
      </c>
      <c r="C23">
        <v>3.6036695116440818E-9</v>
      </c>
      <c r="D23">
        <v>1.6144907873498807E-9</v>
      </c>
      <c r="E23">
        <v>7.3871000533609563E-9</v>
      </c>
      <c r="F23">
        <v>6.8829629685360894E-9</v>
      </c>
      <c r="G23">
        <v>2.1770954353688083E-9</v>
      </c>
      <c r="H23">
        <v>1.6906502668668918E-9</v>
      </c>
      <c r="I23">
        <v>7.6905083102472007E-9</v>
      </c>
      <c r="J23">
        <v>5.2645678986505722E-9</v>
      </c>
      <c r="K23">
        <v>2.0059748407933736E-9</v>
      </c>
      <c r="L23">
        <v>6.7944330874885113E-9</v>
      </c>
      <c r="M23">
        <v>3.6016759231389576E-9</v>
      </c>
      <c r="N23">
        <v>6.9160110369015246E-9</v>
      </c>
      <c r="O23">
        <v>6.3103855955444665E-9</v>
      </c>
      <c r="P23">
        <v>7.4529874839576095E-9</v>
      </c>
      <c r="Q23">
        <v>2.3124648633307154E-9</v>
      </c>
      <c r="R23">
        <v>3.4113412989167631E-9</v>
      </c>
      <c r="S23">
        <v>2.0923459417674726E-9</v>
      </c>
      <c r="T23">
        <v>6.5687758990156076E-9</v>
      </c>
      <c r="U23">
        <v>2.6527095963198142E-9</v>
      </c>
      <c r="V23">
        <v>3.0316135301424387E-9</v>
      </c>
      <c r="W23">
        <v>1.7135117270984004E-9</v>
      </c>
      <c r="X23">
        <v>3.7132943623726337E-9</v>
      </c>
      <c r="Y23">
        <v>6.7058489512974043E-9</v>
      </c>
      <c r="Z23">
        <v>7.6477312923168243E-9</v>
      </c>
      <c r="AA23">
        <v>3.5434232145852145E-9</v>
      </c>
      <c r="AB23">
        <v>6.2451492396255945E-9</v>
      </c>
      <c r="AC23">
        <v>1.9682748817480825E-9</v>
      </c>
      <c r="AD23">
        <v>6.9927505081474776E-9</v>
      </c>
    </row>
    <row r="24" spans="1:30">
      <c r="A24">
        <v>1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2BBEB-7DC5-4F5B-BF51-41AC7BCC6832}">
  <sheetPr codeName="Planilha7"/>
  <dimension ref="A1:W24"/>
  <sheetViews>
    <sheetView workbookViewId="0">
      <selection activeCell="A2" sqref="A2:W24"/>
    </sheetView>
  </sheetViews>
  <sheetFormatPr defaultRowHeight="14.4"/>
  <sheetData>
    <row r="1" spans="1:23">
      <c r="A1" t="s">
        <v>7</v>
      </c>
    </row>
    <row r="2" spans="1:23">
      <c r="A2">
        <f t="array" ref="A2:W24">MMULT('Matrix (R)^t'!$A$2:$AD$24,'Matrix (R)'!$B$2:$X$31)</f>
        <v>8.2690977033623287</v>
      </c>
      <c r="B2">
        <v>1.3075753338430077E-8</v>
      </c>
      <c r="C2">
        <v>1.1248536061981561E-8</v>
      </c>
      <c r="D2">
        <v>5.7310242497264434E-5</v>
      </c>
      <c r="E2">
        <v>6.8369012385842392E-8</v>
      </c>
      <c r="F2">
        <v>6.0335610295703565E-5</v>
      </c>
      <c r="G2">
        <v>6.2788387907846113E-5</v>
      </c>
      <c r="H2">
        <v>5.6983042631347054E-6</v>
      </c>
      <c r="I2">
        <v>5.9972127309316227E-5</v>
      </c>
      <c r="J2">
        <v>5.4286016604981E-8</v>
      </c>
      <c r="K2">
        <v>1.0976384280886864E-5</v>
      </c>
      <c r="L2">
        <v>3.0860028918333832E-6</v>
      </c>
      <c r="M2">
        <v>7.9940003437182368E-8</v>
      </c>
      <c r="N2">
        <v>3.3422311374601931E-5</v>
      </c>
      <c r="O2">
        <v>1.3620619076975209E-8</v>
      </c>
      <c r="P2">
        <v>5.4949540467940412E-7</v>
      </c>
      <c r="Q2">
        <v>5.3776211584196151E-7</v>
      </c>
      <c r="R2">
        <v>1.655627710678932E-8</v>
      </c>
      <c r="S2">
        <v>1.2578420495374901E-6</v>
      </c>
      <c r="T2">
        <v>1.7110563130634943E-6</v>
      </c>
      <c r="U2">
        <v>1.6916348177459398E-6</v>
      </c>
      <c r="V2">
        <v>8.2103353979321905E-8</v>
      </c>
      <c r="W2">
        <v>12.91598208365445</v>
      </c>
    </row>
    <row r="3" spans="1:23">
      <c r="A3">
        <v>1.3075753338430077E-8</v>
      </c>
      <c r="B3">
        <v>3.973127932772423E-17</v>
      </c>
      <c r="C3">
        <v>1.878500005702449E-17</v>
      </c>
      <c r="D3">
        <v>1.4921759277533253E-13</v>
      </c>
      <c r="E3">
        <v>1.2576287047790539E-16</v>
      </c>
      <c r="F3">
        <v>1.7573719914097898E-13</v>
      </c>
      <c r="G3">
        <v>1.527334292460125E-13</v>
      </c>
      <c r="H3">
        <v>1.3197385665728017E-14</v>
      </c>
      <c r="I3">
        <v>1.1705013721232895E-13</v>
      </c>
      <c r="J3">
        <v>1.4971777188997549E-16</v>
      </c>
      <c r="K3">
        <v>4.5665912839600136E-14</v>
      </c>
      <c r="L3">
        <v>5.8367311947617161E-15</v>
      </c>
      <c r="M3">
        <v>1.3168586598204632E-16</v>
      </c>
      <c r="N3">
        <v>1.0425861364598506E-13</v>
      </c>
      <c r="O3">
        <v>3.3280810017930627E-17</v>
      </c>
      <c r="P3">
        <v>1.5954507910817705E-15</v>
      </c>
      <c r="Q3">
        <v>1.1100730716657448E-15</v>
      </c>
      <c r="R3">
        <v>3.2688588928123722E-17</v>
      </c>
      <c r="S3">
        <v>3.2987139296483282E-15</v>
      </c>
      <c r="T3">
        <v>4.1046534420027564E-15</v>
      </c>
      <c r="U3">
        <v>3.0844235037368703E-15</v>
      </c>
      <c r="V3">
        <v>1.5357412931457138E-16</v>
      </c>
      <c r="W3">
        <v>3.3871445412913883E-8</v>
      </c>
    </row>
    <row r="4" spans="1:23">
      <c r="A4">
        <v>1.1248536061981561E-8</v>
      </c>
      <c r="B4">
        <v>1.878500005702449E-17</v>
      </c>
      <c r="C4">
        <v>1.5461058156535121E-17</v>
      </c>
      <c r="D4">
        <v>8.1307401929444101E-14</v>
      </c>
      <c r="E4">
        <v>9.4497176868435442E-17</v>
      </c>
      <c r="F4">
        <v>8.6285638398947086E-14</v>
      </c>
      <c r="G4">
        <v>8.8455023846288593E-14</v>
      </c>
      <c r="H4">
        <v>8.0001903478730364E-15</v>
      </c>
      <c r="I4">
        <v>8.3167722753173955E-14</v>
      </c>
      <c r="J4">
        <v>7.7358092211970527E-17</v>
      </c>
      <c r="K4">
        <v>1.623287531139544E-14</v>
      </c>
      <c r="L4">
        <v>4.2733816491406581E-15</v>
      </c>
      <c r="M4">
        <v>1.0972693888967863E-16</v>
      </c>
      <c r="N4">
        <v>4.803322581561608E-14</v>
      </c>
      <c r="O4">
        <v>1.9242235560806709E-17</v>
      </c>
      <c r="P4">
        <v>7.8566377024895853E-16</v>
      </c>
      <c r="Q4">
        <v>7.49885950755504E-16</v>
      </c>
      <c r="R4">
        <v>2.301243563847937E-17</v>
      </c>
      <c r="S4">
        <v>1.7858067016828233E-15</v>
      </c>
      <c r="T4">
        <v>2.4107930643913194E-15</v>
      </c>
      <c r="U4">
        <v>2.3352964275368549E-15</v>
      </c>
      <c r="V4">
        <v>1.1363763922751613E-16</v>
      </c>
      <c r="W4">
        <v>1.8158925129725812E-8</v>
      </c>
    </row>
    <row r="5" spans="1:23">
      <c r="A5">
        <v>5.7310242497264434E-5</v>
      </c>
      <c r="B5">
        <v>1.4921759277533253E-13</v>
      </c>
      <c r="C5">
        <v>8.1307401929444101E-14</v>
      </c>
      <c r="D5">
        <v>5.8168676784353287E-10</v>
      </c>
      <c r="E5">
        <v>5.3226886772120185E-13</v>
      </c>
      <c r="F5">
        <v>6.6726650744284308E-10</v>
      </c>
      <c r="G5">
        <v>6.0300989457386117E-10</v>
      </c>
      <c r="H5">
        <v>5.2701330596919252E-11</v>
      </c>
      <c r="I5">
        <v>4.8778653633895933E-10</v>
      </c>
      <c r="J5">
        <v>5.7563929673857221E-13</v>
      </c>
      <c r="K5">
        <v>1.6177021739102708E-10</v>
      </c>
      <c r="L5">
        <v>2.4454714063862276E-11</v>
      </c>
      <c r="M5">
        <v>5.7216548976538455E-13</v>
      </c>
      <c r="N5">
        <v>3.8991954167141169E-10</v>
      </c>
      <c r="O5">
        <v>1.314491106748175E-13</v>
      </c>
      <c r="P5">
        <v>6.055290025874492E-12</v>
      </c>
      <c r="Q5">
        <v>4.5583164219768284E-12</v>
      </c>
      <c r="R5">
        <v>1.356329504700484E-13</v>
      </c>
      <c r="S5">
        <v>1.2815087891327711E-11</v>
      </c>
      <c r="T5">
        <v>1.6250638034461532E-11</v>
      </c>
      <c r="U5">
        <v>1.306261363860616E-11</v>
      </c>
      <c r="V5">
        <v>6.4576839849291486E-13</v>
      </c>
      <c r="W5">
        <v>1.303735131277949E-4</v>
      </c>
    </row>
    <row r="6" spans="1:23">
      <c r="A6">
        <v>6.8369012385842392E-8</v>
      </c>
      <c r="B6">
        <v>1.2576287047790539E-16</v>
      </c>
      <c r="C6">
        <v>9.4497176868435442E-17</v>
      </c>
      <c r="D6">
        <v>5.3226886772120185E-13</v>
      </c>
      <c r="E6">
        <v>5.8726560399712012E-16</v>
      </c>
      <c r="F6">
        <v>5.7477569320896808E-13</v>
      </c>
      <c r="G6">
        <v>5.723993479238122E-13</v>
      </c>
      <c r="H6">
        <v>5.1385463462455638E-14</v>
      </c>
      <c r="I6">
        <v>5.2090762236653591E-13</v>
      </c>
      <c r="J6">
        <v>5.1099106340684092E-16</v>
      </c>
      <c r="K6">
        <v>1.1527290839098602E-13</v>
      </c>
      <c r="L6">
        <v>2.6594198804820986E-14</v>
      </c>
      <c r="M6">
        <v>6.6986129793798067E-16</v>
      </c>
      <c r="N6">
        <v>3.2366560909349355E-13</v>
      </c>
      <c r="O6">
        <v>1.2464899998955474E-16</v>
      </c>
      <c r="P6">
        <v>5.2264516142913E-15</v>
      </c>
      <c r="Q6">
        <v>4.7307999312027623E-15</v>
      </c>
      <c r="R6">
        <v>1.4417844521655269E-16</v>
      </c>
      <c r="S6">
        <v>1.1690199575153653E-14</v>
      </c>
      <c r="T6">
        <v>1.5550408482936657E-14</v>
      </c>
      <c r="U6">
        <v>1.4477735664302175E-14</v>
      </c>
      <c r="V6">
        <v>7.0642108455239386E-16</v>
      </c>
      <c r="W6">
        <v>1.1834769397747443E-7</v>
      </c>
    </row>
    <row r="7" spans="1:23">
      <c r="A7">
        <v>6.0335610295703565E-5</v>
      </c>
      <c r="B7">
        <v>1.7573719914097898E-13</v>
      </c>
      <c r="C7">
        <v>8.6285638398947086E-14</v>
      </c>
      <c r="D7">
        <v>6.6726650744284308E-10</v>
      </c>
      <c r="E7">
        <v>5.7477569320896808E-13</v>
      </c>
      <c r="F7">
        <v>7.8084916113927475E-10</v>
      </c>
      <c r="G7">
        <v>6.8500052460281131E-10</v>
      </c>
      <c r="H7">
        <v>5.9381871827426602E-11</v>
      </c>
      <c r="I7">
        <v>5.3268908871503854E-10</v>
      </c>
      <c r="J7">
        <v>6.6713589731232326E-13</v>
      </c>
      <c r="K7">
        <v>1.990706163111523E-10</v>
      </c>
      <c r="L7">
        <v>2.6576140148998216E-11</v>
      </c>
      <c r="M7">
        <v>6.0511328050634505E-13</v>
      </c>
      <c r="N7">
        <v>4.6113994970436886E-10</v>
      </c>
      <c r="O7">
        <v>1.4939909081368581E-13</v>
      </c>
      <c r="P7">
        <v>7.0833492214234932E-12</v>
      </c>
      <c r="Q7">
        <v>5.0322984928884809E-12</v>
      </c>
      <c r="R7">
        <v>1.484939380171319E-13</v>
      </c>
      <c r="S7">
        <v>1.4742592163836991E-11</v>
      </c>
      <c r="T7">
        <v>1.8434297674302578E-11</v>
      </c>
      <c r="U7">
        <v>1.40880635551728E-11</v>
      </c>
      <c r="V7">
        <v>6.9981365948674412E-13</v>
      </c>
      <c r="W7">
        <v>1.5097287394177502E-4</v>
      </c>
    </row>
    <row r="8" spans="1:23">
      <c r="A8">
        <v>6.2788387907846113E-5</v>
      </c>
      <c r="B8">
        <v>1.527334292460125E-13</v>
      </c>
      <c r="C8">
        <v>8.8455023846288593E-14</v>
      </c>
      <c r="D8">
        <v>6.0300989457386117E-10</v>
      </c>
      <c r="E8">
        <v>5.723993479238122E-13</v>
      </c>
      <c r="F8">
        <v>6.8500052460281131E-10</v>
      </c>
      <c r="G8">
        <v>6.3078178668334187E-10</v>
      </c>
      <c r="H8">
        <v>5.5361390169150879E-11</v>
      </c>
      <c r="I8">
        <v>5.213162677458787E-10</v>
      </c>
      <c r="J8">
        <v>5.942875891252842E-13</v>
      </c>
      <c r="K8">
        <v>1.6114786865121052E-10</v>
      </c>
      <c r="L8">
        <v>2.6247539348239355E-11</v>
      </c>
      <c r="M8">
        <v>6.2356634230740433E-13</v>
      </c>
      <c r="N8">
        <v>3.9814158364709075E-10</v>
      </c>
      <c r="O8">
        <v>1.3723504250754291E-13</v>
      </c>
      <c r="P8">
        <v>6.2262247699134467E-12</v>
      </c>
      <c r="Q8">
        <v>4.8433665426646878E-12</v>
      </c>
      <c r="R8">
        <v>1.4484004191291399E-13</v>
      </c>
      <c r="S8">
        <v>1.3294674297812864E-11</v>
      </c>
      <c r="T8">
        <v>1.7004859869719367E-11</v>
      </c>
      <c r="U8">
        <v>1.4076662891541152E-11</v>
      </c>
      <c r="V8">
        <v>6.937268847004742E-13</v>
      </c>
      <c r="W8">
        <v>1.3520925933365079E-4</v>
      </c>
    </row>
    <row r="9" spans="1:23">
      <c r="A9">
        <v>5.6983042631347054E-6</v>
      </c>
      <c r="B9">
        <v>1.3197385665728017E-14</v>
      </c>
      <c r="C9">
        <v>8.0001903478730364E-15</v>
      </c>
      <c r="D9">
        <v>5.2701330596919252E-11</v>
      </c>
      <c r="E9">
        <v>5.1385463462455638E-14</v>
      </c>
      <c r="F9">
        <v>5.9381871827426602E-11</v>
      </c>
      <c r="G9">
        <v>5.5361390169150879E-11</v>
      </c>
      <c r="H9">
        <v>4.8845463360921593E-12</v>
      </c>
      <c r="I9">
        <v>4.6527978572168742E-11</v>
      </c>
      <c r="J9">
        <v>5.1717816423522477E-14</v>
      </c>
      <c r="K9">
        <v>1.3627620692770733E-11</v>
      </c>
      <c r="L9">
        <v>2.3508297257586E-12</v>
      </c>
      <c r="M9">
        <v>5.6454167992452705E-14</v>
      </c>
      <c r="N9">
        <v>3.4310805506173467E-11</v>
      </c>
      <c r="O9">
        <v>1.2064098066047684E-14</v>
      </c>
      <c r="P9">
        <v>5.3947090790892076E-13</v>
      </c>
      <c r="Q9">
        <v>4.3129305521423903E-13</v>
      </c>
      <c r="R9">
        <v>1.2941087067466382E-14</v>
      </c>
      <c r="S9">
        <v>1.1617545821897533E-12</v>
      </c>
      <c r="T9">
        <v>1.4959710620060293E-12</v>
      </c>
      <c r="U9">
        <v>1.2634692307733509E-12</v>
      </c>
      <c r="V9">
        <v>6.218312088256092E-14</v>
      </c>
      <c r="W9">
        <v>1.1787205446958659E-5</v>
      </c>
    </row>
    <row r="10" spans="1:23">
      <c r="A10">
        <v>5.9972127309316227E-5</v>
      </c>
      <c r="B10">
        <v>1.1705013721232895E-13</v>
      </c>
      <c r="C10">
        <v>8.3167722753173955E-14</v>
      </c>
      <c r="D10">
        <v>4.8778653633895933E-10</v>
      </c>
      <c r="E10">
        <v>5.2090762236653591E-13</v>
      </c>
      <c r="F10">
        <v>5.3268908871503854E-10</v>
      </c>
      <c r="G10">
        <v>5.213162677458787E-10</v>
      </c>
      <c r="H10">
        <v>4.6527978572168742E-11</v>
      </c>
      <c r="I10">
        <v>4.6518788821571593E-10</v>
      </c>
      <c r="J10">
        <v>4.7107574108010142E-13</v>
      </c>
      <c r="K10">
        <v>1.1095039964696215E-10</v>
      </c>
      <c r="L10">
        <v>2.3647663911421687E-11</v>
      </c>
      <c r="M10">
        <v>5.8874681365468624E-13</v>
      </c>
      <c r="N10">
        <v>3.023194213663678E-10</v>
      </c>
      <c r="O10">
        <v>1.1339755002179027E-13</v>
      </c>
      <c r="P10">
        <v>4.844291156812851E-12</v>
      </c>
      <c r="Q10">
        <v>4.2379467986628386E-12</v>
      </c>
      <c r="R10">
        <v>1.2861830415725798E-13</v>
      </c>
      <c r="S10">
        <v>1.0717376804616468E-11</v>
      </c>
      <c r="T10">
        <v>1.4134920607805636E-11</v>
      </c>
      <c r="U10">
        <v>1.2848631653677394E-11</v>
      </c>
      <c r="V10">
        <v>6.276277632865239E-13</v>
      </c>
      <c r="W10">
        <v>1.0862214237121256E-4</v>
      </c>
    </row>
    <row r="11" spans="1:23">
      <c r="A11">
        <v>5.4286016604981E-8</v>
      </c>
      <c r="B11">
        <v>1.4971777188997549E-16</v>
      </c>
      <c r="C11">
        <v>7.7358092211970527E-17</v>
      </c>
      <c r="D11">
        <v>5.7563929673857221E-13</v>
      </c>
      <c r="E11">
        <v>5.1099106340684092E-16</v>
      </c>
      <c r="F11">
        <v>6.6713589731232326E-13</v>
      </c>
      <c r="G11">
        <v>5.942875891252842E-13</v>
      </c>
      <c r="H11">
        <v>5.1717816423522477E-14</v>
      </c>
      <c r="I11">
        <v>4.7107574108010142E-13</v>
      </c>
      <c r="J11">
        <v>5.741200148807371E-16</v>
      </c>
      <c r="K11">
        <v>1.6600047877789768E-13</v>
      </c>
      <c r="L11">
        <v>2.3545516995516667E-14</v>
      </c>
      <c r="M11">
        <v>5.4331127646041486E-16</v>
      </c>
      <c r="N11">
        <v>3.9221109343919393E-13</v>
      </c>
      <c r="O11">
        <v>1.2963073822509411E-16</v>
      </c>
      <c r="P11">
        <v>6.0572558253164154E-15</v>
      </c>
      <c r="Q11">
        <v>4.4247105356733275E-15</v>
      </c>
      <c r="R11">
        <v>1.3120846307153211E-16</v>
      </c>
      <c r="S11">
        <v>1.2719359480651883E-14</v>
      </c>
      <c r="T11">
        <v>1.6008266245708708E-14</v>
      </c>
      <c r="U11">
        <v>1.2544968355970815E-14</v>
      </c>
      <c r="V11">
        <v>6.211274376341151E-16</v>
      </c>
      <c r="W11">
        <v>1.2947381162877234E-7</v>
      </c>
    </row>
    <row r="12" spans="1:23">
      <c r="A12">
        <v>1.0976384280886864E-5</v>
      </c>
      <c r="B12">
        <v>4.5665912839600136E-14</v>
      </c>
      <c r="C12">
        <v>1.623287531139544E-14</v>
      </c>
      <c r="D12">
        <v>1.6177021739102708E-10</v>
      </c>
      <c r="E12">
        <v>1.1527290839098602E-13</v>
      </c>
      <c r="F12">
        <v>1.990706163111523E-10</v>
      </c>
      <c r="G12">
        <v>1.6114786865121052E-10</v>
      </c>
      <c r="H12">
        <v>1.3627620692770733E-11</v>
      </c>
      <c r="I12">
        <v>1.1095039964696215E-10</v>
      </c>
      <c r="J12">
        <v>1.6600047877789768E-13</v>
      </c>
      <c r="K12">
        <v>5.7724299730223874E-11</v>
      </c>
      <c r="L12">
        <v>5.4455259086849564E-12</v>
      </c>
      <c r="M12">
        <v>1.1276033711801225E-13</v>
      </c>
      <c r="N12">
        <v>1.2103196610459348E-10</v>
      </c>
      <c r="O12">
        <v>3.5151102864445244E-14</v>
      </c>
      <c r="P12">
        <v>1.804871894222405E-12</v>
      </c>
      <c r="Q12">
        <v>1.0822847712737572E-12</v>
      </c>
      <c r="R12">
        <v>3.1175058132647655E-14</v>
      </c>
      <c r="S12">
        <v>3.5879341891688478E-12</v>
      </c>
      <c r="T12">
        <v>4.3072434186626075E-12</v>
      </c>
      <c r="U12">
        <v>2.8139302925891145E-12</v>
      </c>
      <c r="V12">
        <v>1.4221571243489595E-13</v>
      </c>
      <c r="W12">
        <v>3.7627922736419334E-5</v>
      </c>
    </row>
    <row r="13" spans="1:23">
      <c r="A13">
        <v>3.0860028918333832E-6</v>
      </c>
      <c r="B13">
        <v>5.8367311947617161E-15</v>
      </c>
      <c r="C13">
        <v>4.2733816491406581E-15</v>
      </c>
      <c r="D13">
        <v>2.4454714063862276E-11</v>
      </c>
      <c r="E13">
        <v>2.6594198804820986E-14</v>
      </c>
      <c r="F13">
        <v>2.6576140148998216E-11</v>
      </c>
      <c r="G13">
        <v>2.6247539348239355E-11</v>
      </c>
      <c r="H13">
        <v>2.3508297257586E-12</v>
      </c>
      <c r="I13">
        <v>2.3647663911421687E-11</v>
      </c>
      <c r="J13">
        <v>2.3545516995516667E-14</v>
      </c>
      <c r="K13">
        <v>5.4455259086849564E-12</v>
      </c>
      <c r="L13">
        <v>1.2089929674923884E-12</v>
      </c>
      <c r="M13">
        <v>3.0287021201199917E-14</v>
      </c>
      <c r="N13">
        <v>1.5021394080431056E-11</v>
      </c>
      <c r="O13">
        <v>5.7108406544959102E-15</v>
      </c>
      <c r="P13">
        <v>2.4177126381070132E-13</v>
      </c>
      <c r="Q13">
        <v>2.1547199463447956E-13</v>
      </c>
      <c r="R13">
        <v>6.5582104807215676E-15</v>
      </c>
      <c r="S13">
        <v>5.3760631424451933E-13</v>
      </c>
      <c r="T13">
        <v>7.1242586130059847E-13</v>
      </c>
      <c r="U13">
        <v>6.561051355687088E-13</v>
      </c>
      <c r="V13">
        <v>3.2076843730296283E-14</v>
      </c>
      <c r="W13">
        <v>5.4566727193727237E-6</v>
      </c>
    </row>
    <row r="14" spans="1:23">
      <c r="A14">
        <v>7.9940003437182368E-8</v>
      </c>
      <c r="B14">
        <v>1.3168586598204632E-16</v>
      </c>
      <c r="C14">
        <v>1.0972693888967863E-16</v>
      </c>
      <c r="D14">
        <v>5.7216548976538455E-13</v>
      </c>
      <c r="E14">
        <v>6.6986129793798067E-16</v>
      </c>
      <c r="F14">
        <v>6.0511328050634505E-13</v>
      </c>
      <c r="G14">
        <v>6.2356634230740433E-13</v>
      </c>
      <c r="H14">
        <v>5.6454167992452705E-14</v>
      </c>
      <c r="I14">
        <v>5.8874681365468624E-13</v>
      </c>
      <c r="J14">
        <v>5.4331127646041486E-16</v>
      </c>
      <c r="K14">
        <v>1.1276033711801225E-13</v>
      </c>
      <c r="L14">
        <v>3.0287021201199917E-14</v>
      </c>
      <c r="M14">
        <v>7.8028811128405971E-16</v>
      </c>
      <c r="N14">
        <v>3.3624726739437845E-13</v>
      </c>
      <c r="O14">
        <v>1.3553930581821657E-16</v>
      </c>
      <c r="P14">
        <v>5.5110407469083732E-15</v>
      </c>
      <c r="Q14">
        <v>5.29959015560549E-15</v>
      </c>
      <c r="R14">
        <v>1.6295026464130893E-16</v>
      </c>
      <c r="S14">
        <v>1.2549541511839374E-14</v>
      </c>
      <c r="T14">
        <v>1.6975777932058626E-14</v>
      </c>
      <c r="U14">
        <v>1.6564960838654968E-14</v>
      </c>
      <c r="V14">
        <v>8.0551320580790387E-16</v>
      </c>
      <c r="W14">
        <v>1.2780713255230424E-7</v>
      </c>
    </row>
    <row r="15" spans="1:23">
      <c r="A15">
        <v>3.3422311374601931E-5</v>
      </c>
      <c r="B15">
        <v>1.0425861364598506E-13</v>
      </c>
      <c r="C15">
        <v>4.803322581561608E-14</v>
      </c>
      <c r="D15">
        <v>3.8991954167141169E-10</v>
      </c>
      <c r="E15">
        <v>3.2366560909349355E-13</v>
      </c>
      <c r="F15">
        <v>4.6113994970436886E-10</v>
      </c>
      <c r="G15">
        <v>3.9814158364709075E-10</v>
      </c>
      <c r="H15">
        <v>3.4310805506173467E-11</v>
      </c>
      <c r="I15">
        <v>3.023194213663678E-10</v>
      </c>
      <c r="J15">
        <v>3.9221109343919393E-13</v>
      </c>
      <c r="K15">
        <v>1.2103196610459348E-10</v>
      </c>
      <c r="L15">
        <v>1.5021394080431056E-11</v>
      </c>
      <c r="M15">
        <v>3.3624726739437845E-13</v>
      </c>
      <c r="N15">
        <v>2.7446027374752813E-10</v>
      </c>
      <c r="O15">
        <v>8.6724137601795468E-14</v>
      </c>
      <c r="P15">
        <v>4.1853809906901855E-12</v>
      </c>
      <c r="Q15">
        <v>2.8695762737645228E-12</v>
      </c>
      <c r="R15">
        <v>8.4304125611813848E-14</v>
      </c>
      <c r="S15">
        <v>8.6229414854926173E-12</v>
      </c>
      <c r="T15">
        <v>1.0692409638773105E-11</v>
      </c>
      <c r="U15">
        <v>7.9369600252500228E-12</v>
      </c>
      <c r="V15">
        <v>3.9512589090082294E-13</v>
      </c>
      <c r="W15">
        <v>8.8706372758237011E-5</v>
      </c>
    </row>
    <row r="16" spans="1:23">
      <c r="A16">
        <v>1.3620619076975209E-8</v>
      </c>
      <c r="B16">
        <v>3.3280810017930627E-17</v>
      </c>
      <c r="C16">
        <v>1.9242235560806709E-17</v>
      </c>
      <c r="D16">
        <v>1.314491106748175E-13</v>
      </c>
      <c r="E16">
        <v>1.2464899998955474E-16</v>
      </c>
      <c r="F16">
        <v>1.4939909081368581E-13</v>
      </c>
      <c r="G16">
        <v>1.3723504250754291E-13</v>
      </c>
      <c r="H16">
        <v>1.2064098066047684E-14</v>
      </c>
      <c r="I16">
        <v>1.1339755002179027E-13</v>
      </c>
      <c r="J16">
        <v>1.2963073822509411E-16</v>
      </c>
      <c r="K16">
        <v>3.5151102864445244E-14</v>
      </c>
      <c r="L16">
        <v>5.7108406544959102E-15</v>
      </c>
      <c r="M16">
        <v>1.3553930581821657E-16</v>
      </c>
      <c r="N16">
        <v>8.6724137601795468E-14</v>
      </c>
      <c r="O16">
        <v>2.9984378416641232E-17</v>
      </c>
      <c r="P16">
        <v>1.3569002442149842E-15</v>
      </c>
      <c r="Q16">
        <v>1.0561795946027259E-15</v>
      </c>
      <c r="R16">
        <v>3.155665828365083E-17</v>
      </c>
      <c r="S16">
        <v>2.9004396925110724E-15</v>
      </c>
      <c r="T16">
        <v>3.7101251288514866E-15</v>
      </c>
      <c r="U16">
        <v>3.060823944356394E-15</v>
      </c>
      <c r="V16">
        <v>1.5091933374195822E-16</v>
      </c>
      <c r="W16">
        <v>2.9378031186444002E-8</v>
      </c>
    </row>
    <row r="17" spans="1:23">
      <c r="A17">
        <v>5.4949540467940412E-7</v>
      </c>
      <c r="B17">
        <v>1.5954507910817705E-15</v>
      </c>
      <c r="C17">
        <v>7.8566377024895853E-16</v>
      </c>
      <c r="D17">
        <v>6.055290025874492E-12</v>
      </c>
      <c r="E17">
        <v>5.2264516142913E-15</v>
      </c>
      <c r="F17">
        <v>7.0833492214234932E-12</v>
      </c>
      <c r="G17">
        <v>6.2262247699134467E-12</v>
      </c>
      <c r="H17">
        <v>5.3947090790892076E-13</v>
      </c>
      <c r="I17">
        <v>4.844291156812851E-12</v>
      </c>
      <c r="J17">
        <v>6.0572558253164154E-15</v>
      </c>
      <c r="K17">
        <v>1.804871894222405E-12</v>
      </c>
      <c r="L17">
        <v>2.4177126381070132E-13</v>
      </c>
      <c r="M17">
        <v>5.5110407469083732E-15</v>
      </c>
      <c r="N17">
        <v>4.1853809906901855E-12</v>
      </c>
      <c r="O17">
        <v>1.3569002442149842E-15</v>
      </c>
      <c r="P17">
        <v>6.4372574898152887E-14</v>
      </c>
      <c r="Q17">
        <v>4.5720288829895971E-14</v>
      </c>
      <c r="R17">
        <v>1.3495470504232252E-15</v>
      </c>
      <c r="S17">
        <v>1.3388687681995927E-13</v>
      </c>
      <c r="T17">
        <v>1.6744483730021441E-13</v>
      </c>
      <c r="U17">
        <v>1.2820664322469949E-13</v>
      </c>
      <c r="V17">
        <v>6.3663889199319236E-15</v>
      </c>
      <c r="W17">
        <v>1.3705296945147866E-6</v>
      </c>
    </row>
    <row r="18" spans="1:23">
      <c r="A18">
        <v>5.3776211584196151E-7</v>
      </c>
      <c r="B18">
        <v>1.1100730716657448E-15</v>
      </c>
      <c r="C18">
        <v>7.49885950755504E-16</v>
      </c>
      <c r="D18">
        <v>4.5583164219768284E-12</v>
      </c>
      <c r="E18">
        <v>4.7307999312027623E-15</v>
      </c>
      <c r="F18">
        <v>5.0322984928884809E-12</v>
      </c>
      <c r="G18">
        <v>4.8433665426646878E-12</v>
      </c>
      <c r="H18">
        <v>4.3129305521423903E-13</v>
      </c>
      <c r="I18">
        <v>4.2379467986628386E-12</v>
      </c>
      <c r="J18">
        <v>4.4247105356733275E-15</v>
      </c>
      <c r="K18">
        <v>1.0822847712737572E-12</v>
      </c>
      <c r="L18">
        <v>2.1547199463447956E-13</v>
      </c>
      <c r="M18">
        <v>5.29959015560549E-15</v>
      </c>
      <c r="N18">
        <v>2.8695762737645228E-12</v>
      </c>
      <c r="O18">
        <v>1.0561795946027259E-15</v>
      </c>
      <c r="P18">
        <v>4.5720288829895971E-14</v>
      </c>
      <c r="Q18">
        <v>3.8977523223020172E-14</v>
      </c>
      <c r="R18">
        <v>1.1769743101693494E-15</v>
      </c>
      <c r="S18">
        <v>1.0033005792207284E-13</v>
      </c>
      <c r="T18">
        <v>1.3141314833961614E-13</v>
      </c>
      <c r="U18">
        <v>1.1643890008297156E-13</v>
      </c>
      <c r="V18">
        <v>5.7104031335747501E-15</v>
      </c>
      <c r="W18">
        <v>1.0148512572905703E-6</v>
      </c>
    </row>
    <row r="19" spans="1:23">
      <c r="A19">
        <v>1.655627710678932E-8</v>
      </c>
      <c r="B19">
        <v>3.2688588928123722E-17</v>
      </c>
      <c r="C19">
        <v>2.301243563847937E-17</v>
      </c>
      <c r="D19">
        <v>1.356329504700484E-13</v>
      </c>
      <c r="E19">
        <v>1.4417844521655269E-16</v>
      </c>
      <c r="F19">
        <v>1.484939380171319E-13</v>
      </c>
      <c r="G19">
        <v>1.4484004191291399E-13</v>
      </c>
      <c r="H19">
        <v>1.2941087067466382E-14</v>
      </c>
      <c r="I19">
        <v>1.2861830415725798E-13</v>
      </c>
      <c r="J19">
        <v>1.3120846307153211E-16</v>
      </c>
      <c r="K19">
        <v>3.1175058132647655E-14</v>
      </c>
      <c r="L19">
        <v>6.5582104807215676E-15</v>
      </c>
      <c r="M19">
        <v>1.6295026464130893E-16</v>
      </c>
      <c r="N19">
        <v>8.4304125611813848E-14</v>
      </c>
      <c r="O19">
        <v>3.155665828365083E-17</v>
      </c>
      <c r="P19">
        <v>1.3495470504232252E-15</v>
      </c>
      <c r="Q19">
        <v>1.1769743101693494E-15</v>
      </c>
      <c r="R19">
        <v>3.573934516666232E-17</v>
      </c>
      <c r="S19">
        <v>2.9843171802271837E-15</v>
      </c>
      <c r="T19">
        <v>3.9305987557125669E-15</v>
      </c>
      <c r="U19">
        <v>3.5545992976014368E-15</v>
      </c>
      <c r="V19">
        <v>1.7396971741335625E-16</v>
      </c>
      <c r="W19">
        <v>3.0200960755404835E-8</v>
      </c>
    </row>
    <row r="20" spans="1:23">
      <c r="A20">
        <v>1.2578420495374901E-6</v>
      </c>
      <c r="B20">
        <v>3.2987139296483282E-15</v>
      </c>
      <c r="C20">
        <v>1.7858067016828233E-15</v>
      </c>
      <c r="D20">
        <v>1.2815087891327711E-11</v>
      </c>
      <c r="E20">
        <v>1.1690199575153653E-14</v>
      </c>
      <c r="F20">
        <v>1.4742592163836991E-11</v>
      </c>
      <c r="G20">
        <v>1.3294674297812864E-11</v>
      </c>
      <c r="H20">
        <v>1.1617545821897533E-12</v>
      </c>
      <c r="I20">
        <v>1.0717376804616468E-11</v>
      </c>
      <c r="J20">
        <v>1.2719359480651883E-14</v>
      </c>
      <c r="K20">
        <v>3.5879341891688478E-12</v>
      </c>
      <c r="L20">
        <v>5.3760631424451933E-13</v>
      </c>
      <c r="M20">
        <v>1.2549541511839374E-14</v>
      </c>
      <c r="N20">
        <v>8.6229414854926173E-12</v>
      </c>
      <c r="O20">
        <v>2.9004396925110724E-15</v>
      </c>
      <c r="P20">
        <v>1.3388687681995927E-13</v>
      </c>
      <c r="Q20">
        <v>1.0033005792207284E-13</v>
      </c>
      <c r="R20">
        <v>2.9843171802271837E-15</v>
      </c>
      <c r="S20">
        <v>2.8333303296149783E-13</v>
      </c>
      <c r="T20">
        <v>3.5872459009525416E-13</v>
      </c>
      <c r="U20">
        <v>2.8711590583463957E-13</v>
      </c>
      <c r="V20">
        <v>1.4192799592324711E-14</v>
      </c>
      <c r="W20">
        <v>2.8781654959064041E-6</v>
      </c>
    </row>
    <row r="21" spans="1:23">
      <c r="A21">
        <v>1.7110563130634943E-6</v>
      </c>
      <c r="B21">
        <v>4.1046534420027564E-15</v>
      </c>
      <c r="C21">
        <v>2.4107930643913194E-15</v>
      </c>
      <c r="D21">
        <v>1.6250638034461532E-11</v>
      </c>
      <c r="E21">
        <v>1.5550408482936657E-14</v>
      </c>
      <c r="F21">
        <v>1.8434297674302578E-11</v>
      </c>
      <c r="G21">
        <v>1.7004859869719367E-11</v>
      </c>
      <c r="H21">
        <v>1.4959710620060293E-12</v>
      </c>
      <c r="I21">
        <v>1.4134920607805636E-11</v>
      </c>
      <c r="J21">
        <v>1.6008266245708708E-14</v>
      </c>
      <c r="K21">
        <v>4.3072434186626075E-12</v>
      </c>
      <c r="L21">
        <v>7.1242586130059847E-13</v>
      </c>
      <c r="M21">
        <v>1.6975777932058626E-14</v>
      </c>
      <c r="N21">
        <v>1.0692409638773105E-11</v>
      </c>
      <c r="O21">
        <v>3.7101251288514866E-15</v>
      </c>
      <c r="P21">
        <v>1.6744483730021441E-13</v>
      </c>
      <c r="Q21">
        <v>1.3141314833961614E-13</v>
      </c>
      <c r="R21">
        <v>3.9305987557125669E-15</v>
      </c>
      <c r="S21">
        <v>3.5872459009525416E-13</v>
      </c>
      <c r="T21">
        <v>4.6002806026717811E-13</v>
      </c>
      <c r="U21">
        <v>3.8238329264773071E-13</v>
      </c>
      <c r="V21">
        <v>1.8836654411967864E-14</v>
      </c>
      <c r="W21">
        <v>3.6410219799373806E-6</v>
      </c>
    </row>
    <row r="22" spans="1:23">
      <c r="A22">
        <v>1.6916348177459398E-6</v>
      </c>
      <c r="B22">
        <v>3.0844235037368703E-15</v>
      </c>
      <c r="C22">
        <v>2.3352964275368549E-15</v>
      </c>
      <c r="D22">
        <v>1.306261363860616E-11</v>
      </c>
      <c r="E22">
        <v>1.4477735664302175E-14</v>
      </c>
      <c r="F22">
        <v>1.40880635551728E-11</v>
      </c>
      <c r="G22">
        <v>1.4076662891541152E-11</v>
      </c>
      <c r="H22">
        <v>1.2634692307733509E-12</v>
      </c>
      <c r="I22">
        <v>1.2848631653677394E-11</v>
      </c>
      <c r="J22">
        <v>1.2544968355970815E-14</v>
      </c>
      <c r="K22">
        <v>2.8139302925891145E-12</v>
      </c>
      <c r="L22">
        <v>6.561051355687088E-13</v>
      </c>
      <c r="M22">
        <v>1.6564960838654968E-14</v>
      </c>
      <c r="N22">
        <v>7.9369600252500228E-12</v>
      </c>
      <c r="O22">
        <v>3.060823944356394E-15</v>
      </c>
      <c r="P22">
        <v>1.2820664322469949E-13</v>
      </c>
      <c r="Q22">
        <v>1.1643890008297156E-13</v>
      </c>
      <c r="R22">
        <v>3.5545992976014368E-15</v>
      </c>
      <c r="S22">
        <v>2.8711590583463957E-13</v>
      </c>
      <c r="T22">
        <v>3.8238329264773071E-13</v>
      </c>
      <c r="U22">
        <v>3.580245261173428E-13</v>
      </c>
      <c r="V22">
        <v>1.7434936306989559E-14</v>
      </c>
      <c r="W22">
        <v>2.9114812866683362E-6</v>
      </c>
    </row>
    <row r="23" spans="1:23">
      <c r="A23">
        <v>8.2103353979321905E-8</v>
      </c>
      <c r="B23">
        <v>1.5357412931457138E-16</v>
      </c>
      <c r="C23">
        <v>1.1363763922751613E-16</v>
      </c>
      <c r="D23">
        <v>6.4576839849291486E-13</v>
      </c>
      <c r="E23">
        <v>7.0642108455239386E-16</v>
      </c>
      <c r="F23">
        <v>6.9981365948674412E-13</v>
      </c>
      <c r="G23">
        <v>6.937268847004742E-13</v>
      </c>
      <c r="H23">
        <v>6.218312088256092E-14</v>
      </c>
      <c r="I23">
        <v>6.276277632865239E-13</v>
      </c>
      <c r="J23">
        <v>6.211274376341151E-16</v>
      </c>
      <c r="K23">
        <v>1.4221571243489595E-13</v>
      </c>
      <c r="L23">
        <v>3.2076843730296283E-14</v>
      </c>
      <c r="M23">
        <v>8.0551320580790387E-16</v>
      </c>
      <c r="N23">
        <v>3.9512589090082294E-13</v>
      </c>
      <c r="O23">
        <v>1.5091933374195822E-16</v>
      </c>
      <c r="P23">
        <v>6.3663889199319236E-15</v>
      </c>
      <c r="Q23">
        <v>5.7104031335747501E-15</v>
      </c>
      <c r="R23">
        <v>1.7396971741335625E-16</v>
      </c>
      <c r="S23">
        <v>1.4192799592324711E-14</v>
      </c>
      <c r="T23">
        <v>1.8836654411967864E-14</v>
      </c>
      <c r="U23">
        <v>1.7434936306989559E-14</v>
      </c>
      <c r="V23">
        <v>8.5190268614534154E-16</v>
      </c>
      <c r="W23">
        <v>1.4385997514250531E-7</v>
      </c>
    </row>
    <row r="24" spans="1:23">
      <c r="A24">
        <v>12.91598208365445</v>
      </c>
      <c r="B24">
        <v>3.3871445412913883E-8</v>
      </c>
      <c r="C24">
        <v>1.8158925129725812E-8</v>
      </c>
      <c r="D24">
        <v>1.303735131277949E-4</v>
      </c>
      <c r="E24">
        <v>1.1834769397747443E-7</v>
      </c>
      <c r="F24">
        <v>1.5097287394177502E-4</v>
      </c>
      <c r="G24">
        <v>1.3520925933365079E-4</v>
      </c>
      <c r="H24">
        <v>1.1787205446958659E-5</v>
      </c>
      <c r="I24">
        <v>1.0862214237121256E-4</v>
      </c>
      <c r="J24">
        <v>1.2947381162877234E-7</v>
      </c>
      <c r="K24">
        <v>3.7627922736419334E-5</v>
      </c>
      <c r="L24">
        <v>5.4566727193727237E-6</v>
      </c>
      <c r="M24">
        <v>1.2780713255230424E-7</v>
      </c>
      <c r="N24">
        <v>8.8706372758237011E-5</v>
      </c>
      <c r="O24">
        <v>2.9378031186444002E-8</v>
      </c>
      <c r="P24">
        <v>1.3705296945147866E-6</v>
      </c>
      <c r="Q24">
        <v>1.0148512572905703E-6</v>
      </c>
      <c r="R24">
        <v>3.0200960755404835E-8</v>
      </c>
      <c r="S24">
        <v>2.8781654959064041E-6</v>
      </c>
      <c r="T24">
        <v>3.6410219799373806E-6</v>
      </c>
      <c r="U24">
        <v>2.9114812866683362E-6</v>
      </c>
      <c r="V24">
        <v>1.4385997514250531E-7</v>
      </c>
      <c r="W24">
        <v>30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3760E-D0F4-4D6C-9677-9C0AAD27E534}">
  <sheetPr codeName="Planilha8"/>
  <dimension ref="A1:W24"/>
  <sheetViews>
    <sheetView workbookViewId="0">
      <selection activeCell="A2" sqref="A2:W24"/>
    </sheetView>
  </sheetViews>
  <sheetFormatPr defaultRowHeight="14.4"/>
  <sheetData>
    <row r="1" spans="1:23">
      <c r="A1" t="s">
        <v>8</v>
      </c>
    </row>
    <row r="2" spans="1:23">
      <c r="A2">
        <f t="array" ref="A2:W24">MINVERSE('Matrix (R)^t.(R)'!$A$2:$W$24)</f>
        <v>140.97375114676061</v>
      </c>
      <c r="B2">
        <v>-10211063290.157644</v>
      </c>
      <c r="C2">
        <v>102656489632.68193</v>
      </c>
      <c r="D2">
        <v>24679856.959842604</v>
      </c>
      <c r="E2">
        <v>4864058619.2286215</v>
      </c>
      <c r="F2">
        <v>16922571.366285775</v>
      </c>
      <c r="G2">
        <v>25322764.485528395</v>
      </c>
      <c r="H2">
        <v>-209422762.81694588</v>
      </c>
      <c r="I2">
        <v>-56494441.605265915</v>
      </c>
      <c r="J2">
        <v>8035882869.4353189</v>
      </c>
      <c r="K2">
        <v>14248927.516990948</v>
      </c>
      <c r="L2">
        <v>84255727.26600714</v>
      </c>
      <c r="M2">
        <v>-12310876195.513083</v>
      </c>
      <c r="N2">
        <v>-24444102.186021838</v>
      </c>
      <c r="O2">
        <v>-15930455575.732512</v>
      </c>
      <c r="P2">
        <v>-12404982.775497898</v>
      </c>
      <c r="Q2">
        <v>1205492643.257941</v>
      </c>
      <c r="R2">
        <v>-62494611259.015648</v>
      </c>
      <c r="S2">
        <v>-317526132.00374788</v>
      </c>
      <c r="T2">
        <v>-281723412.86766219</v>
      </c>
      <c r="U2">
        <v>1238618017.5155115</v>
      </c>
      <c r="V2">
        <v>-9375771092.6724911</v>
      </c>
      <c r="W2">
        <v>-65.644481133356336</v>
      </c>
    </row>
    <row r="3" spans="1:23">
      <c r="A3">
        <v>-10211063290.751293</v>
      </c>
      <c r="B3">
        <v>1.1829029050681115E+20</v>
      </c>
      <c r="C3">
        <v>-4.8629885529866019E+19</v>
      </c>
      <c r="D3">
        <v>-4104159357049388.5</v>
      </c>
      <c r="E3">
        <v>1.1576099359600777E+19</v>
      </c>
      <c r="F3">
        <v>-2.2006905333413828E+16</v>
      </c>
      <c r="G3">
        <v>-6849345602778246</v>
      </c>
      <c r="H3">
        <v>-1.8057973365471638E+17</v>
      </c>
      <c r="I3">
        <v>6819128436267081</v>
      </c>
      <c r="J3">
        <v>-1.713258053488459E+18</v>
      </c>
      <c r="K3">
        <v>-4.7041842211083344E+16</v>
      </c>
      <c r="L3">
        <v>9083467407563372</v>
      </c>
      <c r="M3">
        <v>-2.3575514509893996E+18</v>
      </c>
      <c r="N3">
        <v>1.1289187291589446E+16</v>
      </c>
      <c r="O3">
        <v>9.2304434464516522E+19</v>
      </c>
      <c r="P3">
        <v>-8.2161811057022477E+17</v>
      </c>
      <c r="Q3">
        <v>-3.5267072659696838E+17</v>
      </c>
      <c r="R3">
        <v>2.8166471193110934E+19</v>
      </c>
      <c r="S3">
        <v>4.4142781039695424E+17</v>
      </c>
      <c r="T3">
        <v>-3.4391835219038451E+17</v>
      </c>
      <c r="U3">
        <v>-4.0060775039475904E+17</v>
      </c>
      <c r="V3">
        <v>6.8852747997304614E+17</v>
      </c>
      <c r="W3">
        <v>67418637203.656853</v>
      </c>
    </row>
    <row r="4" spans="1:23">
      <c r="A4">
        <v>102656489633.31088</v>
      </c>
      <c r="B4">
        <v>-4.8629885527867007E+19</v>
      </c>
      <c r="C4">
        <v>6.9004054675375758E+20</v>
      </c>
      <c r="D4">
        <v>6.7050749307113568E+16</v>
      </c>
      <c r="E4">
        <v>4.0590742246579094E+19</v>
      </c>
      <c r="F4">
        <v>6.9035874105408768E+16</v>
      </c>
      <c r="G4">
        <v>5.4613348206908128E+16</v>
      </c>
      <c r="H4">
        <v>1.492604979697273E+17</v>
      </c>
      <c r="I4">
        <v>-2.0992835948080269E+17</v>
      </c>
      <c r="J4">
        <v>5.2619406129475895E+19</v>
      </c>
      <c r="K4">
        <v>1690263387128225.5</v>
      </c>
      <c r="L4">
        <v>5.4419265264852467E+17</v>
      </c>
      <c r="M4">
        <v>-7.4863721434253443E+19</v>
      </c>
      <c r="N4">
        <v>-8.6711420676245632E+16</v>
      </c>
      <c r="O4">
        <v>-1.2820443229470918E+20</v>
      </c>
      <c r="P4">
        <v>9.8051736070702451E+17</v>
      </c>
      <c r="Q4">
        <v>9.9237490332433248E+16</v>
      </c>
      <c r="R4">
        <v>-3.3178516090616755E+20</v>
      </c>
      <c r="S4">
        <v>-3.7228841272725601E+18</v>
      </c>
      <c r="T4">
        <v>-2.2571166243231283E+17</v>
      </c>
      <c r="U4">
        <v>4.8443677229139118E+18</v>
      </c>
      <c r="V4">
        <v>-1.507169428833263E+19</v>
      </c>
      <c r="W4">
        <v>-105363550854.61996</v>
      </c>
    </row>
    <row r="5" spans="1:23">
      <c r="A5">
        <v>24679856.959972527</v>
      </c>
      <c r="B5">
        <v>-4104159356726697</v>
      </c>
      <c r="C5">
        <v>6.705074930740356E+16</v>
      </c>
      <c r="D5">
        <v>13802346082598.934</v>
      </c>
      <c r="E5">
        <v>9333859454331674</v>
      </c>
      <c r="F5">
        <v>5523886742401.4297</v>
      </c>
      <c r="G5">
        <v>5852280021061.9541</v>
      </c>
      <c r="H5">
        <v>-28973553811506.41</v>
      </c>
      <c r="I5">
        <v>-32784887780318.617</v>
      </c>
      <c r="J5">
        <v>7737719350099238</v>
      </c>
      <c r="K5">
        <v>-1619528493518.1985</v>
      </c>
      <c r="L5">
        <v>135037067355166.17</v>
      </c>
      <c r="M5">
        <v>-8046235689588338</v>
      </c>
      <c r="N5">
        <v>-11557575640325.381</v>
      </c>
      <c r="O5">
        <v>-3.384141271666182E+16</v>
      </c>
      <c r="P5">
        <v>392396585720008</v>
      </c>
      <c r="Q5">
        <v>192745732853965.34</v>
      </c>
      <c r="R5">
        <v>-4.0003599789113896E+16</v>
      </c>
      <c r="S5">
        <v>-430751026860227.44</v>
      </c>
      <c r="T5">
        <v>91567997407734.203</v>
      </c>
      <c r="U5">
        <v>675193423448226.25</v>
      </c>
      <c r="V5">
        <v>-5581246947954959</v>
      </c>
      <c r="W5">
        <v>-14523637.63803429</v>
      </c>
    </row>
    <row r="6" spans="1:23">
      <c r="A6">
        <v>4864058619.345849</v>
      </c>
      <c r="B6">
        <v>1.1576099359886365E+19</v>
      </c>
      <c r="C6">
        <v>4.0590742246937018E+19</v>
      </c>
      <c r="D6">
        <v>9333859454343076</v>
      </c>
      <c r="E6">
        <v>1.7845452370822715E+19</v>
      </c>
      <c r="F6">
        <v>3466451812058620.5</v>
      </c>
      <c r="G6">
        <v>1913027472848689.3</v>
      </c>
      <c r="H6">
        <v>-5.5905473085630936E+16</v>
      </c>
      <c r="I6">
        <v>-3.033557722253992E+16</v>
      </c>
      <c r="J6">
        <v>8.3753112025713285E+18</v>
      </c>
      <c r="K6">
        <v>-9843305304518196</v>
      </c>
      <c r="L6">
        <v>1.4618550779288906E+17</v>
      </c>
      <c r="M6">
        <v>-8.1317328460539546E+18</v>
      </c>
      <c r="N6">
        <v>-1.0701170264275254E+16</v>
      </c>
      <c r="O6">
        <v>-4.3489978104456217E+19</v>
      </c>
      <c r="P6">
        <v>6.9721821747495744E+17</v>
      </c>
      <c r="Q6">
        <v>4.0924574663215952E+16</v>
      </c>
      <c r="R6">
        <v>-2.20338149516032E+19</v>
      </c>
      <c r="S6">
        <v>-4.1219355205790682E+17</v>
      </c>
      <c r="T6">
        <v>1.4357073351894802E+17</v>
      </c>
      <c r="U6">
        <v>5.624291021223328E+17</v>
      </c>
      <c r="V6">
        <v>-6.1392852365292954E+18</v>
      </c>
      <c r="W6">
        <v>-553175490.82992148</v>
      </c>
    </row>
    <row r="7" spans="1:23">
      <c r="A7">
        <v>16922571.366445132</v>
      </c>
      <c r="B7">
        <v>-2.2006905333213188E+16</v>
      </c>
      <c r="C7">
        <v>6.903587410568896E+16</v>
      </c>
      <c r="D7">
        <v>5523886742426.9873</v>
      </c>
      <c r="E7">
        <v>3466451812072502</v>
      </c>
      <c r="F7">
        <v>15045452004718.854</v>
      </c>
      <c r="G7">
        <v>8134968712259.9688</v>
      </c>
      <c r="H7">
        <v>21167619482396.59</v>
      </c>
      <c r="I7">
        <v>-22940013240200.535</v>
      </c>
      <c r="J7">
        <v>5588583481970357</v>
      </c>
      <c r="K7">
        <v>8733786910509.3555</v>
      </c>
      <c r="L7">
        <v>32624900646001.105</v>
      </c>
      <c r="M7">
        <v>-6845055099181057</v>
      </c>
      <c r="N7">
        <v>-14111654695824.307</v>
      </c>
      <c r="O7">
        <v>-3.176815210867582E+16</v>
      </c>
      <c r="P7">
        <v>210050077604231.72</v>
      </c>
      <c r="Q7">
        <v>120143272201580.47</v>
      </c>
      <c r="R7">
        <v>-3.7081398435061544E+16</v>
      </c>
      <c r="S7">
        <v>-446417069363676.19</v>
      </c>
      <c r="T7">
        <v>12962294582397.625</v>
      </c>
      <c r="U7">
        <v>599661108772027.13</v>
      </c>
      <c r="V7">
        <v>-1201120520899000.8</v>
      </c>
      <c r="W7">
        <v>-26065101.506402336</v>
      </c>
    </row>
    <row r="8" spans="1:23">
      <c r="A8">
        <v>25322764.485568047</v>
      </c>
      <c r="B8">
        <v>-6849345602593533</v>
      </c>
      <c r="C8">
        <v>5.4613348206724584E+16</v>
      </c>
      <c r="D8">
        <v>5852280021024.9736</v>
      </c>
      <c r="E8">
        <v>1913027472808418.8</v>
      </c>
      <c r="F8">
        <v>8134968712214.2656</v>
      </c>
      <c r="G8">
        <v>12189174472584.604</v>
      </c>
      <c r="H8">
        <v>-40972481765678.703</v>
      </c>
      <c r="I8">
        <v>-19881728017879.027</v>
      </c>
      <c r="J8">
        <v>3319243120452893</v>
      </c>
      <c r="K8">
        <v>5738967967327.54</v>
      </c>
      <c r="L8">
        <v>11000806982584.258</v>
      </c>
      <c r="M8">
        <v>-4762581945303026</v>
      </c>
      <c r="N8">
        <v>-9986213717522.6836</v>
      </c>
      <c r="O8">
        <v>-4576340519948252</v>
      </c>
      <c r="P8">
        <v>-268243202830387.69</v>
      </c>
      <c r="Q8">
        <v>169457129570461.16</v>
      </c>
      <c r="R8">
        <v>-3.2664281113790284E+16</v>
      </c>
      <c r="S8">
        <v>-245042690140932.66</v>
      </c>
      <c r="T8">
        <v>-4086632113530.0474</v>
      </c>
      <c r="U8">
        <v>419511918257990</v>
      </c>
      <c r="V8">
        <v>-1216778921903195.5</v>
      </c>
      <c r="W8">
        <v>-17689244.929322656</v>
      </c>
    </row>
    <row r="9" spans="1:23">
      <c r="A9">
        <v>-209422762.81558716</v>
      </c>
      <c r="B9">
        <v>-1.8057973365569491E+17</v>
      </c>
      <c r="C9">
        <v>1.492604979751191E+17</v>
      </c>
      <c r="D9">
        <v>-28973553810680.133</v>
      </c>
      <c r="E9">
        <v>-5.5905473084933072E+16</v>
      </c>
      <c r="F9">
        <v>21167619483127.418</v>
      </c>
      <c r="G9">
        <v>-40972481765152.609</v>
      </c>
      <c r="H9">
        <v>1628931295891710.5</v>
      </c>
      <c r="I9">
        <v>74857998920380.438</v>
      </c>
      <c r="J9">
        <v>3172904214910617.5</v>
      </c>
      <c r="K9">
        <v>80027175284455.016</v>
      </c>
      <c r="L9">
        <v>92671154225663.797</v>
      </c>
      <c r="M9">
        <v>1.5959992175285138E+16</v>
      </c>
      <c r="N9">
        <v>12391047410639.715</v>
      </c>
      <c r="O9">
        <v>-1.2744913289615483E+17</v>
      </c>
      <c r="P9">
        <v>-1648525475630203.3</v>
      </c>
      <c r="Q9">
        <v>-3487937849405109</v>
      </c>
      <c r="R9">
        <v>-2.1212013150369811E+17</v>
      </c>
      <c r="S9">
        <v>-1267494223926333.5</v>
      </c>
      <c r="T9">
        <v>1379226409455449.3</v>
      </c>
      <c r="U9">
        <v>-789115961730690.5</v>
      </c>
      <c r="V9">
        <v>2.0963755111258428E+16</v>
      </c>
      <c r="W9">
        <v>-56408991.498953566</v>
      </c>
    </row>
    <row r="10" spans="1:23">
      <c r="A10">
        <v>-56494441.605571151</v>
      </c>
      <c r="B10">
        <v>6819128435328833</v>
      </c>
      <c r="C10">
        <v>-2.0992835948122848E+17</v>
      </c>
      <c r="D10">
        <v>-32784887780262.047</v>
      </c>
      <c r="E10">
        <v>-3.0335577222457684E+16</v>
      </c>
      <c r="F10">
        <v>-22940013240091.184</v>
      </c>
      <c r="G10">
        <v>-19881728017964.297</v>
      </c>
      <c r="H10">
        <v>74857998922782.422</v>
      </c>
      <c r="I10">
        <v>98178024113346.641</v>
      </c>
      <c r="J10">
        <v>-2.459613427303254E+16</v>
      </c>
      <c r="K10">
        <v>8859053723326.7578</v>
      </c>
      <c r="L10">
        <v>-338972989417877.44</v>
      </c>
      <c r="M10">
        <v>2.5454300278547796E+16</v>
      </c>
      <c r="N10">
        <v>36017097059967.68</v>
      </c>
      <c r="O10">
        <v>9.0418036632047184E+16</v>
      </c>
      <c r="P10">
        <v>-967377318745578.25</v>
      </c>
      <c r="Q10">
        <v>-488419801191950.13</v>
      </c>
      <c r="R10">
        <v>1.2671860759687619E+17</v>
      </c>
      <c r="S10">
        <v>1373069531626816.3</v>
      </c>
      <c r="T10">
        <v>-160557759282193</v>
      </c>
      <c r="U10">
        <v>-2034867800318675.5</v>
      </c>
      <c r="V10">
        <v>1.2378552198678574E+16</v>
      </c>
      <c r="W10">
        <v>38242379.988151304</v>
      </c>
    </row>
    <row r="11" spans="1:23">
      <c r="A11">
        <v>8035882869.5378227</v>
      </c>
      <c r="B11">
        <v>-1.71325805325202E+18</v>
      </c>
      <c r="C11">
        <v>5.261940612970333E+19</v>
      </c>
      <c r="D11">
        <v>7737719350101503</v>
      </c>
      <c r="E11">
        <v>8.3753112025652378E+18</v>
      </c>
      <c r="F11">
        <v>5588583481953947</v>
      </c>
      <c r="G11">
        <v>3319243120485338.5</v>
      </c>
      <c r="H11">
        <v>3172904214278188.5</v>
      </c>
      <c r="I11">
        <v>-2.4596134273082E+16</v>
      </c>
      <c r="J11">
        <v>8.6288041833808773E+18</v>
      </c>
      <c r="K11">
        <v>-3384639364997239.5</v>
      </c>
      <c r="L11">
        <v>1.1373344574629522E+17</v>
      </c>
      <c r="M11">
        <v>-5.9159738929272842E+18</v>
      </c>
      <c r="N11">
        <v>-9163983580013694</v>
      </c>
      <c r="O11">
        <v>-2.9669557960662688E+19</v>
      </c>
      <c r="P11">
        <v>2.4311113735215088E+17</v>
      </c>
      <c r="Q11">
        <v>1.0985066780907296E+17</v>
      </c>
      <c r="R11">
        <v>-3.8687826721290748E+19</v>
      </c>
      <c r="S11">
        <v>-3.8857008205619027E+17</v>
      </c>
      <c r="T11">
        <v>7.7414361548668896E+16</v>
      </c>
      <c r="U11">
        <v>4.9420824762180877E+17</v>
      </c>
      <c r="V11">
        <v>-3.3020148504976502E+18</v>
      </c>
      <c r="W11">
        <v>-7764064378.5622206</v>
      </c>
    </row>
    <row r="12" spans="1:23">
      <c r="A12">
        <v>14248927.517262707</v>
      </c>
      <c r="B12">
        <v>-4.704184221119196E+16</v>
      </c>
      <c r="C12">
        <v>1690263387990292.3</v>
      </c>
      <c r="D12">
        <v>-1619528493356.7639</v>
      </c>
      <c r="E12">
        <v>-9843305304376938</v>
      </c>
      <c r="F12">
        <v>8733786910615.0303</v>
      </c>
      <c r="G12">
        <v>5738967967406.7021</v>
      </c>
      <c r="H12">
        <v>80027175284199.344</v>
      </c>
      <c r="I12">
        <v>8859053722882.6328</v>
      </c>
      <c r="J12">
        <v>-3384639364881582.5</v>
      </c>
      <c r="K12">
        <v>32447770911517.398</v>
      </c>
      <c r="L12">
        <v>-52299112551524.711</v>
      </c>
      <c r="M12">
        <v>3256730920025884</v>
      </c>
      <c r="N12">
        <v>-7459586023579.5049</v>
      </c>
      <c r="O12">
        <v>-3.1438518101340872E+16</v>
      </c>
      <c r="P12">
        <v>-39996808609789.539</v>
      </c>
      <c r="Q12">
        <v>113195399611982.53</v>
      </c>
      <c r="R12">
        <v>-4010894637951181.5</v>
      </c>
      <c r="S12">
        <v>-15784940570660.842</v>
      </c>
      <c r="T12">
        <v>190426510327088.28</v>
      </c>
      <c r="U12">
        <v>-600784665732.41736</v>
      </c>
      <c r="V12">
        <v>-146892679642650.69</v>
      </c>
      <c r="W12">
        <v>-37920483.467133373</v>
      </c>
    </row>
    <row r="13" spans="1:23">
      <c r="A13">
        <v>84255727.268090561</v>
      </c>
      <c r="B13">
        <v>9083467410985720</v>
      </c>
      <c r="C13">
        <v>5.4419265265613824E+17</v>
      </c>
      <c r="D13">
        <v>135037067355753.41</v>
      </c>
      <c r="E13">
        <v>1.4618550779325146E+17</v>
      </c>
      <c r="F13">
        <v>32624900646082.285</v>
      </c>
      <c r="G13">
        <v>11000806983274.951</v>
      </c>
      <c r="H13">
        <v>92671154216837.094</v>
      </c>
      <c r="I13">
        <v>-338972989420139.94</v>
      </c>
      <c r="J13">
        <v>1.137334457466875E+17</v>
      </c>
      <c r="K13">
        <v>-52299112553383.906</v>
      </c>
      <c r="L13">
        <v>3942202173069772.5</v>
      </c>
      <c r="M13">
        <v>-7.277418091445504E+16</v>
      </c>
      <c r="N13">
        <v>-96598755250897.813</v>
      </c>
      <c r="O13">
        <v>-5.615685964204041E+17</v>
      </c>
      <c r="P13">
        <v>3185791564888455.5</v>
      </c>
      <c r="Q13">
        <v>-1031127984301253.6</v>
      </c>
      <c r="R13">
        <v>-5.5933238939921267E+17</v>
      </c>
      <c r="S13">
        <v>-4629454035633970</v>
      </c>
      <c r="T13">
        <v>3081168633103069.5</v>
      </c>
      <c r="U13">
        <v>6570154586377008</v>
      </c>
      <c r="V13">
        <v>-1.186380007502709E+17</v>
      </c>
      <c r="W13">
        <v>-105117499.38094549</v>
      </c>
    </row>
    <row r="14" spans="1:23">
      <c r="A14">
        <v>-12310876195.561941</v>
      </c>
      <c r="B14">
        <v>-2.35755145123774E+18</v>
      </c>
      <c r="C14">
        <v>-7.486372143417539E+19</v>
      </c>
      <c r="D14">
        <v>-8046235689536050</v>
      </c>
      <c r="E14">
        <v>-8.131732845993642E+18</v>
      </c>
      <c r="F14">
        <v>-6845055099139241</v>
      </c>
      <c r="G14">
        <v>-4762581945318426</v>
      </c>
      <c r="H14">
        <v>1.5959992175897652E+16</v>
      </c>
      <c r="I14">
        <v>2.5454300278448912E+16</v>
      </c>
      <c r="J14">
        <v>-5.9159738928869632E+18</v>
      </c>
      <c r="K14">
        <v>3256730920126151.5</v>
      </c>
      <c r="L14">
        <v>-7.2774180913291536E+16</v>
      </c>
      <c r="M14">
        <v>1.1387364781009707E+19</v>
      </c>
      <c r="N14">
        <v>1.1278652930996566E+16</v>
      </c>
      <c r="O14">
        <v>1.5088547470962835E+19</v>
      </c>
      <c r="P14">
        <v>-4.1509263870998918E+17</v>
      </c>
      <c r="Q14">
        <v>1.589478295766177E+16</v>
      </c>
      <c r="R14">
        <v>2.3547640683789455E+19</v>
      </c>
      <c r="S14">
        <v>4.5811526830006349E+17</v>
      </c>
      <c r="T14">
        <v>6.772934897756908E+16</v>
      </c>
      <c r="U14">
        <v>-6.0594764216211827E+17</v>
      </c>
      <c r="V14">
        <v>2.1809654591496627E+18</v>
      </c>
      <c r="W14">
        <v>6744341057.208313</v>
      </c>
    </row>
    <row r="15" spans="1:23">
      <c r="A15">
        <v>-24444102.186267897</v>
      </c>
      <c r="B15">
        <v>1.1289187291257286E+16</v>
      </c>
      <c r="C15">
        <v>-8.671142067676584E+16</v>
      </c>
      <c r="D15">
        <v>-11557575640364.105</v>
      </c>
      <c r="E15">
        <v>-1.0701170264289182E+16</v>
      </c>
      <c r="F15">
        <v>-14111654695825.971</v>
      </c>
      <c r="G15">
        <v>-9986213717595.4219</v>
      </c>
      <c r="H15">
        <v>12391047411732.699</v>
      </c>
      <c r="I15">
        <v>36017097060139.352</v>
      </c>
      <c r="J15">
        <v>-9163983580036480</v>
      </c>
      <c r="K15">
        <v>-7459586023406.1396</v>
      </c>
      <c r="L15">
        <v>-96598755250602.578</v>
      </c>
      <c r="M15">
        <v>1.127865293107476E+16</v>
      </c>
      <c r="N15">
        <v>23653828073335.176</v>
      </c>
      <c r="O15">
        <v>5.0701356939115304E+16</v>
      </c>
      <c r="P15">
        <v>-573395473519600.38</v>
      </c>
      <c r="Q15">
        <v>-90171301161996.578</v>
      </c>
      <c r="R15">
        <v>4.5354679668676112E+16</v>
      </c>
      <c r="S15">
        <v>636863355371532.63</v>
      </c>
      <c r="T15">
        <v>-149285997425106.16</v>
      </c>
      <c r="U15">
        <v>-858209722875108.75</v>
      </c>
      <c r="V15">
        <v>4399612574523748.5</v>
      </c>
      <c r="W15">
        <v>25084317.559620924</v>
      </c>
    </row>
    <row r="16" spans="1:23">
      <c r="A16">
        <v>-15930455577.102346</v>
      </c>
      <c r="B16">
        <v>9.2304434463752356E+19</v>
      </c>
      <c r="C16">
        <v>-1.2820443229970378E+20</v>
      </c>
      <c r="D16">
        <v>-3.3841412717313944E+16</v>
      </c>
      <c r="E16">
        <v>-4.3489978104996618E+19</v>
      </c>
      <c r="F16">
        <v>-3.17681521090263E+16</v>
      </c>
      <c r="G16">
        <v>-4576340520402003</v>
      </c>
      <c r="H16">
        <v>-1.274491328928825E+17</v>
      </c>
      <c r="I16">
        <v>9.0418036634074432E+16</v>
      </c>
      <c r="J16">
        <v>-2.966955796113648E+19</v>
      </c>
      <c r="K16">
        <v>-3.1438518100754656E+16</v>
      </c>
      <c r="L16">
        <v>-5.615685964260665E+17</v>
      </c>
      <c r="M16">
        <v>1.5088547471627094E+19</v>
      </c>
      <c r="N16">
        <v>5.0701356939735032E+16</v>
      </c>
      <c r="O16">
        <v>3.2063395088958148E+20</v>
      </c>
      <c r="P16">
        <v>-3.3540432762955008E+18</v>
      </c>
      <c r="Q16">
        <v>-5.4024752629162317E+17</v>
      </c>
      <c r="R16">
        <v>9.9358128072062583E+19</v>
      </c>
      <c r="S16">
        <v>1.6273197960806907E+18</v>
      </c>
      <c r="T16">
        <v>-1.3510719261431309E+18</v>
      </c>
      <c r="U16">
        <v>-2.008618530905599E+18</v>
      </c>
      <c r="V16">
        <v>2.7110869778644636E+19</v>
      </c>
      <c r="W16">
        <v>87768045668.007751</v>
      </c>
    </row>
    <row r="17" spans="1:23">
      <c r="A17">
        <v>-12404982.763252156</v>
      </c>
      <c r="B17">
        <v>-8.2161811056143053E+17</v>
      </c>
      <c r="C17">
        <v>9.8051736075587162E+17</v>
      </c>
      <c r="D17">
        <v>392396585725407.19</v>
      </c>
      <c r="E17">
        <v>6.9721821747930291E+17</v>
      </c>
      <c r="F17">
        <v>210050077607654.66</v>
      </c>
      <c r="G17">
        <v>-268243202825922</v>
      </c>
      <c r="H17">
        <v>-1648525475661519.3</v>
      </c>
      <c r="I17">
        <v>-967377318763482</v>
      </c>
      <c r="J17">
        <v>2.4311113735621414E+17</v>
      </c>
      <c r="K17">
        <v>-39996808615804.086</v>
      </c>
      <c r="L17">
        <v>3185791564923689</v>
      </c>
      <c r="M17">
        <v>-4.1509263871652371E+17</v>
      </c>
      <c r="N17">
        <v>-573395473525074.88</v>
      </c>
      <c r="O17">
        <v>-3.3540432762897644E+18</v>
      </c>
      <c r="P17">
        <v>9.8662005946350656E+16</v>
      </c>
      <c r="Q17">
        <v>1.0705444466957968E+16</v>
      </c>
      <c r="R17">
        <v>1.2840052544441595E+18</v>
      </c>
      <c r="S17">
        <v>-2.1469647107976912E+16</v>
      </c>
      <c r="T17">
        <v>3728031576843981.5</v>
      </c>
      <c r="U17">
        <v>2.563543008875216E+16</v>
      </c>
      <c r="V17">
        <v>-2.7284209721307664E+17</v>
      </c>
      <c r="W17">
        <v>-378454650.107458</v>
      </c>
    </row>
    <row r="18" spans="1:23">
      <c r="A18">
        <v>1205492643.2557569</v>
      </c>
      <c r="B18">
        <v>-3.5267072659077933E+17</v>
      </c>
      <c r="C18">
        <v>9.9237490323272048E+16</v>
      </c>
      <c r="D18">
        <v>192745732852472.22</v>
      </c>
      <c r="E18">
        <v>4.0924574662454664E+16</v>
      </c>
      <c r="F18">
        <v>120143272199538.41</v>
      </c>
      <c r="G18">
        <v>169457129569443.47</v>
      </c>
      <c r="H18">
        <v>-3487937849414696</v>
      </c>
      <c r="I18">
        <v>-488419801188304</v>
      </c>
      <c r="J18">
        <v>1.0985066780810611E+17</v>
      </c>
      <c r="K18">
        <v>113195399608939.36</v>
      </c>
      <c r="L18">
        <v>-1031127984313830.6</v>
      </c>
      <c r="M18">
        <v>1.5894782958478928E+16</v>
      </c>
      <c r="N18">
        <v>-90171301159150.453</v>
      </c>
      <c r="O18">
        <v>-5.402475262802953E+17</v>
      </c>
      <c r="P18">
        <v>1.0705444466854356E+16</v>
      </c>
      <c r="Q18">
        <v>5.4941023661970968E+16</v>
      </c>
      <c r="R18">
        <v>-4.5850549402697402E+17</v>
      </c>
      <c r="S18">
        <v>5602933087059784</v>
      </c>
      <c r="T18">
        <v>-1.216742705569633E+16</v>
      </c>
      <c r="U18">
        <v>1.2540530489467882E+16</v>
      </c>
      <c r="V18">
        <v>-1.3818064611762259E+17</v>
      </c>
      <c r="W18">
        <v>-611302293.59693182</v>
      </c>
    </row>
    <row r="19" spans="1:23">
      <c r="A19">
        <v>-62494611259.496727</v>
      </c>
      <c r="B19">
        <v>2.8166471191892967E+19</v>
      </c>
      <c r="C19">
        <v>-3.3178516090673326E+20</v>
      </c>
      <c r="D19">
        <v>-4.0003599789057336E+16</v>
      </c>
      <c r="E19">
        <v>-2.2033814951511003E+19</v>
      </c>
      <c r="F19">
        <v>-3.7081398434921952E+16</v>
      </c>
      <c r="G19">
        <v>-3.2664281113920844E+16</v>
      </c>
      <c r="H19">
        <v>-2.1212013150029478E+17</v>
      </c>
      <c r="I19">
        <v>1.267186075969267E+17</v>
      </c>
      <c r="J19">
        <v>-3.8687826721235976E+19</v>
      </c>
      <c r="K19">
        <v>-4010894637369398</v>
      </c>
      <c r="L19">
        <v>-5.5933238939654349E+17</v>
      </c>
      <c r="M19">
        <v>2.3547640683919839E+19</v>
      </c>
      <c r="N19">
        <v>4.5354679668458824E+16</v>
      </c>
      <c r="O19">
        <v>9.9358128069421564E+19</v>
      </c>
      <c r="P19">
        <v>1.284005254467746E+18</v>
      </c>
      <c r="Q19">
        <v>-4.5850549403238842E+17</v>
      </c>
      <c r="R19">
        <v>3.2838325556029574E+20</v>
      </c>
      <c r="S19">
        <v>1.8588161561936361E+18</v>
      </c>
      <c r="T19">
        <v>-4.9943097383270208E+17</v>
      </c>
      <c r="U19">
        <v>-2.603744428854295E+18</v>
      </c>
      <c r="V19">
        <v>9.5671504078823793E+18</v>
      </c>
      <c r="W19">
        <v>72432739760.75914</v>
      </c>
    </row>
    <row r="20" spans="1:23">
      <c r="A20">
        <v>-317526132.01217628</v>
      </c>
      <c r="B20">
        <v>4.4142781038435904E+17</v>
      </c>
      <c r="C20">
        <v>-3.7228841272905528E+18</v>
      </c>
      <c r="D20">
        <v>-430751026861115.38</v>
      </c>
      <c r="E20">
        <v>-4.1219355205792166E+17</v>
      </c>
      <c r="F20">
        <v>-446417069363586.56</v>
      </c>
      <c r="G20">
        <v>-245042690143599.81</v>
      </c>
      <c r="H20">
        <v>-1267494223886607.8</v>
      </c>
      <c r="I20">
        <v>1373069531631887.3</v>
      </c>
      <c r="J20">
        <v>-3.8857008205667642E+17</v>
      </c>
      <c r="K20">
        <v>-15784940564421.326</v>
      </c>
      <c r="L20">
        <v>-4629454035614115</v>
      </c>
      <c r="M20">
        <v>4.5811526830284973E+17</v>
      </c>
      <c r="N20">
        <v>636863355371211.88</v>
      </c>
      <c r="O20">
        <v>1.6273197960552788E+18</v>
      </c>
      <c r="P20">
        <v>-2.146964710775012E+16</v>
      </c>
      <c r="Q20">
        <v>5602933086970318</v>
      </c>
      <c r="R20">
        <v>1.8588161562000131E+18</v>
      </c>
      <c r="S20">
        <v>3.0514826836327232E+16</v>
      </c>
      <c r="T20">
        <v>-6626539715300768</v>
      </c>
      <c r="U20">
        <v>-3.10346009800927E+16</v>
      </c>
      <c r="V20">
        <v>1.1996508754976488E+17</v>
      </c>
      <c r="W20">
        <v>611002370.71256018</v>
      </c>
    </row>
    <row r="21" spans="1:23">
      <c r="A21">
        <v>-281723412.85961038</v>
      </c>
      <c r="B21">
        <v>-3.4391835218963104E+17</v>
      </c>
      <c r="C21">
        <v>-2.2571166240135568E+17</v>
      </c>
      <c r="D21">
        <v>91567997412375.469</v>
      </c>
      <c r="E21">
        <v>1.4357073352277832E+17</v>
      </c>
      <c r="F21">
        <v>12962294585107.938</v>
      </c>
      <c r="G21">
        <v>-4086632110942.9946</v>
      </c>
      <c r="H21">
        <v>1379226409443900.8</v>
      </c>
      <c r="I21">
        <v>-160557759295530.34</v>
      </c>
      <c r="J21">
        <v>7.7414361551931456E+16</v>
      </c>
      <c r="K21">
        <v>190426510325269.34</v>
      </c>
      <c r="L21">
        <v>3081168633149928</v>
      </c>
      <c r="M21">
        <v>6.7729348973592328E+16</v>
      </c>
      <c r="N21">
        <v>-149285997429944.91</v>
      </c>
      <c r="O21">
        <v>-1.3510719261518106E+18</v>
      </c>
      <c r="P21">
        <v>3728031576969763.5</v>
      </c>
      <c r="Q21">
        <v>-1.2167427055637436E+16</v>
      </c>
      <c r="R21">
        <v>-4.9943097384981862E+17</v>
      </c>
      <c r="S21">
        <v>-6626539715489271</v>
      </c>
      <c r="T21">
        <v>1.6292671516698668E+16</v>
      </c>
      <c r="U21">
        <v>736396913116020.88</v>
      </c>
      <c r="V21">
        <v>-9.328937281886928E+16</v>
      </c>
      <c r="W21">
        <v>-204622927.47805762</v>
      </c>
    </row>
    <row r="22" spans="1:23">
      <c r="A22">
        <v>1238618017.5229459</v>
      </c>
      <c r="B22">
        <v>-4.0060775037513562E+17</v>
      </c>
      <c r="C22">
        <v>4.8443677229247468E+18</v>
      </c>
      <c r="D22">
        <v>675193423447259</v>
      </c>
      <c r="E22">
        <v>5.6242910212070707E+17</v>
      </c>
      <c r="F22">
        <v>599661108770042.25</v>
      </c>
      <c r="G22">
        <v>419511918260124.94</v>
      </c>
      <c r="H22">
        <v>-789115961783020</v>
      </c>
      <c r="I22">
        <v>-2034867800319493.5</v>
      </c>
      <c r="J22">
        <v>4.9420824762095942E+17</v>
      </c>
      <c r="K22">
        <v>-600784675065.92554</v>
      </c>
      <c r="L22">
        <v>6570154586329605</v>
      </c>
      <c r="M22">
        <v>-6.0594764216435213E+17</v>
      </c>
      <c r="N22">
        <v>-858209722871771.25</v>
      </c>
      <c r="O22">
        <v>-2.0086185308630392E+18</v>
      </c>
      <c r="P22">
        <v>2.563543008836696E+16</v>
      </c>
      <c r="Q22">
        <v>1.2540530489562724E+16</v>
      </c>
      <c r="R22">
        <v>-2.6037444288547251E+18</v>
      </c>
      <c r="S22">
        <v>-3.103460097999362E+16</v>
      </c>
      <c r="T22">
        <v>736396912830521.88</v>
      </c>
      <c r="U22">
        <v>4.7400607662719496E+16</v>
      </c>
      <c r="V22">
        <v>-2.6569187374363114E+17</v>
      </c>
      <c r="W22">
        <v>-1050291736.8271673</v>
      </c>
    </row>
    <row r="23" spans="1:23">
      <c r="A23">
        <v>-9375771092.7675419</v>
      </c>
      <c r="B23">
        <v>6.8852747984744691E+17</v>
      </c>
      <c r="C23">
        <v>-1.5071694288716724E+19</v>
      </c>
      <c r="D23">
        <v>-5581246947995018</v>
      </c>
      <c r="E23">
        <v>-6.1392852365609574E+18</v>
      </c>
      <c r="F23">
        <v>-1201120520910950.5</v>
      </c>
      <c r="G23">
        <v>-1216778921933627.3</v>
      </c>
      <c r="H23">
        <v>2.096375511158228E+16</v>
      </c>
      <c r="I23">
        <v>1.2378552198813038E+16</v>
      </c>
      <c r="J23">
        <v>-3.3020148505264763E+18</v>
      </c>
      <c r="K23">
        <v>-146892679566247.09</v>
      </c>
      <c r="L23">
        <v>-1.186380007505216E+17</v>
      </c>
      <c r="M23">
        <v>2.1809654592051845E+18</v>
      </c>
      <c r="N23">
        <v>4399612574552287.5</v>
      </c>
      <c r="O23">
        <v>2.7110869778500674E+19</v>
      </c>
      <c r="P23">
        <v>-2.7284209721250752E+17</v>
      </c>
      <c r="Q23">
        <v>-1.3818064611830234E+17</v>
      </c>
      <c r="R23">
        <v>9.5671504080505385E+18</v>
      </c>
      <c r="S23">
        <v>1.1996508755121666E+17</v>
      </c>
      <c r="T23">
        <v>-9.328937281731712E+16</v>
      </c>
      <c r="U23">
        <v>-2.656918737464407E+17</v>
      </c>
      <c r="V23">
        <v>6.6240862345842463E+18</v>
      </c>
      <c r="W23">
        <v>7834171849.9040909</v>
      </c>
    </row>
    <row r="24" spans="1:23">
      <c r="A24">
        <v>-65.644481133824442</v>
      </c>
      <c r="B24">
        <v>67418637203.315071</v>
      </c>
      <c r="C24">
        <v>-105363550855.86021</v>
      </c>
      <c r="D24">
        <v>-14523637.638208639</v>
      </c>
      <c r="E24">
        <v>-553175490.97533751</v>
      </c>
      <c r="F24">
        <v>-26065101.506471023</v>
      </c>
      <c r="G24">
        <v>-17689244.929453451</v>
      </c>
      <c r="H24">
        <v>-56408991.497449443</v>
      </c>
      <c r="I24">
        <v>38242379.988704555</v>
      </c>
      <c r="J24">
        <v>-7764064378.6852217</v>
      </c>
      <c r="K24">
        <v>-37920483.466901258</v>
      </c>
      <c r="L24">
        <v>-105117499.38232426</v>
      </c>
      <c r="M24">
        <v>6744341057.3779354</v>
      </c>
      <c r="N24">
        <v>25084317.559745081</v>
      </c>
      <c r="O24">
        <v>87768045667.770096</v>
      </c>
      <c r="P24">
        <v>-378454650.10649115</v>
      </c>
      <c r="Q24">
        <v>-611302293.60244012</v>
      </c>
      <c r="R24">
        <v>72432739761.452118</v>
      </c>
      <c r="S24">
        <v>611002370.71773481</v>
      </c>
      <c r="T24">
        <v>-204622927.47399369</v>
      </c>
      <c r="U24">
        <v>-1050291736.8382194</v>
      </c>
      <c r="V24">
        <v>7834171849.9398108</v>
      </c>
      <c r="W24">
        <v>82.812438072020896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A3821-D182-46E8-AC25-7698E72AA31F}">
  <sheetPr codeName="Planilha9"/>
  <dimension ref="A1:AD24"/>
  <sheetViews>
    <sheetView workbookViewId="0">
      <selection activeCell="A2" sqref="A2:AD24"/>
    </sheetView>
  </sheetViews>
  <sheetFormatPr defaultRowHeight="14.4"/>
  <sheetData>
    <row r="1" spans="1:30">
      <c r="A1" t="s">
        <v>9</v>
      </c>
    </row>
    <row r="2" spans="1:30">
      <c r="A2">
        <f t="array" ref="A2:AD24">MMULT('Matrix ((R)^t.(R))^(-1)'!$A$2:$W$24,'Matrix (R)^t'!$A$2:$AD$24)</f>
        <v>-2.0582697120875935</v>
      </c>
      <c r="B2">
        <v>-0.6133801578477005</v>
      </c>
      <c r="C2">
        <v>-0.12501455194605171</v>
      </c>
      <c r="D2">
        <v>-5.6618722188053283</v>
      </c>
      <c r="E2">
        <v>0.48511004810768554</v>
      </c>
      <c r="F2">
        <v>-0.86457930737249455</v>
      </c>
      <c r="G2">
        <v>1.1647374719616863</v>
      </c>
      <c r="H2">
        <v>0.67839236709367867</v>
      </c>
      <c r="I2">
        <v>-1.8464090743171937</v>
      </c>
      <c r="J2">
        <v>-1.4408092831307329</v>
      </c>
      <c r="K2">
        <v>-2.1060361303146635</v>
      </c>
      <c r="L2">
        <v>0.41394697796506819</v>
      </c>
      <c r="M2">
        <v>2.4013708827586839</v>
      </c>
      <c r="N2">
        <v>3.7481538123645635</v>
      </c>
      <c r="O2">
        <v>-1.0035799501274454</v>
      </c>
      <c r="P2">
        <v>1.0797003431148511</v>
      </c>
      <c r="Q2">
        <v>-0.42662892561835974</v>
      </c>
      <c r="R2">
        <v>2.1740874240585555</v>
      </c>
      <c r="S2">
        <v>-1.5026054217336053</v>
      </c>
      <c r="T2">
        <v>-4.8449432960725076</v>
      </c>
      <c r="U2">
        <v>1.4622752891987432</v>
      </c>
      <c r="V2">
        <v>1.0191034180326852</v>
      </c>
      <c r="W2">
        <v>0.25761656809510214</v>
      </c>
      <c r="X2">
        <v>0.47453355001762532</v>
      </c>
      <c r="Y2">
        <v>0.57452085170267253</v>
      </c>
      <c r="Z2">
        <v>-1.6888370457517823</v>
      </c>
      <c r="AA2">
        <v>4.2774133403833048</v>
      </c>
      <c r="AB2">
        <v>1.9023529792672917</v>
      </c>
      <c r="AC2">
        <v>-0.97283256789289396</v>
      </c>
      <c r="AD2">
        <v>3.0424823189164272</v>
      </c>
    </row>
    <row r="3" spans="1:30">
      <c r="A3">
        <v>-55530754.238540649</v>
      </c>
      <c r="B3">
        <v>-1510681682.2222366</v>
      </c>
      <c r="C3">
        <v>-1741488391.4486313</v>
      </c>
      <c r="D3">
        <v>1682174776.0416031</v>
      </c>
      <c r="E3">
        <v>-334131884.75052643</v>
      </c>
      <c r="F3">
        <v>2689749950.1547928</v>
      </c>
      <c r="G3">
        <v>587793237.04553986</v>
      </c>
      <c r="H3">
        <v>-1684113955.1661911</v>
      </c>
      <c r="I3">
        <v>-2538126917.189415</v>
      </c>
      <c r="J3">
        <v>566417879.54244232</v>
      </c>
      <c r="K3">
        <v>-472915213.68663788</v>
      </c>
      <c r="L3">
        <v>20813288.857933044</v>
      </c>
      <c r="M3">
        <v>-4049819269.514473</v>
      </c>
      <c r="N3">
        <v>450367616.55466461</v>
      </c>
      <c r="O3">
        <v>3055191881.8425674</v>
      </c>
      <c r="P3">
        <v>202413044.48435211</v>
      </c>
      <c r="Q3">
        <v>-255063926.83470154</v>
      </c>
      <c r="R3">
        <v>2904783345.1958923</v>
      </c>
      <c r="S3">
        <v>1596665337.4668884</v>
      </c>
      <c r="T3">
        <v>-1377537660.2642288</v>
      </c>
      <c r="U3">
        <v>1848799465.307251</v>
      </c>
      <c r="V3">
        <v>-275898944.45523834</v>
      </c>
      <c r="W3">
        <v>2356152489.862709</v>
      </c>
      <c r="X3">
        <v>3126575919.5669479</v>
      </c>
      <c r="Y3">
        <v>-2370064321.9513321</v>
      </c>
      <c r="Z3">
        <v>1009747234.1671143</v>
      </c>
      <c r="AA3">
        <v>-3207016223.1219559</v>
      </c>
      <c r="AB3">
        <v>738215302.16053009</v>
      </c>
      <c r="AC3">
        <v>-4033176840.3781204</v>
      </c>
      <c r="AD3">
        <v>1069705216.9164352</v>
      </c>
    </row>
    <row r="4" spans="1:30">
      <c r="A4">
        <v>2137678080.6807861</v>
      </c>
      <c r="B4">
        <v>-363455582.32434082</v>
      </c>
      <c r="C4">
        <v>941802750.49368286</v>
      </c>
      <c r="D4">
        <v>-8847583699.700531</v>
      </c>
      <c r="E4">
        <v>-7918012227.6022186</v>
      </c>
      <c r="F4">
        <v>1964765686.3265533</v>
      </c>
      <c r="G4">
        <v>-6346593358.3945313</v>
      </c>
      <c r="H4">
        <v>5492188198.5756836</v>
      </c>
      <c r="I4">
        <v>4058297390.8238831</v>
      </c>
      <c r="J4">
        <v>-452455162.09785461</v>
      </c>
      <c r="K4">
        <v>2935544190.0383911</v>
      </c>
      <c r="L4">
        <v>-4770461808.8245087</v>
      </c>
      <c r="M4">
        <v>5776887882.8695679</v>
      </c>
      <c r="N4">
        <v>7007632497.765152</v>
      </c>
      <c r="O4">
        <v>-1530454820.874939</v>
      </c>
      <c r="P4">
        <v>4264512098.4448853</v>
      </c>
      <c r="Q4">
        <v>-2526764013.6170044</v>
      </c>
      <c r="R4">
        <v>-3156239759.8977509</v>
      </c>
      <c r="S4">
        <v>-8923682281.9860687</v>
      </c>
      <c r="T4">
        <v>-4182525639.7873688</v>
      </c>
      <c r="U4">
        <v>2036945144.303772</v>
      </c>
      <c r="V4">
        <v>-3943721199.0272827</v>
      </c>
      <c r="W4">
        <v>7585841316.3030548</v>
      </c>
      <c r="X4">
        <v>7592473875.4890747</v>
      </c>
      <c r="Y4">
        <v>-2520255103.4703217</v>
      </c>
      <c r="Z4">
        <v>-1533858024.0705261</v>
      </c>
      <c r="AA4">
        <v>2858801324.6786652</v>
      </c>
      <c r="AB4">
        <v>4005350750.3769531</v>
      </c>
      <c r="AC4">
        <v>3390715155.0458832</v>
      </c>
      <c r="AD4">
        <v>-5033373660.7625122</v>
      </c>
    </row>
    <row r="5" spans="1:30">
      <c r="A5">
        <v>181465.19778327085</v>
      </c>
      <c r="B5">
        <v>-115091.11876917444</v>
      </c>
      <c r="C5">
        <v>13730.39069978334</v>
      </c>
      <c r="D5">
        <v>-873866.23583383672</v>
      </c>
      <c r="E5">
        <v>-182369.97882396542</v>
      </c>
      <c r="F5">
        <v>65487.369197333232</v>
      </c>
      <c r="G5">
        <v>-1064331.659893522</v>
      </c>
      <c r="H5">
        <v>1202989.3747757766</v>
      </c>
      <c r="I5">
        <v>479162.78554421104</v>
      </c>
      <c r="J5">
        <v>-52074.253085331991</v>
      </c>
      <c r="K5">
        <v>-62755.120573353022</v>
      </c>
      <c r="L5">
        <v>-859551.55572894029</v>
      </c>
      <c r="M5">
        <v>1055984.6357253771</v>
      </c>
      <c r="N5">
        <v>547505.55827546306</v>
      </c>
      <c r="O5">
        <v>-564360.07942850702</v>
      </c>
      <c r="P5">
        <v>391192.56857627071</v>
      </c>
      <c r="Q5">
        <v>-1134370.0453044306</v>
      </c>
      <c r="R5">
        <v>187381.01501646824</v>
      </c>
      <c r="S5">
        <v>-1015345.60548383</v>
      </c>
      <c r="T5">
        <v>-661655.15502723865</v>
      </c>
      <c r="U5">
        <v>1010815.8778676856</v>
      </c>
      <c r="V5">
        <v>335811.81943660043</v>
      </c>
      <c r="W5">
        <v>614864.60088918544</v>
      </c>
      <c r="X5">
        <v>675189.13446822949</v>
      </c>
      <c r="Y5">
        <v>-385278.38397328369</v>
      </c>
      <c r="Z5">
        <v>-1008019.4469802808</v>
      </c>
      <c r="AA5">
        <v>745787.14651961066</v>
      </c>
      <c r="AB5">
        <v>444251.28624671884</v>
      </c>
      <c r="AC5">
        <v>-632717.61403990537</v>
      </c>
      <c r="AD5">
        <v>660167.4919178877</v>
      </c>
    </row>
    <row r="6" spans="1:30">
      <c r="A6">
        <v>686569405.27486062</v>
      </c>
      <c r="B6">
        <v>-801119141.53632712</v>
      </c>
      <c r="C6">
        <v>312033298.49243951</v>
      </c>
      <c r="D6">
        <v>-494702490.35340095</v>
      </c>
      <c r="E6">
        <v>-591160216.08852744</v>
      </c>
      <c r="F6">
        <v>409532466.93848825</v>
      </c>
      <c r="G6">
        <v>-1520351637.5885141</v>
      </c>
      <c r="H6">
        <v>677000184.64109635</v>
      </c>
      <c r="I6">
        <v>117213304.33063149</v>
      </c>
      <c r="J6">
        <v>266657087.79325891</v>
      </c>
      <c r="K6">
        <v>78444541.099674463</v>
      </c>
      <c r="L6">
        <v>-1974328811.8734624</v>
      </c>
      <c r="M6">
        <v>-146099038.22274756</v>
      </c>
      <c r="N6">
        <v>-492223237.60246634</v>
      </c>
      <c r="O6">
        <v>-258888522.22438407</v>
      </c>
      <c r="P6">
        <v>870429195.81694436</v>
      </c>
      <c r="Q6">
        <v>-227710680.76777244</v>
      </c>
      <c r="R6">
        <v>777205366.73439813</v>
      </c>
      <c r="S6">
        <v>-19651557.643083334</v>
      </c>
      <c r="T6">
        <v>214699397.12423348</v>
      </c>
      <c r="U6">
        <v>658129785.82244325</v>
      </c>
      <c r="V6">
        <v>31574183.774296045</v>
      </c>
      <c r="W6">
        <v>639041708.34892488</v>
      </c>
      <c r="X6">
        <v>1175839851.2629435</v>
      </c>
      <c r="Y6">
        <v>487175409.10852456</v>
      </c>
      <c r="Z6">
        <v>-1342459880.5697286</v>
      </c>
      <c r="AA6">
        <v>-754991031.69896674</v>
      </c>
      <c r="AB6">
        <v>726401617.59149575</v>
      </c>
      <c r="AC6">
        <v>-710867631.84395003</v>
      </c>
      <c r="AD6">
        <v>1206607073.9008143</v>
      </c>
    </row>
    <row r="7" spans="1:30">
      <c r="A7">
        <v>335578.66916885227</v>
      </c>
      <c r="B7">
        <v>-141090.91801054776</v>
      </c>
      <c r="C7">
        <v>480667.89670558274</v>
      </c>
      <c r="D7">
        <v>-2113348.9397720397</v>
      </c>
      <c r="E7">
        <v>-120836.70455421135</v>
      </c>
      <c r="F7">
        <v>-375281.41065849736</v>
      </c>
      <c r="G7">
        <v>-493434.58345352858</v>
      </c>
      <c r="H7">
        <v>355054.93021128327</v>
      </c>
      <c r="I7">
        <v>460045.39251516014</v>
      </c>
      <c r="J7">
        <v>-73708.971182901412</v>
      </c>
      <c r="K7">
        <v>-35793.293538767844</v>
      </c>
      <c r="L7">
        <v>-329016.90958338976</v>
      </c>
      <c r="M7">
        <v>409669.27595730498</v>
      </c>
      <c r="N7">
        <v>-107735.39194229245</v>
      </c>
      <c r="O7">
        <v>-906560.24134394154</v>
      </c>
      <c r="P7">
        <v>652703.98064971715</v>
      </c>
      <c r="Q7">
        <v>274905.3677848205</v>
      </c>
      <c r="R7">
        <v>-97768.360429987311</v>
      </c>
      <c r="S7">
        <v>-1246363.667390123</v>
      </c>
      <c r="T7">
        <v>-401937.92431044579</v>
      </c>
      <c r="U7">
        <v>-243882.71630211547</v>
      </c>
      <c r="V7">
        <v>-247578.20794279501</v>
      </c>
      <c r="W7">
        <v>777671.88202592731</v>
      </c>
      <c r="X7">
        <v>610445.08814033493</v>
      </c>
      <c r="Y7">
        <v>664034.28714951873</v>
      </c>
      <c r="Z7">
        <v>-428164.85989882797</v>
      </c>
      <c r="AA7">
        <v>612629.22860262915</v>
      </c>
      <c r="AB7">
        <v>345941.58042263985</v>
      </c>
      <c r="AC7">
        <v>1908671.5777211413</v>
      </c>
      <c r="AD7">
        <v>-525516.05673263967</v>
      </c>
    </row>
    <row r="8" spans="1:30">
      <c r="A8">
        <v>231611.75027596578</v>
      </c>
      <c r="B8">
        <v>5570.3355323523283</v>
      </c>
      <c r="C8">
        <v>3146.7061969861388</v>
      </c>
      <c r="D8">
        <v>-1647926.1915997975</v>
      </c>
      <c r="E8">
        <v>-565180.61010015383</v>
      </c>
      <c r="F8">
        <v>-390607.4862973541</v>
      </c>
      <c r="G8">
        <v>-234095.71990933269</v>
      </c>
      <c r="H8">
        <v>381338.89312082902</v>
      </c>
      <c r="I8">
        <v>231447.84841073304</v>
      </c>
      <c r="J8">
        <v>-521886.65480578691</v>
      </c>
      <c r="K8">
        <v>-209352.4324215278</v>
      </c>
      <c r="L8">
        <v>202579.67800703645</v>
      </c>
      <c r="M8">
        <v>889182.72572559863</v>
      </c>
      <c r="N8">
        <v>81129.134871114045</v>
      </c>
      <c r="O8">
        <v>-367536.8241917491</v>
      </c>
      <c r="P8">
        <v>273289.33908672258</v>
      </c>
      <c r="Q8">
        <v>-464681.97847062722</v>
      </c>
      <c r="R8">
        <v>281236.80259834975</v>
      </c>
      <c r="S8">
        <v>269452.56243843958</v>
      </c>
      <c r="T8">
        <v>-1521527.881183425</v>
      </c>
      <c r="U8">
        <v>-527923.20868773013</v>
      </c>
      <c r="V8">
        <v>-601297.88323001191</v>
      </c>
      <c r="W8">
        <v>988541.80665056035</v>
      </c>
      <c r="X8">
        <v>385546.47246005014</v>
      </c>
      <c r="Y8">
        <v>-138482.75482700393</v>
      </c>
      <c r="Z8">
        <v>161167.20941483229</v>
      </c>
      <c r="AA8">
        <v>849107.53119051829</v>
      </c>
      <c r="AB8">
        <v>1359750.3050459139</v>
      </c>
      <c r="AC8">
        <v>508086.42127012834</v>
      </c>
      <c r="AD8">
        <v>88314.103438634425</v>
      </c>
    </row>
    <row r="9" spans="1:30">
      <c r="A9">
        <v>-6360238.1783738583</v>
      </c>
      <c r="B9">
        <v>8674007.1777183861</v>
      </c>
      <c r="C9">
        <v>1515359.5767929479</v>
      </c>
      <c r="D9">
        <v>2258753.8667906523</v>
      </c>
      <c r="E9">
        <v>2184483.8841521442</v>
      </c>
      <c r="F9">
        <v>-311645.52581325173</v>
      </c>
      <c r="G9">
        <v>-6185151.304578729</v>
      </c>
      <c r="H9">
        <v>7122550.1641574502</v>
      </c>
      <c r="I9">
        <v>2860428.4310026914</v>
      </c>
      <c r="J9">
        <v>2539925.8476960361</v>
      </c>
      <c r="K9">
        <v>8468515.4733523354</v>
      </c>
      <c r="L9">
        <v>3954465.894945845</v>
      </c>
      <c r="M9">
        <v>11869642.833314046</v>
      </c>
      <c r="N9">
        <v>-1691459.7660011351</v>
      </c>
      <c r="O9">
        <v>1182023.3855799586</v>
      </c>
      <c r="P9">
        <v>-4809513.576287806</v>
      </c>
      <c r="Q9">
        <v>6398339.3795053884</v>
      </c>
      <c r="R9">
        <v>-12377901.42741935</v>
      </c>
      <c r="S9">
        <v>-12300273.538828582</v>
      </c>
      <c r="T9">
        <v>10344754.588554144</v>
      </c>
      <c r="U9">
        <v>-4663723.3204813227</v>
      </c>
      <c r="V9">
        <v>-6463593.3935562894</v>
      </c>
      <c r="W9">
        <v>-2712525.5489277914</v>
      </c>
      <c r="X9">
        <v>3326473.2598294988</v>
      </c>
      <c r="Y9">
        <v>1736704.1530939937</v>
      </c>
      <c r="Z9">
        <v>10063565.336928681</v>
      </c>
      <c r="AA9">
        <v>-8363903.9226768613</v>
      </c>
      <c r="AB9">
        <v>-16791852.18428354</v>
      </c>
      <c r="AC9">
        <v>7926646.0475034639</v>
      </c>
      <c r="AD9">
        <v>-9394857.6139785945</v>
      </c>
    </row>
    <row r="10" spans="1:30">
      <c r="A10">
        <v>-1404467.5132742599</v>
      </c>
      <c r="B10">
        <v>503092.60396061093</v>
      </c>
      <c r="C10">
        <v>-205303.44524229318</v>
      </c>
      <c r="D10">
        <v>3409854.7256133929</v>
      </c>
      <c r="E10">
        <v>1946956.1509587839</v>
      </c>
      <c r="F10">
        <v>-166287.17171435803</v>
      </c>
      <c r="G10">
        <v>2969262.9827151522</v>
      </c>
      <c r="H10">
        <v>-2452982.5524322316</v>
      </c>
      <c r="I10">
        <v>-774956.48650892824</v>
      </c>
      <c r="J10">
        <v>-804656.71061988175</v>
      </c>
      <c r="K10">
        <v>-500857.30473162979</v>
      </c>
      <c r="L10">
        <v>3004196.4663848057</v>
      </c>
      <c r="M10">
        <v>-1859435.6898727268</v>
      </c>
      <c r="N10">
        <v>-536333.85507788509</v>
      </c>
      <c r="O10">
        <v>1157536.5010059252</v>
      </c>
      <c r="P10">
        <v>-2262982.5205460563</v>
      </c>
      <c r="Q10">
        <v>2125666.3059088364</v>
      </c>
      <c r="R10">
        <v>-279712.56762500107</v>
      </c>
      <c r="S10">
        <v>2356245.5606126115</v>
      </c>
      <c r="T10">
        <v>2536335.4569011256</v>
      </c>
      <c r="U10">
        <v>-1497220.034428902</v>
      </c>
      <c r="V10">
        <v>-199340.39647606015</v>
      </c>
      <c r="W10">
        <v>-2269043.5987228528</v>
      </c>
      <c r="X10">
        <v>-3053942.1853569075</v>
      </c>
      <c r="Y10">
        <v>-169853.41639506072</v>
      </c>
      <c r="Z10">
        <v>2438614.3557967171</v>
      </c>
      <c r="AA10">
        <v>-935125.38464215398</v>
      </c>
      <c r="AB10">
        <v>-1599334.3524222746</v>
      </c>
      <c r="AC10">
        <v>-8008.7123481929302</v>
      </c>
      <c r="AD10">
        <v>-1467917.2114476785</v>
      </c>
    </row>
    <row r="11" spans="1:30">
      <c r="A11">
        <v>259297934.68109226</v>
      </c>
      <c r="B11">
        <v>74839694.950222969</v>
      </c>
      <c r="C11">
        <v>-85489346.868233681</v>
      </c>
      <c r="D11">
        <v>-1009759308.521327</v>
      </c>
      <c r="E11">
        <v>-552305186.74240398</v>
      </c>
      <c r="F11">
        <v>-237502638.13249874</v>
      </c>
      <c r="G11">
        <v>-766928348.6783514</v>
      </c>
      <c r="H11">
        <v>626632588.19083786</v>
      </c>
      <c r="I11">
        <v>285160670.64872837</v>
      </c>
      <c r="J11">
        <v>710658722.73308659</v>
      </c>
      <c r="K11">
        <v>1007827375.8791971</v>
      </c>
      <c r="L11">
        <v>-898167484.07514477</v>
      </c>
      <c r="M11">
        <v>80881622.084784508</v>
      </c>
      <c r="N11">
        <v>119135409.38818455</v>
      </c>
      <c r="O11">
        <v>-286281552.19180584</v>
      </c>
      <c r="P11">
        <v>254960389.49001026</v>
      </c>
      <c r="Q11">
        <v>-745379032.57064247</v>
      </c>
      <c r="R11">
        <v>78480505.182480812</v>
      </c>
      <c r="S11">
        <v>-661988796.21970081</v>
      </c>
      <c r="T11">
        <v>-98546914.433646202</v>
      </c>
      <c r="U11">
        <v>537543332.8550539</v>
      </c>
      <c r="V11">
        <v>-471881190.94014263</v>
      </c>
      <c r="W11">
        <v>390849283.60337734</v>
      </c>
      <c r="X11">
        <v>1062744150.9030123</v>
      </c>
      <c r="Y11">
        <v>232085544.44934177</v>
      </c>
      <c r="Z11">
        <v>-650675353.7782774</v>
      </c>
      <c r="AA11">
        <v>91385709.985035896</v>
      </c>
      <c r="AB11">
        <v>48397909.137978554</v>
      </c>
      <c r="AC11">
        <v>40843674.440297127</v>
      </c>
      <c r="AD11">
        <v>563180634.55211353</v>
      </c>
    </row>
    <row r="12" spans="1:30">
      <c r="A12">
        <v>-582122.49297722429</v>
      </c>
      <c r="B12">
        <v>1064299.3089639097</v>
      </c>
      <c r="C12">
        <v>641152.0189069137</v>
      </c>
      <c r="D12">
        <v>-1706232.9704861939</v>
      </c>
      <c r="E12">
        <v>892126.67197518051</v>
      </c>
      <c r="F12">
        <v>-1507263.7634222582</v>
      </c>
      <c r="G12">
        <v>131021.56968858838</v>
      </c>
      <c r="H12">
        <v>935266.30126711726</v>
      </c>
      <c r="I12">
        <v>1281482.31055969</v>
      </c>
      <c r="J12">
        <v>-928376.15206565708</v>
      </c>
      <c r="K12">
        <v>-307891.71398005635</v>
      </c>
      <c r="L12">
        <v>1006437.4011553377</v>
      </c>
      <c r="M12">
        <v>1977357.9715321213</v>
      </c>
      <c r="N12">
        <v>-68441.880140125751</v>
      </c>
      <c r="O12">
        <v>-1127469.8972669169</v>
      </c>
      <c r="P12">
        <v>-975572.52145864815</v>
      </c>
      <c r="Q12">
        <v>1927631.2537822351</v>
      </c>
      <c r="R12">
        <v>-146060.13904813677</v>
      </c>
      <c r="S12">
        <v>-393711.93145930767</v>
      </c>
      <c r="T12">
        <v>33963.649891749024</v>
      </c>
      <c r="U12">
        <v>-991063.72277555615</v>
      </c>
      <c r="V12">
        <v>-803328.20515844971</v>
      </c>
      <c r="W12">
        <v>-268762.67398520559</v>
      </c>
      <c r="X12">
        <v>-2416499.6827766672</v>
      </c>
      <c r="Y12">
        <v>709458.59624721855</v>
      </c>
      <c r="Z12">
        <v>180177.03500248492</v>
      </c>
      <c r="AA12">
        <v>797775.70653391629</v>
      </c>
      <c r="AB12">
        <v>-116191.67961957306</v>
      </c>
      <c r="AC12">
        <v>1100559.6054228842</v>
      </c>
      <c r="AD12">
        <v>-339719.97430863976</v>
      </c>
    </row>
    <row r="13" spans="1:30">
      <c r="A13">
        <v>10669170.096142963</v>
      </c>
      <c r="B13">
        <v>9861084.7588462383</v>
      </c>
      <c r="C13">
        <v>-1554268.9805996865</v>
      </c>
      <c r="D13">
        <v>-6297278.2036794275</v>
      </c>
      <c r="E13">
        <v>-4529954.6848057956</v>
      </c>
      <c r="F13">
        <v>-14440778.899197385</v>
      </c>
      <c r="G13">
        <v>-10006780.896290854</v>
      </c>
      <c r="H13">
        <v>8912722.3596736342</v>
      </c>
      <c r="I13">
        <v>-501539.48788265884</v>
      </c>
      <c r="J13">
        <v>12228707.169851616</v>
      </c>
      <c r="K13">
        <v>-2926336.2328658253</v>
      </c>
      <c r="L13">
        <v>-29484573.534368441</v>
      </c>
      <c r="M13">
        <v>13863231.458375409</v>
      </c>
      <c r="N13">
        <v>7204608.6677091867</v>
      </c>
      <c r="O13">
        <v>-5611172.0419594496</v>
      </c>
      <c r="P13">
        <v>-16625719.523315474</v>
      </c>
      <c r="Q13">
        <v>-12361637.79962723</v>
      </c>
      <c r="R13">
        <v>6098491.6283433586</v>
      </c>
      <c r="S13">
        <v>-15309058.981960192</v>
      </c>
      <c r="T13">
        <v>11432371.169753149</v>
      </c>
      <c r="U13">
        <v>8565395.5244057328</v>
      </c>
      <c r="V13">
        <v>7519637.4661557823</v>
      </c>
      <c r="W13">
        <v>10328379.509147391</v>
      </c>
      <c r="X13">
        <v>15678226.748362437</v>
      </c>
      <c r="Y13">
        <v>-5586601.8456664532</v>
      </c>
      <c r="Z13">
        <v>-4563978.1948274821</v>
      </c>
      <c r="AA13">
        <v>-11136931.967648193</v>
      </c>
      <c r="AB13">
        <v>1700932.0403447896</v>
      </c>
      <c r="AC13">
        <v>-4638956.0780735761</v>
      </c>
      <c r="AD13">
        <v>21512608.755877689</v>
      </c>
    </row>
    <row r="14" spans="1:30">
      <c r="A14">
        <v>-245067610.46255493</v>
      </c>
      <c r="B14">
        <v>148634389.82689285</v>
      </c>
      <c r="C14">
        <v>-452485953.27141953</v>
      </c>
      <c r="D14">
        <v>727418040.63244057</v>
      </c>
      <c r="E14">
        <v>799234542.49780655</v>
      </c>
      <c r="F14">
        <v>-569798779.21740532</v>
      </c>
      <c r="G14">
        <v>1087441843.154808</v>
      </c>
      <c r="H14">
        <v>-273666964.06713676</v>
      </c>
      <c r="I14">
        <v>73130598.641151428</v>
      </c>
      <c r="J14">
        <v>-181046106.41314316</v>
      </c>
      <c r="K14">
        <v>-52009046.684070587</v>
      </c>
      <c r="L14">
        <v>1162133561.9106464</v>
      </c>
      <c r="M14">
        <v>-115301970.59240341</v>
      </c>
      <c r="N14">
        <v>-1005819056.5918903</v>
      </c>
      <c r="O14">
        <v>53815424.887624741</v>
      </c>
      <c r="P14">
        <v>-661109349.0435791</v>
      </c>
      <c r="Q14">
        <v>-86338327.403575897</v>
      </c>
      <c r="R14">
        <v>47217806.137275696</v>
      </c>
      <c r="S14">
        <v>1108826115.1060686</v>
      </c>
      <c r="T14">
        <v>353665060.76567268</v>
      </c>
      <c r="U14">
        <v>-598463223.50783062</v>
      </c>
      <c r="V14">
        <v>345913642.16113663</v>
      </c>
      <c r="W14">
        <v>-1260577698.8526192</v>
      </c>
      <c r="X14">
        <v>-484358749.75566673</v>
      </c>
      <c r="Y14">
        <v>24230296.123445511</v>
      </c>
      <c r="Z14">
        <v>640977872.54854393</v>
      </c>
      <c r="AA14">
        <v>-226229906.11180878</v>
      </c>
      <c r="AB14">
        <v>-1006776677.6439419</v>
      </c>
      <c r="AC14">
        <v>55551905.560277939</v>
      </c>
      <c r="AD14">
        <v>590858319.67152405</v>
      </c>
    </row>
    <row r="15" spans="1:30">
      <c r="A15">
        <v>-171557.53414309025</v>
      </c>
      <c r="B15">
        <v>209812.63806897029</v>
      </c>
      <c r="C15">
        <v>-930662.93482031673</v>
      </c>
      <c r="D15">
        <v>2151482.1484384313</v>
      </c>
      <c r="E15">
        <v>109070.91377599165</v>
      </c>
      <c r="F15">
        <v>671916.65368041396</v>
      </c>
      <c r="G15">
        <v>1979425.2121621892</v>
      </c>
      <c r="H15">
        <v>-894706.61938753724</v>
      </c>
      <c r="I15">
        <v>-1047157.5532577187</v>
      </c>
      <c r="J15">
        <v>-82442.659480854869</v>
      </c>
      <c r="K15">
        <v>9581.2524100840092</v>
      </c>
      <c r="L15">
        <v>581635.54137648642</v>
      </c>
      <c r="M15">
        <v>-275719.2881559357</v>
      </c>
      <c r="N15">
        <v>-129177.58467854187</v>
      </c>
      <c r="O15">
        <v>511349.52711396292</v>
      </c>
      <c r="P15">
        <v>-592389.1058633849</v>
      </c>
      <c r="Q15">
        <v>-142441.29612564296</v>
      </c>
      <c r="R15">
        <v>-1108318.5593507886</v>
      </c>
      <c r="S15">
        <v>1211191.817459099</v>
      </c>
      <c r="T15">
        <v>885968.56123609468</v>
      </c>
      <c r="U15">
        <v>-482565.67804261297</v>
      </c>
      <c r="V15">
        <v>860647.69317793101</v>
      </c>
      <c r="W15">
        <v>-2021439.8287915662</v>
      </c>
      <c r="X15">
        <v>-243914.86270628497</v>
      </c>
      <c r="Y15">
        <v>-603831.39202360809</v>
      </c>
      <c r="Z15">
        <v>1041075.0594911501</v>
      </c>
      <c r="AA15">
        <v>-531192.44249393791</v>
      </c>
      <c r="AB15">
        <v>-359061.79362374917</v>
      </c>
      <c r="AC15">
        <v>-519093.1144233942</v>
      </c>
      <c r="AD15">
        <v>-87484.771008633077</v>
      </c>
    </row>
    <row r="16" spans="1:30">
      <c r="A16">
        <v>-1532512673.5335083</v>
      </c>
      <c r="B16">
        <v>-2438673930.0613403</v>
      </c>
      <c r="C16">
        <v>-3097181980.7054901</v>
      </c>
      <c r="D16">
        <v>3825673162.4902039</v>
      </c>
      <c r="E16">
        <v>-1434059847.6696777</v>
      </c>
      <c r="F16">
        <v>3349448573.3647461</v>
      </c>
      <c r="G16">
        <v>6460817484.6812897</v>
      </c>
      <c r="H16">
        <v>-5536500853.3748627</v>
      </c>
      <c r="I16">
        <v>-3769535877.4573669</v>
      </c>
      <c r="J16">
        <v>-173629586.58197021</v>
      </c>
      <c r="K16">
        <v>-932188982.97584534</v>
      </c>
      <c r="L16">
        <v>4135652754.2270813</v>
      </c>
      <c r="M16">
        <v>-3490250314.0425873</v>
      </c>
      <c r="N16">
        <v>2142997310.3331909</v>
      </c>
      <c r="O16">
        <v>6588817222.1459351</v>
      </c>
      <c r="P16">
        <v>-1256773372.4423523</v>
      </c>
      <c r="Q16">
        <v>-631877778.73599243</v>
      </c>
      <c r="R16">
        <v>-2736409275.5081024</v>
      </c>
      <c r="S16">
        <v>2019430400.0888977</v>
      </c>
      <c r="T16">
        <v>-4210535241.7086182</v>
      </c>
      <c r="U16">
        <v>-97526543.270553589</v>
      </c>
      <c r="V16">
        <v>-61119567.816543579</v>
      </c>
      <c r="W16">
        <v>1039980869.9980927</v>
      </c>
      <c r="X16">
        <v>-2028493062.7514496</v>
      </c>
      <c r="Y16">
        <v>-3797488948.2410889</v>
      </c>
      <c r="Z16">
        <v>7039050545.3817139</v>
      </c>
      <c r="AA16">
        <v>1039340091.967041</v>
      </c>
      <c r="AB16">
        <v>1868513837.8015442</v>
      </c>
      <c r="AC16">
        <v>-45579474.127288818</v>
      </c>
      <c r="AD16">
        <v>-2239384941.449646</v>
      </c>
    </row>
    <row r="17" spans="1:30">
      <c r="A17">
        <v>44073223.051214337</v>
      </c>
      <c r="B17">
        <v>-22995266.070089459</v>
      </c>
      <c r="C17">
        <v>106581029.80370533</v>
      </c>
      <c r="D17">
        <v>37278040.854017794</v>
      </c>
      <c r="E17">
        <v>-2175523.7098568678</v>
      </c>
      <c r="F17">
        <v>-183415.72527086735</v>
      </c>
      <c r="G17">
        <v>-122213669.12756991</v>
      </c>
      <c r="H17">
        <v>-4324283.9780074954</v>
      </c>
      <c r="I17">
        <v>49275188.564569592</v>
      </c>
      <c r="J17">
        <v>-1889863.9151786566</v>
      </c>
      <c r="K17">
        <v>-15408234.714941621</v>
      </c>
      <c r="L17">
        <v>-98858718.957949042</v>
      </c>
      <c r="M17">
        <v>-38994736.303712726</v>
      </c>
      <c r="N17">
        <v>18207185.94497025</v>
      </c>
      <c r="O17">
        <v>-45429335.493344665</v>
      </c>
      <c r="P17">
        <v>49220142.398639083</v>
      </c>
      <c r="Q17">
        <v>57564467.421591043</v>
      </c>
      <c r="R17">
        <v>-12621885.689098835</v>
      </c>
      <c r="S17">
        <v>-29506016.778775811</v>
      </c>
      <c r="T17">
        <v>45493086.383743644</v>
      </c>
      <c r="U17">
        <v>61941642.854586482</v>
      </c>
      <c r="V17">
        <v>40024926.170493126</v>
      </c>
      <c r="W17">
        <v>-19476609.5610677</v>
      </c>
      <c r="X17">
        <v>-22670452.539155126</v>
      </c>
      <c r="Y17">
        <v>84071910.515280366</v>
      </c>
      <c r="Z17">
        <v>-151999619.38296092</v>
      </c>
      <c r="AA17">
        <v>63639883.210334778</v>
      </c>
      <c r="AB17">
        <v>-31675317.280694842</v>
      </c>
      <c r="AC17">
        <v>-41367013.210296392</v>
      </c>
      <c r="AD17">
        <v>4419235.2652369738</v>
      </c>
    </row>
    <row r="18" spans="1:30">
      <c r="A18">
        <v>39023874.356532216</v>
      </c>
      <c r="B18">
        <v>1266456.4144635201</v>
      </c>
      <c r="C18">
        <v>433497.94361078739</v>
      </c>
      <c r="D18">
        <v>-30450695.760115743</v>
      </c>
      <c r="E18">
        <v>-33655650.35771203</v>
      </c>
      <c r="F18">
        <v>34756487.861010432</v>
      </c>
      <c r="G18">
        <v>66611356.456095099</v>
      </c>
      <c r="H18">
        <v>37704603.07175231</v>
      </c>
      <c r="I18">
        <v>11485249.40812695</v>
      </c>
      <c r="J18">
        <v>11314640.832193971</v>
      </c>
      <c r="K18">
        <v>19166501.157783389</v>
      </c>
      <c r="L18">
        <v>61467887.213733196</v>
      </c>
      <c r="M18">
        <v>-34814731.634265542</v>
      </c>
      <c r="N18">
        <v>17833050.505589366</v>
      </c>
      <c r="O18">
        <v>-55141503.143172383</v>
      </c>
      <c r="P18">
        <v>-37260869.941438794</v>
      </c>
      <c r="Q18">
        <v>-4988219.8228666782</v>
      </c>
      <c r="R18">
        <v>3650137.0743340254</v>
      </c>
      <c r="S18">
        <v>-28968812.64154315</v>
      </c>
      <c r="T18">
        <v>-81935741.615616679</v>
      </c>
      <c r="U18">
        <v>-33813197.088879585</v>
      </c>
      <c r="V18">
        <v>29365041.321355939</v>
      </c>
      <c r="W18">
        <v>-41836747.253448009</v>
      </c>
      <c r="X18">
        <v>-1918282.794768095</v>
      </c>
      <c r="Y18">
        <v>50257550.701893926</v>
      </c>
      <c r="Z18">
        <v>-111782091.35752678</v>
      </c>
      <c r="AA18">
        <v>51976875.615421891</v>
      </c>
      <c r="AB18">
        <v>21393420.236774921</v>
      </c>
      <c r="AC18">
        <v>-23226791.669419885</v>
      </c>
      <c r="AD18">
        <v>62086704.910422444</v>
      </c>
    </row>
    <row r="19" spans="1:30">
      <c r="A19">
        <v>11100134.096786499</v>
      </c>
      <c r="B19">
        <v>-1396518446.0215607</v>
      </c>
      <c r="C19">
        <v>797619633.03544617</v>
      </c>
      <c r="D19">
        <v>7434834331.3525085</v>
      </c>
      <c r="E19">
        <v>4764510315.0394592</v>
      </c>
      <c r="F19">
        <v>-564383592.59132385</v>
      </c>
      <c r="G19">
        <v>2373747708.8649902</v>
      </c>
      <c r="H19">
        <v>-5744087712.4716949</v>
      </c>
      <c r="I19">
        <v>-2065653129.2919617</v>
      </c>
      <c r="J19">
        <v>-3141836500.4211578</v>
      </c>
      <c r="K19">
        <v>-3285322018.7575073</v>
      </c>
      <c r="L19">
        <v>1103851696.7811279</v>
      </c>
      <c r="M19">
        <v>-5065261834.7237091</v>
      </c>
      <c r="N19">
        <v>1179365295.7017059</v>
      </c>
      <c r="O19">
        <v>2149877626.018158</v>
      </c>
      <c r="P19">
        <v>686841430.48921204</v>
      </c>
      <c r="Q19">
        <v>4478625906.2393875</v>
      </c>
      <c r="R19">
        <v>117826885.8283844</v>
      </c>
      <c r="S19">
        <v>5946409381.9275513</v>
      </c>
      <c r="T19">
        <v>4337163520.7714081</v>
      </c>
      <c r="U19">
        <v>-471142383.98799133</v>
      </c>
      <c r="V19">
        <v>1172020208.581131</v>
      </c>
      <c r="W19">
        <v>-3037418183.6450043</v>
      </c>
      <c r="X19">
        <v>-6088737699.8150482</v>
      </c>
      <c r="Y19">
        <v>678183730.95892334</v>
      </c>
      <c r="Z19">
        <v>-3564981058.8650818</v>
      </c>
      <c r="AA19">
        <v>707670626.25366211</v>
      </c>
      <c r="AB19">
        <v>1451450633.9584045</v>
      </c>
      <c r="AC19">
        <v>-2072195408.1783295</v>
      </c>
      <c r="AD19">
        <v>-2893561097.1430511</v>
      </c>
    </row>
    <row r="20" spans="1:30">
      <c r="A20">
        <v>-3008262.8276929855</v>
      </c>
      <c r="B20">
        <v>1482755.8847615719</v>
      </c>
      <c r="C20">
        <v>-13954899.506147027</v>
      </c>
      <c r="D20">
        <v>48626548.510030866</v>
      </c>
      <c r="E20">
        <v>18737200.276878953</v>
      </c>
      <c r="F20">
        <v>9396597.0662857294</v>
      </c>
      <c r="G20">
        <v>87545086.724482656</v>
      </c>
      <c r="H20">
        <v>-22505846.764363289</v>
      </c>
      <c r="I20">
        <v>-27555066.176778674</v>
      </c>
      <c r="J20">
        <v>-22143800.520507455</v>
      </c>
      <c r="K20">
        <v>-23603047.747300386</v>
      </c>
      <c r="L20">
        <v>43484102.731705308</v>
      </c>
      <c r="M20">
        <v>-24365834.384452105</v>
      </c>
      <c r="N20">
        <v>-3711066.3208199739</v>
      </c>
      <c r="O20">
        <v>33841705.983243585</v>
      </c>
      <c r="P20">
        <v>-32088367.394274712</v>
      </c>
      <c r="Q20">
        <v>2139445.7871805429</v>
      </c>
      <c r="R20">
        <v>43730398.946407676</v>
      </c>
      <c r="S20">
        <v>42072922.722305775</v>
      </c>
      <c r="T20">
        <v>3471268.767686367</v>
      </c>
      <c r="U20">
        <v>-42785445.185355425</v>
      </c>
      <c r="V20">
        <v>20517789.146715879</v>
      </c>
      <c r="W20">
        <v>-57468861.804929137</v>
      </c>
      <c r="X20">
        <v>-44405602.979064465</v>
      </c>
      <c r="Y20">
        <v>-7911742.6967232227</v>
      </c>
      <c r="Z20">
        <v>17191132.192988634</v>
      </c>
      <c r="AA20">
        <v>-10557232.080453992</v>
      </c>
      <c r="AB20">
        <v>-26832977.200560689</v>
      </c>
      <c r="AC20">
        <v>-18738280.797279716</v>
      </c>
      <c r="AD20">
        <v>9399379.6459709406</v>
      </c>
    </row>
    <row r="21" spans="1:30">
      <c r="A21">
        <v>-25307213.381039143</v>
      </c>
      <c r="B21">
        <v>18314160.851672053</v>
      </c>
      <c r="C21">
        <v>-12725.689367175102</v>
      </c>
      <c r="D21">
        <v>-5914904.5586978495</v>
      </c>
      <c r="E21">
        <v>14635241.887084007</v>
      </c>
      <c r="F21">
        <v>-47870514.196013331</v>
      </c>
      <c r="G21">
        <v>-52461790.378643483</v>
      </c>
      <c r="H21">
        <v>22398277.181995392</v>
      </c>
      <c r="I21">
        <v>33477819.614433646</v>
      </c>
      <c r="J21">
        <v>16921304.810234725</v>
      </c>
      <c r="K21">
        <v>-6480671.6399365664</v>
      </c>
      <c r="L21">
        <v>-5814636.0325520039</v>
      </c>
      <c r="M21">
        <v>38768706.997297943</v>
      </c>
      <c r="N21">
        <v>-38733965.246029615</v>
      </c>
      <c r="O21">
        <v>-28827323.526790977</v>
      </c>
      <c r="P21">
        <v>9047718.4496725798</v>
      </c>
      <c r="Q21">
        <v>-9781119.1176186204</v>
      </c>
      <c r="R21">
        <v>11610630.758556843</v>
      </c>
      <c r="S21">
        <v>25349713.818548411</v>
      </c>
      <c r="T21">
        <v>33842909.942300439</v>
      </c>
      <c r="U21">
        <v>10777876.034398168</v>
      </c>
      <c r="V21">
        <v>4800883.4245210886</v>
      </c>
      <c r="W21">
        <v>5614411.1679432988</v>
      </c>
      <c r="X21">
        <v>-3098219.6007866859</v>
      </c>
      <c r="Y21">
        <v>-2138517.632986784</v>
      </c>
      <c r="Z21">
        <v>12062971.600370049</v>
      </c>
      <c r="AA21">
        <v>-34877314.868829012</v>
      </c>
      <c r="AB21">
        <v>-9013335.6105114222</v>
      </c>
      <c r="AC21">
        <v>-7711602.7074855566</v>
      </c>
      <c r="AD21">
        <v>20421227.648325562</v>
      </c>
    </row>
    <row r="22" spans="1:30">
      <c r="A22">
        <v>21681080.389000654</v>
      </c>
      <c r="B22">
        <v>15281458.673688173</v>
      </c>
      <c r="C22">
        <v>20455047.298987031</v>
      </c>
      <c r="D22">
        <v>-77966776.238745213</v>
      </c>
      <c r="E22">
        <v>-31774171.986835003</v>
      </c>
      <c r="F22">
        <v>13120197.619978189</v>
      </c>
      <c r="G22">
        <v>-55424159.309360027</v>
      </c>
      <c r="H22">
        <v>49712555.778695822</v>
      </c>
      <c r="I22">
        <v>31338256.830214739</v>
      </c>
      <c r="J22">
        <v>8339220.3665530682</v>
      </c>
      <c r="K22">
        <v>2769539.7249951363</v>
      </c>
      <c r="L22">
        <v>-67765817.310442686</v>
      </c>
      <c r="M22">
        <v>24594912.863089323</v>
      </c>
      <c r="N22">
        <v>20011230.607277155</v>
      </c>
      <c r="O22">
        <v>-29913699.017148972</v>
      </c>
      <c r="P22">
        <v>40740852.759022474</v>
      </c>
      <c r="Q22">
        <v>-15337228.971718907</v>
      </c>
      <c r="R22">
        <v>-4929623.66967237</v>
      </c>
      <c r="S22">
        <v>-83442472.093599319</v>
      </c>
      <c r="T22">
        <v>-59411167.727298021</v>
      </c>
      <c r="U22">
        <v>26551772.759178162</v>
      </c>
      <c r="V22">
        <v>1662117.1779568195</v>
      </c>
      <c r="W22">
        <v>62855678.037715673</v>
      </c>
      <c r="X22">
        <v>52398898.702117205</v>
      </c>
      <c r="Y22">
        <v>5280104.6827151775</v>
      </c>
      <c r="Z22">
        <v>-61662421.306749105</v>
      </c>
      <c r="AA22">
        <v>27329356.367689371</v>
      </c>
      <c r="AB22">
        <v>32294233.139595985</v>
      </c>
      <c r="AC22">
        <v>15959335.425818682</v>
      </c>
      <c r="AD22">
        <v>15251688.427413702</v>
      </c>
    </row>
    <row r="23" spans="1:30">
      <c r="A23">
        <v>-114461314.07183838</v>
      </c>
      <c r="B23">
        <v>-256085110.96586609</v>
      </c>
      <c r="C23">
        <v>-8315479.143913269</v>
      </c>
      <c r="D23">
        <v>184589593.55972862</v>
      </c>
      <c r="E23">
        <v>-90931391.610412598</v>
      </c>
      <c r="F23">
        <v>549680431.36174774</v>
      </c>
      <c r="G23">
        <v>168599897.23627472</v>
      </c>
      <c r="H23">
        <v>-489850047.8436203</v>
      </c>
      <c r="I23">
        <v>-547163464.92288208</v>
      </c>
      <c r="J23">
        <v>420950554.08909607</v>
      </c>
      <c r="K23">
        <v>444154625.00567436</v>
      </c>
      <c r="L23">
        <v>860374701.05757141</v>
      </c>
      <c r="M23">
        <v>-353003013.0821228</v>
      </c>
      <c r="N23">
        <v>-464433320.6550827</v>
      </c>
      <c r="O23">
        <v>219076827.13653564</v>
      </c>
      <c r="P23">
        <v>467184785.99621582</v>
      </c>
      <c r="Q23">
        <v>46687332.648086548</v>
      </c>
      <c r="R23">
        <v>-275073288.26009369</v>
      </c>
      <c r="S23">
        <v>247079592.02303123</v>
      </c>
      <c r="T23">
        <v>-262985703.40862274</v>
      </c>
      <c r="U23">
        <v>2350469.0431480408</v>
      </c>
      <c r="V23">
        <v>-236254824.28313065</v>
      </c>
      <c r="W23">
        <v>-263748409.21801186</v>
      </c>
      <c r="X23">
        <v>-755260647.52067184</v>
      </c>
      <c r="Y23">
        <v>155886478.4575119</v>
      </c>
      <c r="Z23">
        <v>1160496793.4871521</v>
      </c>
      <c r="AA23">
        <v>248886996.68156433</v>
      </c>
      <c r="AB23">
        <v>-251131178.08689117</v>
      </c>
      <c r="AC23">
        <v>366415310.41346931</v>
      </c>
      <c r="AD23">
        <v>-1173717195.1256638</v>
      </c>
    </row>
    <row r="24" spans="1:30">
      <c r="A24">
        <v>0.22532050266703152</v>
      </c>
      <c r="B24">
        <v>-1.1846665005805335</v>
      </c>
      <c r="C24">
        <v>-0.82407262639766543</v>
      </c>
      <c r="D24">
        <v>5.5180650997524765</v>
      </c>
      <c r="E24">
        <v>-0.4804239207621066</v>
      </c>
      <c r="F24">
        <v>1.7556713742180392</v>
      </c>
      <c r="G24">
        <v>0.1822856916033686</v>
      </c>
      <c r="H24">
        <v>-1.5983642750179996</v>
      </c>
      <c r="I24">
        <v>-1.6513359470442452</v>
      </c>
      <c r="J24">
        <v>1.2684420952491138</v>
      </c>
      <c r="K24">
        <v>0.96037549487498097</v>
      </c>
      <c r="L24">
        <v>0.12136899342196728</v>
      </c>
      <c r="M24">
        <v>-3.5676631151698075</v>
      </c>
      <c r="N24">
        <v>-0.43561986240202089</v>
      </c>
      <c r="O24">
        <v>2.3371355878268645</v>
      </c>
      <c r="P24">
        <v>0.24461815129907905</v>
      </c>
      <c r="Q24">
        <v>-1.9049667612655696</v>
      </c>
      <c r="R24">
        <v>-3.3236558067457622E-2</v>
      </c>
      <c r="S24">
        <v>2.1228006491059688</v>
      </c>
      <c r="T24">
        <v>1.0807454623064388</v>
      </c>
      <c r="U24">
        <v>0.38863292704870389</v>
      </c>
      <c r="V24">
        <v>6.305358074952494E-2</v>
      </c>
      <c r="W24">
        <v>0.85025765675183607</v>
      </c>
      <c r="X24">
        <v>-0.16210693260664755</v>
      </c>
      <c r="Y24">
        <v>-0.98441090656059771</v>
      </c>
      <c r="Z24">
        <v>1.2004741923686595</v>
      </c>
      <c r="AA24">
        <v>-2.248959907039179</v>
      </c>
      <c r="AB24">
        <v>-0.17162950566340385</v>
      </c>
      <c r="AC24">
        <v>-1.6538817147375653</v>
      </c>
      <c r="AD24">
        <v>-0.41790892593384399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B68A4-4FA1-4908-8D84-0F15AEB40A99}">
  <sheetPr codeName="Planilha10"/>
  <dimension ref="A1:C25"/>
  <sheetViews>
    <sheetView workbookViewId="0">
      <selection activeCell="C3" sqref="C3:C25"/>
    </sheetView>
  </sheetViews>
  <sheetFormatPr defaultRowHeight="14.4"/>
  <sheetData>
    <row r="1" spans="1:3">
      <c r="A1" t="s">
        <v>10</v>
      </c>
    </row>
    <row r="2" spans="1:3">
      <c r="A2" t="s">
        <v>21</v>
      </c>
      <c r="B2" t="s">
        <v>11</v>
      </c>
      <c r="C2" t="s">
        <v>12</v>
      </c>
    </row>
    <row r="3" spans="1:3">
      <c r="A3" t="s">
        <v>13</v>
      </c>
      <c r="B3">
        <f t="array" ref="B3:B25">MMULT('Matrix (((R)^t.(R))^(-1)).(R)^t'!$A$2:$AD$24,'Tabela Entrada-saída'!$X$2:$X$31)</f>
        <v>22.311441831412509</v>
      </c>
      <c r="C3" t="e">
        <f>EXP(((-1)/(2*'Cálculos Diversos'!$B$5))*(SQRT(SUMXMY2(Formulário!$B$1:$B$22,'coordenadas dos Polos'!$X$2:$AS$2)))^2)</f>
        <v>#DIV/0!</v>
      </c>
    </row>
    <row r="4" spans="1:3">
      <c r="A4" t="s">
        <v>14</v>
      </c>
      <c r="B4">
        <v>147028219.72681427</v>
      </c>
      <c r="C4" t="e">
        <f>EXP(((-1)/(2*'Cálculos Diversos'!$B$5))*(SQRT(SUMXMY2(Formulário!$B$1:$B$22,'coordenadas dos Polos'!$AT$2:$BO$2)))^2)</f>
        <v>#DIV/0!</v>
      </c>
    </row>
    <row r="5" spans="1:3">
      <c r="A5" t="s">
        <v>15</v>
      </c>
      <c r="B5">
        <v>127140198584.81213</v>
      </c>
      <c r="C5" t="e">
        <f>EXP(((-1)/(2*'Cálculos Diversos'!$B$5))*(SQRT(SUMXMY2(Formulário!$B$1:$B$22,'coordenadas dos Polos'!$BP$2:$CK$2)))^2)</f>
        <v>#DIV/0!</v>
      </c>
    </row>
    <row r="6" spans="1:3">
      <c r="A6" t="s">
        <v>25</v>
      </c>
      <c r="B6">
        <v>18830234.494817767</v>
      </c>
      <c r="C6" t="e">
        <f>EXP(((-1)/(2*'Cálculos Diversos'!$B$5))*(SQRT(SUMXMY2(Formulário!$B$1:$B$22,'coordenadas dos Polos'!$CL$2:$DG$2)))^2)</f>
        <v>#DIV/0!</v>
      </c>
    </row>
    <row r="7" spans="1:3">
      <c r="A7" t="s">
        <v>26</v>
      </c>
      <c r="B7">
        <v>16093247803.921986</v>
      </c>
      <c r="C7" t="e">
        <f>EXP(((-1)/(2*'Cálculos Diversos'!$B$5))*(SQRT(SUMXMY2(Formulário!$B$1:$B$22,'coordenadas dos Polos'!$DH$2:$EC$2)))^2)</f>
        <v>#DIV/0!</v>
      </c>
    </row>
    <row r="8" spans="1:3">
      <c r="A8" t="s">
        <v>27</v>
      </c>
      <c r="B8">
        <v>9104457.6977241337</v>
      </c>
      <c r="C8" t="e">
        <f>EXP(((-1)/(2*'Cálculos Diversos'!$B$5))*(SQRT(SUMXMY2(Formulário!$B$1:$B$22,'coordenadas dos Polos'!$ED$2:$EY$2)))^2)</f>
        <v>#DIV/0!</v>
      </c>
    </row>
    <row r="9" spans="1:3">
      <c r="A9" t="s">
        <v>70</v>
      </c>
      <c r="B9">
        <v>7711136.4735819176</v>
      </c>
      <c r="C9" t="e">
        <f>EXP(((-1)/(2*'Cálculos Diversos'!$B$5))*(SQRT(SUMXMY2(Formulário!$B$1:$B$22,'coordenadas dos Polos'!$EZ$2:$FU$2)))^2)</f>
        <v>#DIV/0!</v>
      </c>
    </row>
    <row r="10" spans="1:3">
      <c r="A10" t="s">
        <v>71</v>
      </c>
      <c r="B10">
        <v>-137938501.27091864</v>
      </c>
      <c r="C10" t="e">
        <f>EXP(((-1)/(2*'Cálculos Diversos'!$B$5))*(SQRT(SUMXMY2(Formulário!$B$1:$B$22,'coordenadas dos Polos'!$FV$2:$GQ$2)))^2)</f>
        <v>#DIV/0!</v>
      </c>
    </row>
    <row r="11" spans="1:3">
      <c r="A11" t="s">
        <v>72</v>
      </c>
      <c r="B11">
        <v>-52294718.483577184</v>
      </c>
      <c r="C11" t="e">
        <f>EXP(((-1)/(2*'Cálculos Diversos'!$B$5))*(SQRT(SUMXMY2(Formulário!$B$1:$B$22,'coordenadas dos Polos'!$GR$2:$HM$2)))^2)</f>
        <v>#DIV/0!</v>
      </c>
    </row>
    <row r="12" spans="1:3">
      <c r="A12" t="s">
        <v>73</v>
      </c>
      <c r="B12">
        <v>7713672432.3020096</v>
      </c>
      <c r="C12" t="e">
        <f>EXP(((-1)/(2*'Cálculos Diversos'!$B$5))*(SQRT(SUMXMY2(Formulário!$B$1:$B$22,'coordenadas dos Polos'!$HN$2:$II$2)))^2)</f>
        <v>#DIV/0!</v>
      </c>
    </row>
    <row r="13" spans="1:3">
      <c r="A13" t="s">
        <v>74</v>
      </c>
      <c r="B13">
        <v>-13537089.466121517</v>
      </c>
      <c r="C13" t="e">
        <f>EXP(((-1)/(2*'Cálculos Diversos'!$B$5))*(SQRT(SUMXMY2(Formulário!$B$1:$B$22,'coordenadas dos Polos'!$IJ$2:$JE$2)))^2)</f>
        <v>#DIV/0!</v>
      </c>
    </row>
    <row r="14" spans="1:3">
      <c r="A14" t="s">
        <v>75</v>
      </c>
      <c r="B14">
        <v>55524525.903484225</v>
      </c>
      <c r="C14" t="e">
        <f>EXP(((-1)/(2*'Cálculos Diversos'!$B$5))*(SQRT(SUMXMY2(Formulário!$B$1:$B$22,'coordenadas dos Polos'!$JF$2:$KA$2)))^2)</f>
        <v>#DIV/0!</v>
      </c>
    </row>
    <row r="15" spans="1:3">
      <c r="A15" t="s">
        <v>76</v>
      </c>
      <c r="B15">
        <v>-18237733728.970306</v>
      </c>
      <c r="C15" t="e">
        <f>EXP(((-1)/(2*'Cálculos Diversos'!$B$5))*(SQRT(SUMXMY2(Formulário!$B$1:$B$22,'coordenadas dos Polos'!$KB$2:$KW$2)))^2)</f>
        <v>#DIV/0!</v>
      </c>
    </row>
    <row r="16" spans="1:3">
      <c r="A16" t="s">
        <v>77</v>
      </c>
      <c r="B16">
        <v>-12284578.261914704</v>
      </c>
      <c r="C16" t="e">
        <f>EXP(((-1)/(2*'Cálculos Diversos'!$B$5))*(SQRT(SUMXMY2(Formulário!$B$1:$B$22,'coordenadas dos Polos'!$KX$2:$LS$2)))^2)</f>
        <v>#DIV/0!</v>
      </c>
    </row>
    <row r="17" spans="1:3">
      <c r="A17" t="s">
        <v>78</v>
      </c>
      <c r="B17">
        <v>-1148375320.2875977</v>
      </c>
      <c r="C17" t="e">
        <f>EXP(((-1)/(2*'Cálculos Diversos'!$B$5))*(SQRT(SUMXMY2(Formulário!$B$1:$B$22,'coordenadas dos Polos'!$LT$2:$MO$2)))^2)</f>
        <v>#DIV/0!</v>
      </c>
    </row>
    <row r="18" spans="1:3">
      <c r="A18" t="s">
        <v>79</v>
      </c>
      <c r="B18">
        <v>900033530.41653776</v>
      </c>
      <c r="C18" t="e">
        <f>EXP(((-1)/(2*'Cálculos Diversos'!$B$5))*(SQRT(SUMXMY2(Formulário!$B$1:$B$22,'coordenadas dos Polos'!$MP$2:$NK$2)))^2)</f>
        <v>#DIV/0!</v>
      </c>
    </row>
    <row r="19" spans="1:3">
      <c r="A19" t="s">
        <v>80</v>
      </c>
      <c r="B19">
        <v>165497244.12003744</v>
      </c>
      <c r="C19" t="e">
        <f>EXP(((-1)/(2*'Cálculos Diversos'!$B$5))*(SQRT(SUMXMY2(Formulário!$B$1:$B$22,'coordenadas dos Polos'!$NL$2:$OG$2)))^2)</f>
        <v>#DIV/0!</v>
      </c>
    </row>
    <row r="20" spans="1:3">
      <c r="A20" t="s">
        <v>81</v>
      </c>
      <c r="B20">
        <v>-9277542767.4770966</v>
      </c>
      <c r="C20" t="e">
        <f>EXP(((-1)/(2*'Cálculos Diversos'!$B$5))*(SQRT(SUMXMY2(Formulário!$B$1:$B$22,'coordenadas dos Polos'!$OH$2:$PC$2)))^2)</f>
        <v>#DIV/0!</v>
      </c>
    </row>
    <row r="21" spans="1:3">
      <c r="A21" t="s">
        <v>82</v>
      </c>
      <c r="B21">
        <v>-449976617.47771072</v>
      </c>
      <c r="C21" t="e">
        <f>EXP(((-1)/(2*'Cálculos Diversos'!$B$5))*(SQRT(SUMXMY2(Formulário!$B$1:$B$22,'coordenadas dos Polos'!$PD$2:$PY$2)))^2)</f>
        <v>#DIV/0!</v>
      </c>
    </row>
    <row r="22" spans="1:3">
      <c r="A22" t="s">
        <v>83</v>
      </c>
      <c r="B22">
        <v>-474761903.69732654</v>
      </c>
      <c r="C22" t="e">
        <f>EXP(((-1)/(2*'Cálculos Diversos'!$B$5))*(SQRT(SUMXMY2(Formulário!$B$1:$B$22,'coordenadas dos Polos'!$PZ$2:$QU$2)))^2)</f>
        <v>#DIV/0!</v>
      </c>
    </row>
    <row r="23" spans="1:3">
      <c r="A23" t="s">
        <v>84</v>
      </c>
      <c r="B23">
        <v>1157506468.2330351</v>
      </c>
      <c r="C23" t="e">
        <f>EXP(((-1)/(2*'Cálculos Diversos'!$B$5))*(SQRT(SUMXMY2(Formulário!$B$1:$B$22,'coordenadas dos Polos'!$QV$2:$RQ$2)))^2)</f>
        <v>#DIV/0!</v>
      </c>
    </row>
    <row r="24" spans="1:3">
      <c r="A24" t="s">
        <v>85</v>
      </c>
      <c r="B24">
        <v>-4523432445.8968716</v>
      </c>
      <c r="C24" t="e">
        <f>EXP(((-1)/(2*'Cálculos Diversos'!$B$5))*(SQRT(SUMXMY2(Formulário!$B$1:$B$22,'coordenadas dos Polos'!$RR$2:$SM$2)))^2)</f>
        <v>#DIV/0!</v>
      </c>
    </row>
    <row r="25" spans="1:3">
      <c r="A25" t="s">
        <v>16</v>
      </c>
      <c r="B25">
        <v>12.695006320767831</v>
      </c>
      <c r="C25">
        <v>1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73788-58A6-497E-8A87-2F8D1980046D}">
  <sheetPr codeName="Planilha11"/>
  <dimension ref="A1:B25"/>
  <sheetViews>
    <sheetView tabSelected="1" zoomScale="62" zoomScaleNormal="62" workbookViewId="0">
      <selection activeCell="B1" sqref="B1"/>
    </sheetView>
  </sheetViews>
  <sheetFormatPr defaultRowHeight="14.4"/>
  <cols>
    <col min="1" max="1" width="29.77734375" bestFit="1" customWidth="1"/>
    <col min="2" max="2" width="25.77734375" customWidth="1"/>
  </cols>
  <sheetData>
    <row r="1" spans="1:2" ht="15.6" thickTop="1" thickBot="1">
      <c r="A1" s="1" t="s">
        <v>31</v>
      </c>
      <c r="B1" s="2"/>
    </row>
    <row r="2" spans="1:2" ht="15.6" thickTop="1" thickBot="1">
      <c r="A2" s="1" t="s">
        <v>32</v>
      </c>
      <c r="B2" s="2"/>
    </row>
    <row r="3" spans="1:2" ht="30" thickTop="1" thickBot="1">
      <c r="A3" s="8" t="s">
        <v>33</v>
      </c>
      <c r="B3" s="2"/>
    </row>
    <row r="4" spans="1:2" ht="30" thickTop="1" thickBot="1">
      <c r="A4" s="8" t="s">
        <v>34</v>
      </c>
      <c r="B4" s="2"/>
    </row>
    <row r="5" spans="1:2" ht="30" thickTop="1" thickBot="1">
      <c r="A5" s="8" t="s">
        <v>35</v>
      </c>
      <c r="B5" s="2"/>
    </row>
    <row r="6" spans="1:2" ht="30" thickTop="1" thickBot="1">
      <c r="A6" s="8" t="s">
        <v>36</v>
      </c>
      <c r="B6" s="2"/>
    </row>
    <row r="7" spans="1:2" ht="30" thickTop="1" thickBot="1">
      <c r="A7" s="8" t="s">
        <v>37</v>
      </c>
      <c r="B7" s="2"/>
    </row>
    <row r="8" spans="1:2" ht="30" thickTop="1" thickBot="1">
      <c r="A8" s="8" t="s">
        <v>38</v>
      </c>
      <c r="B8" s="2"/>
    </row>
    <row r="9" spans="1:2" ht="30" thickTop="1" thickBot="1">
      <c r="A9" s="8" t="s">
        <v>39</v>
      </c>
      <c r="B9" s="2"/>
    </row>
    <row r="10" spans="1:2" ht="30" thickTop="1" thickBot="1">
      <c r="A10" s="8" t="s">
        <v>40</v>
      </c>
      <c r="B10" s="2"/>
    </row>
    <row r="11" spans="1:2" ht="30" thickTop="1" thickBot="1">
      <c r="A11" s="8" t="s">
        <v>41</v>
      </c>
      <c r="B11" s="2"/>
    </row>
    <row r="12" spans="1:2" ht="30" thickTop="1" thickBot="1">
      <c r="A12" s="8" t="s">
        <v>42</v>
      </c>
      <c r="B12" s="2"/>
    </row>
    <row r="13" spans="1:2" ht="30" thickTop="1" thickBot="1">
      <c r="A13" s="8" t="s">
        <v>43</v>
      </c>
      <c r="B13" s="2"/>
    </row>
    <row r="14" spans="1:2" ht="30" thickTop="1" thickBot="1">
      <c r="A14" s="8" t="s">
        <v>44</v>
      </c>
      <c r="B14" s="2"/>
    </row>
    <row r="15" spans="1:2" ht="30" thickTop="1" thickBot="1">
      <c r="A15" s="8" t="s">
        <v>45</v>
      </c>
      <c r="B15" s="2"/>
    </row>
    <row r="16" spans="1:2" ht="30" thickTop="1" thickBot="1">
      <c r="A16" s="8" t="s">
        <v>46</v>
      </c>
      <c r="B16" s="2"/>
    </row>
    <row r="17" spans="1:2" ht="30" thickTop="1" thickBot="1">
      <c r="A17" s="8" t="s">
        <v>47</v>
      </c>
      <c r="B17" s="2"/>
    </row>
    <row r="18" spans="1:2" ht="30" thickTop="1" thickBot="1">
      <c r="A18" s="8" t="s">
        <v>48</v>
      </c>
      <c r="B18" s="2"/>
    </row>
    <row r="19" spans="1:2" ht="30" thickTop="1" thickBot="1">
      <c r="A19" s="8" t="s">
        <v>49</v>
      </c>
      <c r="B19" s="2"/>
    </row>
    <row r="20" spans="1:2" ht="30" thickTop="1" thickBot="1">
      <c r="A20" s="8" t="s">
        <v>50</v>
      </c>
      <c r="B20" s="2"/>
    </row>
    <row r="21" spans="1:2" ht="30" thickTop="1" thickBot="1">
      <c r="A21" s="8" t="s">
        <v>51</v>
      </c>
      <c r="B21" s="2"/>
    </row>
    <row r="22" spans="1:2" ht="30" thickTop="1" thickBot="1">
      <c r="A22" s="8" t="s">
        <v>52</v>
      </c>
      <c r="B22" s="2"/>
    </row>
    <row r="23" spans="1:2" ht="15.6" thickTop="1" thickBot="1">
      <c r="A23" s="1" t="s">
        <v>53</v>
      </c>
      <c r="B23" s="3" t="str">
        <f>IFERROR(SUMPRODUCT(Solução!$B$3:$B$25,Solução!$C$3:$C$25),"")</f>
        <v/>
      </c>
    </row>
    <row r="24" spans="1:2" ht="15.6" thickTop="1" thickBot="1">
      <c r="A24" s="1" t="s">
        <v>28</v>
      </c>
      <c r="B24" s="3">
        <f>'Coeficiente de Acerto'!$B$98</f>
        <v>0.6896695443280898</v>
      </c>
    </row>
    <row r="25" spans="1:2" ht="15" thickTop="1"/>
  </sheetData>
  <sheetProtection algorithmName="SHA-512" hashValue="Fa/e4vQN+PqptkTsb9OncG0OeF3UQ5qUNrQJ0Ty8tCWx+xTnm+Lk8yuBy3hxkcdNLHfVB21XlQ5qV58Y2kVaRw==" saltValue="nbplMa1PyLWl8GKQysh/+g==" spinCount="100000" sheet="1" objects="1" scenarios="1" selectLockedCells="1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FB97D-243D-44B3-AF49-B8ECFA799549}">
  <sheetPr codeName="Planilha12"/>
  <dimension ref="A1:X98"/>
  <sheetViews>
    <sheetView topLeftCell="A98" workbookViewId="0">
      <selection activeCell="A98" sqref="A98"/>
    </sheetView>
  </sheetViews>
  <sheetFormatPr defaultRowHeight="14.4"/>
  <sheetData>
    <row r="1" spans="1:24" ht="86.4">
      <c r="A1" s="6" t="s">
        <v>30</v>
      </c>
      <c r="B1" s="7" t="s">
        <v>31</v>
      </c>
      <c r="C1" s="7" t="s">
        <v>32</v>
      </c>
      <c r="D1" s="6" t="s">
        <v>33</v>
      </c>
      <c r="E1" s="6" t="s">
        <v>34</v>
      </c>
      <c r="F1" s="6" t="s">
        <v>35</v>
      </c>
      <c r="G1" s="6" t="s">
        <v>36</v>
      </c>
      <c r="H1" s="6" t="s">
        <v>37</v>
      </c>
      <c r="I1" s="6" t="s">
        <v>38</v>
      </c>
      <c r="J1" s="6" t="s">
        <v>39</v>
      </c>
      <c r="K1" s="6" t="s">
        <v>40</v>
      </c>
      <c r="L1" s="6" t="s">
        <v>41</v>
      </c>
      <c r="M1" s="6" t="s">
        <v>42</v>
      </c>
      <c r="N1" s="6" t="s">
        <v>43</v>
      </c>
      <c r="O1" s="6" t="s">
        <v>44</v>
      </c>
      <c r="P1" s="6" t="s">
        <v>45</v>
      </c>
      <c r="Q1" s="6" t="s">
        <v>46</v>
      </c>
      <c r="R1" s="6" t="s">
        <v>47</v>
      </c>
      <c r="S1" s="6" t="s">
        <v>48</v>
      </c>
      <c r="T1" s="6" t="s">
        <v>49</v>
      </c>
      <c r="U1" s="6" t="s">
        <v>50</v>
      </c>
      <c r="V1" s="6" t="s">
        <v>51</v>
      </c>
      <c r="W1" s="6" t="s">
        <v>52</v>
      </c>
      <c r="X1" s="6" t="s">
        <v>53</v>
      </c>
    </row>
    <row r="2" spans="1:24">
      <c r="A2" s="4">
        <v>1</v>
      </c>
      <c r="B2" s="4">
        <v>20</v>
      </c>
      <c r="C2" s="4">
        <v>1</v>
      </c>
      <c r="D2" s="4">
        <v>0</v>
      </c>
      <c r="E2" s="4">
        <v>1</v>
      </c>
      <c r="F2" s="4">
        <v>0</v>
      </c>
      <c r="G2" s="4">
        <v>1</v>
      </c>
      <c r="H2" s="4">
        <v>0</v>
      </c>
      <c r="I2" s="4">
        <v>1</v>
      </c>
      <c r="J2" s="4">
        <v>1</v>
      </c>
      <c r="K2" s="4">
        <v>1</v>
      </c>
      <c r="L2" s="4">
        <v>1</v>
      </c>
      <c r="M2" s="4">
        <v>1</v>
      </c>
      <c r="N2" s="4">
        <v>1</v>
      </c>
      <c r="O2" s="4">
        <v>1</v>
      </c>
      <c r="P2" s="4">
        <v>0</v>
      </c>
      <c r="Q2" s="4">
        <v>0</v>
      </c>
      <c r="R2" s="4">
        <v>1</v>
      </c>
      <c r="S2" s="4">
        <v>1</v>
      </c>
      <c r="T2" s="4">
        <v>1</v>
      </c>
      <c r="U2" s="4">
        <v>1</v>
      </c>
      <c r="V2" s="4">
        <v>0</v>
      </c>
      <c r="W2" s="4">
        <v>1</v>
      </c>
      <c r="X2" s="4">
        <v>25</v>
      </c>
    </row>
    <row r="3" spans="1:24">
      <c r="A3" s="4">
        <v>2</v>
      </c>
      <c r="B3" s="4">
        <v>34</v>
      </c>
      <c r="C3" s="4">
        <v>0</v>
      </c>
      <c r="D3" s="4">
        <v>1</v>
      </c>
      <c r="E3" s="4">
        <v>0</v>
      </c>
      <c r="F3" s="4">
        <v>1</v>
      </c>
      <c r="G3" s="4">
        <v>1</v>
      </c>
      <c r="H3" s="4">
        <v>1</v>
      </c>
      <c r="I3" s="4">
        <v>1</v>
      </c>
      <c r="J3" s="4">
        <v>0</v>
      </c>
      <c r="K3" s="4">
        <v>0</v>
      </c>
      <c r="L3" s="4">
        <v>0</v>
      </c>
      <c r="M3" s="4">
        <v>0</v>
      </c>
      <c r="N3" s="4">
        <v>0</v>
      </c>
      <c r="O3" s="4">
        <v>1</v>
      </c>
      <c r="P3" s="4">
        <v>1</v>
      </c>
      <c r="Q3" s="4">
        <v>1</v>
      </c>
      <c r="R3" s="4">
        <v>0</v>
      </c>
      <c r="S3" s="4">
        <v>0</v>
      </c>
      <c r="T3" s="4">
        <v>1</v>
      </c>
      <c r="U3" s="4">
        <v>1</v>
      </c>
      <c r="V3" s="4">
        <v>0</v>
      </c>
      <c r="W3" s="4">
        <v>0</v>
      </c>
      <c r="X3" s="4">
        <v>18</v>
      </c>
    </row>
    <row r="4" spans="1:24">
      <c r="A4" s="4">
        <v>3</v>
      </c>
      <c r="B4" s="4">
        <v>60</v>
      </c>
      <c r="C4" s="4">
        <v>0</v>
      </c>
      <c r="D4" s="4">
        <v>0</v>
      </c>
      <c r="E4" s="4">
        <v>0</v>
      </c>
      <c r="F4" s="4">
        <v>0</v>
      </c>
      <c r="G4" s="4">
        <v>1</v>
      </c>
      <c r="H4" s="4">
        <v>1</v>
      </c>
      <c r="I4" s="4">
        <v>0</v>
      </c>
      <c r="J4" s="4">
        <v>1</v>
      </c>
      <c r="K4" s="4">
        <v>0</v>
      </c>
      <c r="L4" s="4">
        <v>0</v>
      </c>
      <c r="M4" s="4">
        <v>0</v>
      </c>
      <c r="N4" s="4">
        <v>0</v>
      </c>
      <c r="O4" s="4">
        <v>0</v>
      </c>
      <c r="P4" s="4">
        <v>0</v>
      </c>
      <c r="Q4" s="4">
        <v>1</v>
      </c>
      <c r="R4" s="4">
        <v>1</v>
      </c>
      <c r="S4" s="4">
        <v>1</v>
      </c>
      <c r="T4" s="4">
        <v>0</v>
      </c>
      <c r="U4" s="4">
        <v>0</v>
      </c>
      <c r="V4" s="4">
        <v>1</v>
      </c>
      <c r="W4" s="4">
        <v>0</v>
      </c>
      <c r="X4" s="4">
        <v>17</v>
      </c>
    </row>
    <row r="5" spans="1:24">
      <c r="A5" s="4">
        <v>4</v>
      </c>
      <c r="B5" s="4">
        <v>79</v>
      </c>
      <c r="C5" s="4">
        <v>0</v>
      </c>
      <c r="D5" s="4">
        <v>0</v>
      </c>
      <c r="E5" s="4">
        <v>1</v>
      </c>
      <c r="F5" s="4">
        <v>0</v>
      </c>
      <c r="G5" s="4">
        <v>1</v>
      </c>
      <c r="H5" s="4">
        <v>0</v>
      </c>
      <c r="I5" s="4">
        <v>1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1</v>
      </c>
      <c r="P5" s="4">
        <v>1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1</v>
      </c>
      <c r="W5" s="4">
        <v>0</v>
      </c>
      <c r="X5" s="4">
        <v>20</v>
      </c>
    </row>
    <row r="6" spans="1:24">
      <c r="A6" s="4">
        <v>5</v>
      </c>
      <c r="B6" s="4">
        <v>28</v>
      </c>
      <c r="C6" s="4">
        <v>0</v>
      </c>
      <c r="D6" s="4">
        <v>0</v>
      </c>
      <c r="E6" s="4">
        <v>1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1</v>
      </c>
      <c r="L6" s="4">
        <v>1</v>
      </c>
      <c r="M6" s="4">
        <v>0</v>
      </c>
      <c r="N6" s="4">
        <v>0</v>
      </c>
      <c r="O6" s="4">
        <v>1</v>
      </c>
      <c r="P6" s="4">
        <v>0</v>
      </c>
      <c r="Q6" s="4">
        <v>1</v>
      </c>
      <c r="R6" s="4">
        <v>1</v>
      </c>
      <c r="S6" s="4">
        <v>0</v>
      </c>
      <c r="T6" s="4">
        <v>1</v>
      </c>
      <c r="U6" s="4">
        <v>1</v>
      </c>
      <c r="V6" s="4">
        <v>1</v>
      </c>
      <c r="W6" s="4">
        <v>1</v>
      </c>
      <c r="X6" s="4">
        <v>21</v>
      </c>
    </row>
    <row r="7" spans="1:24">
      <c r="A7" s="4">
        <v>6</v>
      </c>
      <c r="B7" s="4">
        <v>35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1</v>
      </c>
      <c r="I7" s="4">
        <v>0</v>
      </c>
      <c r="J7" s="4">
        <v>0</v>
      </c>
      <c r="K7" s="4">
        <v>1</v>
      </c>
      <c r="L7" s="4">
        <v>1</v>
      </c>
      <c r="M7" s="4">
        <v>0</v>
      </c>
      <c r="N7" s="4">
        <v>1</v>
      </c>
      <c r="O7" s="4">
        <v>0</v>
      </c>
      <c r="P7" s="4">
        <v>1</v>
      </c>
      <c r="Q7" s="4">
        <v>1</v>
      </c>
      <c r="R7" s="4">
        <v>1</v>
      </c>
      <c r="S7" s="4">
        <v>1</v>
      </c>
      <c r="T7" s="4">
        <v>1</v>
      </c>
      <c r="U7" s="4">
        <v>0</v>
      </c>
      <c r="V7" s="4">
        <v>1</v>
      </c>
      <c r="W7" s="4">
        <v>0</v>
      </c>
      <c r="X7" s="4">
        <v>21</v>
      </c>
    </row>
    <row r="8" spans="1:24">
      <c r="A8" s="4">
        <v>7</v>
      </c>
      <c r="B8" s="4">
        <v>78</v>
      </c>
      <c r="C8" s="4">
        <v>0</v>
      </c>
      <c r="D8" s="4">
        <v>0</v>
      </c>
      <c r="E8" s="4">
        <v>0</v>
      </c>
      <c r="F8" s="4">
        <v>1</v>
      </c>
      <c r="G8" s="4">
        <v>1</v>
      </c>
      <c r="H8" s="4">
        <v>1</v>
      </c>
      <c r="I8" s="4">
        <v>0</v>
      </c>
      <c r="J8" s="4">
        <v>1</v>
      </c>
      <c r="K8" s="4">
        <v>1</v>
      </c>
      <c r="L8" s="4">
        <v>0</v>
      </c>
      <c r="M8" s="4">
        <v>1</v>
      </c>
      <c r="N8" s="4">
        <v>0</v>
      </c>
      <c r="O8" s="4">
        <v>1</v>
      </c>
      <c r="P8" s="4">
        <v>1</v>
      </c>
      <c r="Q8" s="4">
        <v>1</v>
      </c>
      <c r="R8" s="4">
        <v>0</v>
      </c>
      <c r="S8" s="4">
        <v>1</v>
      </c>
      <c r="T8" s="4">
        <v>1</v>
      </c>
      <c r="U8" s="4">
        <v>1</v>
      </c>
      <c r="V8" s="4">
        <v>1</v>
      </c>
      <c r="W8" s="4">
        <v>0</v>
      </c>
      <c r="X8" s="4">
        <v>21</v>
      </c>
    </row>
    <row r="9" spans="1:24">
      <c r="A9" s="4">
        <v>8</v>
      </c>
      <c r="B9" s="4">
        <v>83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1</v>
      </c>
      <c r="J9" s="4">
        <v>0</v>
      </c>
      <c r="K9" s="4">
        <v>1</v>
      </c>
      <c r="L9" s="4">
        <v>1</v>
      </c>
      <c r="M9" s="4">
        <v>1</v>
      </c>
      <c r="N9" s="4">
        <v>1</v>
      </c>
      <c r="O9" s="4">
        <v>0</v>
      </c>
      <c r="P9" s="4">
        <v>1</v>
      </c>
      <c r="Q9" s="4">
        <v>1</v>
      </c>
      <c r="R9" s="4">
        <v>1</v>
      </c>
      <c r="S9" s="4">
        <v>1</v>
      </c>
      <c r="T9" s="4">
        <v>0</v>
      </c>
      <c r="U9" s="4">
        <v>0</v>
      </c>
      <c r="V9" s="4">
        <v>1</v>
      </c>
      <c r="W9" s="4">
        <v>1</v>
      </c>
      <c r="X9" s="4">
        <v>25</v>
      </c>
    </row>
    <row r="10" spans="1:24">
      <c r="A10" s="4">
        <v>9</v>
      </c>
      <c r="B10" s="4">
        <v>30</v>
      </c>
      <c r="C10" s="4">
        <v>1</v>
      </c>
      <c r="D10" s="4">
        <v>1</v>
      </c>
      <c r="E10" s="4">
        <v>1</v>
      </c>
      <c r="F10" s="4">
        <v>0</v>
      </c>
      <c r="G10" s="4">
        <v>1</v>
      </c>
      <c r="H10" s="4">
        <v>1</v>
      </c>
      <c r="I10" s="4">
        <v>0</v>
      </c>
      <c r="J10" s="4">
        <v>1</v>
      </c>
      <c r="K10" s="4">
        <v>1</v>
      </c>
      <c r="L10" s="4">
        <v>1</v>
      </c>
      <c r="M10" s="4">
        <v>0</v>
      </c>
      <c r="N10" s="4">
        <v>0</v>
      </c>
      <c r="O10" s="4">
        <v>0</v>
      </c>
      <c r="P10" s="4">
        <v>1</v>
      </c>
      <c r="Q10" s="4">
        <v>1</v>
      </c>
      <c r="R10" s="4">
        <v>0</v>
      </c>
      <c r="S10" s="4">
        <v>1</v>
      </c>
      <c r="T10" s="4">
        <v>1</v>
      </c>
      <c r="U10" s="4">
        <v>1</v>
      </c>
      <c r="V10" s="4">
        <v>1</v>
      </c>
      <c r="W10" s="4">
        <v>0</v>
      </c>
      <c r="X10" s="4">
        <v>23</v>
      </c>
    </row>
    <row r="11" spans="1:24">
      <c r="A11" s="4">
        <v>10</v>
      </c>
      <c r="B11" s="4">
        <v>53</v>
      </c>
      <c r="C11" s="4">
        <v>1</v>
      </c>
      <c r="D11" s="4">
        <v>1</v>
      </c>
      <c r="E11" s="4">
        <v>0</v>
      </c>
      <c r="F11" s="4">
        <v>1</v>
      </c>
      <c r="G11" s="4">
        <v>1</v>
      </c>
      <c r="H11" s="4">
        <v>1</v>
      </c>
      <c r="I11" s="4">
        <v>0</v>
      </c>
      <c r="J11" s="4">
        <v>1</v>
      </c>
      <c r="K11" s="4">
        <v>1</v>
      </c>
      <c r="L11" s="4">
        <v>1</v>
      </c>
      <c r="M11" s="4">
        <v>1</v>
      </c>
      <c r="N11" s="4">
        <v>0</v>
      </c>
      <c r="O11" s="4">
        <v>1</v>
      </c>
      <c r="P11" s="4">
        <v>1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1</v>
      </c>
      <c r="X11" s="4">
        <v>21</v>
      </c>
    </row>
    <row r="12" spans="1:24">
      <c r="A12" s="4">
        <v>11</v>
      </c>
      <c r="B12" s="4">
        <v>81</v>
      </c>
      <c r="C12" s="4">
        <v>0</v>
      </c>
      <c r="D12" s="4">
        <v>0</v>
      </c>
      <c r="E12" s="4">
        <v>0</v>
      </c>
      <c r="F12" s="4">
        <v>1</v>
      </c>
      <c r="G12" s="4">
        <v>1</v>
      </c>
      <c r="H12" s="4">
        <v>1</v>
      </c>
      <c r="I12" s="4">
        <v>0</v>
      </c>
      <c r="J12" s="4">
        <v>0</v>
      </c>
      <c r="K12" s="4">
        <v>0</v>
      </c>
      <c r="L12" s="4">
        <v>1</v>
      </c>
      <c r="M12" s="4">
        <v>1</v>
      </c>
      <c r="N12" s="4">
        <v>0</v>
      </c>
      <c r="O12" s="4">
        <v>1</v>
      </c>
      <c r="P12" s="4">
        <v>0</v>
      </c>
      <c r="Q12" s="4">
        <v>1</v>
      </c>
      <c r="R12" s="4">
        <v>1</v>
      </c>
      <c r="S12" s="4">
        <v>0</v>
      </c>
      <c r="T12" s="4">
        <v>1</v>
      </c>
      <c r="U12" s="4">
        <v>1</v>
      </c>
      <c r="V12" s="4">
        <v>1</v>
      </c>
      <c r="W12" s="4">
        <v>1</v>
      </c>
      <c r="X12" s="4">
        <v>16</v>
      </c>
    </row>
    <row r="13" spans="1:24">
      <c r="A13" s="4">
        <v>12</v>
      </c>
      <c r="B13" s="4">
        <v>34</v>
      </c>
      <c r="C13" s="4">
        <v>1</v>
      </c>
      <c r="D13" s="4">
        <v>0</v>
      </c>
      <c r="E13" s="4">
        <v>0</v>
      </c>
      <c r="F13" s="4">
        <v>0</v>
      </c>
      <c r="G13" s="4">
        <v>1</v>
      </c>
      <c r="H13" s="4">
        <v>0</v>
      </c>
      <c r="I13" s="4">
        <v>0</v>
      </c>
      <c r="J13" s="4">
        <v>1</v>
      </c>
      <c r="K13" s="4">
        <v>1</v>
      </c>
      <c r="L13" s="4">
        <v>1</v>
      </c>
      <c r="M13" s="4">
        <v>1</v>
      </c>
      <c r="N13" s="4">
        <v>1</v>
      </c>
      <c r="O13" s="4">
        <v>0</v>
      </c>
      <c r="P13" s="4">
        <v>0</v>
      </c>
      <c r="Q13" s="4">
        <v>0</v>
      </c>
      <c r="R13" s="4">
        <v>0</v>
      </c>
      <c r="S13" s="4">
        <v>0</v>
      </c>
      <c r="T13" s="4">
        <v>1</v>
      </c>
      <c r="U13" s="4">
        <v>0</v>
      </c>
      <c r="V13" s="4">
        <v>1</v>
      </c>
      <c r="W13" s="4">
        <v>1</v>
      </c>
      <c r="X13" s="4">
        <v>15</v>
      </c>
    </row>
    <row r="14" spans="1:24">
      <c r="A14" s="4">
        <v>13</v>
      </c>
      <c r="B14" s="4">
        <v>66</v>
      </c>
      <c r="C14" s="4">
        <v>1</v>
      </c>
      <c r="D14" s="4">
        <v>1</v>
      </c>
      <c r="E14" s="4">
        <v>1</v>
      </c>
      <c r="F14" s="4">
        <v>1</v>
      </c>
      <c r="G14" s="4">
        <v>0</v>
      </c>
      <c r="H14" s="4">
        <v>0</v>
      </c>
      <c r="I14" s="4">
        <v>1</v>
      </c>
      <c r="J14" s="4">
        <v>0</v>
      </c>
      <c r="K14" s="4">
        <v>1</v>
      </c>
      <c r="L14" s="4">
        <v>1</v>
      </c>
      <c r="M14" s="4">
        <v>1</v>
      </c>
      <c r="N14" s="4">
        <v>1</v>
      </c>
      <c r="O14" s="4">
        <v>0</v>
      </c>
      <c r="P14" s="4">
        <v>1</v>
      </c>
      <c r="Q14" s="4">
        <v>0</v>
      </c>
      <c r="R14" s="4">
        <v>1</v>
      </c>
      <c r="S14" s="4">
        <v>1</v>
      </c>
      <c r="T14" s="4">
        <v>0</v>
      </c>
      <c r="U14" s="4">
        <v>0</v>
      </c>
      <c r="V14" s="4">
        <v>0</v>
      </c>
      <c r="W14" s="4">
        <v>1</v>
      </c>
      <c r="X14" s="4">
        <v>19</v>
      </c>
    </row>
    <row r="15" spans="1:24">
      <c r="A15" s="4">
        <v>14</v>
      </c>
      <c r="B15" s="4">
        <v>16</v>
      </c>
      <c r="C15" s="4">
        <v>1</v>
      </c>
      <c r="D15" s="4">
        <v>1</v>
      </c>
      <c r="E15" s="4">
        <v>0</v>
      </c>
      <c r="F15" s="4">
        <v>1</v>
      </c>
      <c r="G15" s="4">
        <v>1</v>
      </c>
      <c r="H15" s="4">
        <v>0</v>
      </c>
      <c r="I15" s="4">
        <v>0</v>
      </c>
      <c r="J15" s="4">
        <v>1</v>
      </c>
      <c r="K15" s="4">
        <v>0</v>
      </c>
      <c r="L15" s="4">
        <v>0</v>
      </c>
      <c r="M15" s="4">
        <v>1</v>
      </c>
      <c r="N15" s="4">
        <v>0</v>
      </c>
      <c r="O15" s="4">
        <v>0</v>
      </c>
      <c r="P15" s="4">
        <v>0</v>
      </c>
      <c r="Q15" s="4">
        <v>0</v>
      </c>
      <c r="R15" s="4">
        <v>0</v>
      </c>
      <c r="S15" s="4">
        <v>0</v>
      </c>
      <c r="T15" s="4">
        <v>1</v>
      </c>
      <c r="U15" s="4">
        <v>0</v>
      </c>
      <c r="V15" s="4">
        <v>1</v>
      </c>
      <c r="W15" s="4">
        <v>0</v>
      </c>
      <c r="X15" s="4">
        <v>21</v>
      </c>
    </row>
    <row r="16" spans="1:24">
      <c r="A16" s="4">
        <v>15</v>
      </c>
      <c r="B16" s="4">
        <v>46</v>
      </c>
      <c r="C16" s="4">
        <v>0</v>
      </c>
      <c r="D16" s="4">
        <v>1</v>
      </c>
      <c r="E16" s="4">
        <v>1</v>
      </c>
      <c r="F16" s="4">
        <v>1</v>
      </c>
      <c r="G16" s="4">
        <v>1</v>
      </c>
      <c r="H16" s="4">
        <v>1</v>
      </c>
      <c r="I16" s="4">
        <v>0</v>
      </c>
      <c r="J16" s="4">
        <v>1</v>
      </c>
      <c r="K16" s="4">
        <v>1</v>
      </c>
      <c r="L16" s="4">
        <v>1</v>
      </c>
      <c r="M16" s="4">
        <v>0</v>
      </c>
      <c r="N16" s="4">
        <v>0</v>
      </c>
      <c r="O16" s="4">
        <v>0</v>
      </c>
      <c r="P16" s="4">
        <v>1</v>
      </c>
      <c r="Q16" s="4">
        <v>0</v>
      </c>
      <c r="R16" s="4">
        <v>1</v>
      </c>
      <c r="S16" s="4">
        <v>1</v>
      </c>
      <c r="T16" s="4">
        <v>1</v>
      </c>
      <c r="U16" s="4">
        <v>1</v>
      </c>
      <c r="V16" s="4">
        <v>1</v>
      </c>
      <c r="W16" s="4">
        <v>1</v>
      </c>
      <c r="X16" s="4">
        <v>25</v>
      </c>
    </row>
    <row r="17" spans="1:24">
      <c r="A17" s="4">
        <v>16</v>
      </c>
      <c r="B17" s="4">
        <v>18</v>
      </c>
      <c r="C17" s="4">
        <v>0</v>
      </c>
      <c r="D17" s="4">
        <v>1</v>
      </c>
      <c r="E17" s="4">
        <v>0</v>
      </c>
      <c r="F17" s="4">
        <v>1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1</v>
      </c>
      <c r="O17" s="4">
        <v>1</v>
      </c>
      <c r="P17" s="4">
        <v>1</v>
      </c>
      <c r="Q17" s="4">
        <v>0</v>
      </c>
      <c r="R17" s="4">
        <v>0</v>
      </c>
      <c r="S17" s="4">
        <v>1</v>
      </c>
      <c r="T17" s="4">
        <v>1</v>
      </c>
      <c r="U17" s="4">
        <v>1</v>
      </c>
      <c r="V17" s="4">
        <v>1</v>
      </c>
      <c r="W17" s="4">
        <v>1</v>
      </c>
      <c r="X17" s="4">
        <v>25</v>
      </c>
    </row>
    <row r="18" spans="1:24">
      <c r="A18" s="4">
        <v>17</v>
      </c>
      <c r="B18" s="4">
        <v>80</v>
      </c>
      <c r="C18" s="4">
        <v>1</v>
      </c>
      <c r="D18" s="4">
        <v>1</v>
      </c>
      <c r="E18" s="4">
        <v>1</v>
      </c>
      <c r="F18" s="4">
        <v>1</v>
      </c>
      <c r="G18" s="4">
        <v>1</v>
      </c>
      <c r="H18" s="4">
        <v>1</v>
      </c>
      <c r="I18" s="4">
        <v>1</v>
      </c>
      <c r="J18" s="4">
        <v>1</v>
      </c>
      <c r="K18" s="4">
        <v>1</v>
      </c>
      <c r="L18" s="4">
        <v>0</v>
      </c>
      <c r="M18" s="4">
        <v>1</v>
      </c>
      <c r="N18" s="4">
        <v>1</v>
      </c>
      <c r="O18" s="4">
        <v>1</v>
      </c>
      <c r="P18" s="4">
        <v>1</v>
      </c>
      <c r="Q18" s="4">
        <v>1</v>
      </c>
      <c r="R18" s="4">
        <v>1</v>
      </c>
      <c r="S18" s="4">
        <v>0</v>
      </c>
      <c r="T18" s="4">
        <v>0</v>
      </c>
      <c r="U18" s="4">
        <v>0</v>
      </c>
      <c r="V18" s="4">
        <v>1</v>
      </c>
      <c r="W18" s="4">
        <v>1</v>
      </c>
      <c r="X18" s="4">
        <v>19</v>
      </c>
    </row>
    <row r="19" spans="1:24">
      <c r="A19" s="4">
        <v>18</v>
      </c>
      <c r="B19" s="4">
        <v>65</v>
      </c>
      <c r="C19" s="4">
        <v>0</v>
      </c>
      <c r="D19" s="4">
        <v>1</v>
      </c>
      <c r="E19" s="4">
        <v>0</v>
      </c>
      <c r="F19" s="4">
        <v>0</v>
      </c>
      <c r="G19" s="4">
        <v>1</v>
      </c>
      <c r="H19" s="4">
        <v>0</v>
      </c>
      <c r="I19" s="4">
        <v>0</v>
      </c>
      <c r="J19" s="4">
        <v>1</v>
      </c>
      <c r="K19" s="4">
        <v>1</v>
      </c>
      <c r="L19" s="4">
        <v>0</v>
      </c>
      <c r="M19" s="4">
        <v>1</v>
      </c>
      <c r="N19" s="4">
        <v>0</v>
      </c>
      <c r="O19" s="4">
        <v>0</v>
      </c>
      <c r="P19" s="4">
        <v>0</v>
      </c>
      <c r="Q19" s="4">
        <v>1</v>
      </c>
      <c r="R19" s="4">
        <v>1</v>
      </c>
      <c r="S19" s="4">
        <v>1</v>
      </c>
      <c r="T19" s="4">
        <v>0</v>
      </c>
      <c r="U19" s="4">
        <v>1</v>
      </c>
      <c r="V19" s="4">
        <v>0</v>
      </c>
      <c r="W19" s="4">
        <v>0</v>
      </c>
      <c r="X19" s="4">
        <v>19</v>
      </c>
    </row>
    <row r="20" spans="1:24">
      <c r="A20" s="4">
        <v>19</v>
      </c>
      <c r="B20" s="4">
        <v>79</v>
      </c>
      <c r="C20" s="4">
        <v>1</v>
      </c>
      <c r="D20" s="4">
        <v>1</v>
      </c>
      <c r="E20" s="4">
        <v>1</v>
      </c>
      <c r="F20" s="4">
        <v>1</v>
      </c>
      <c r="G20" s="4">
        <v>1</v>
      </c>
      <c r="H20" s="4">
        <v>0</v>
      </c>
      <c r="I20" s="4">
        <v>1</v>
      </c>
      <c r="J20" s="4">
        <v>0</v>
      </c>
      <c r="K20" s="4">
        <v>0</v>
      </c>
      <c r="L20" s="4">
        <v>0</v>
      </c>
      <c r="M20" s="4">
        <v>1</v>
      </c>
      <c r="N20" s="4">
        <v>1</v>
      </c>
      <c r="O20" s="4">
        <v>0</v>
      </c>
      <c r="P20" s="4">
        <v>0</v>
      </c>
      <c r="Q20" s="4">
        <v>1</v>
      </c>
      <c r="R20" s="4">
        <v>0</v>
      </c>
      <c r="S20" s="4">
        <v>1</v>
      </c>
      <c r="T20" s="4">
        <v>1</v>
      </c>
      <c r="U20" s="4">
        <v>1</v>
      </c>
      <c r="V20" s="4">
        <v>0</v>
      </c>
      <c r="W20" s="4">
        <v>1</v>
      </c>
      <c r="X20" s="4">
        <v>17</v>
      </c>
    </row>
    <row r="21" spans="1:24">
      <c r="A21" s="4">
        <v>20</v>
      </c>
      <c r="B21" s="4">
        <v>36</v>
      </c>
      <c r="C21" s="4">
        <v>1</v>
      </c>
      <c r="D21" s="4">
        <v>1</v>
      </c>
      <c r="E21" s="4">
        <v>0</v>
      </c>
      <c r="F21" s="4">
        <v>1</v>
      </c>
      <c r="G21" s="4">
        <v>0</v>
      </c>
      <c r="H21" s="4">
        <v>0</v>
      </c>
      <c r="I21" s="4">
        <v>0</v>
      </c>
      <c r="J21" s="4">
        <v>0</v>
      </c>
      <c r="K21" s="4">
        <v>1</v>
      </c>
      <c r="L21" s="4">
        <v>1</v>
      </c>
      <c r="M21" s="4">
        <v>1</v>
      </c>
      <c r="N21" s="4">
        <v>0</v>
      </c>
      <c r="O21" s="4">
        <v>0</v>
      </c>
      <c r="P21" s="4">
        <v>0</v>
      </c>
      <c r="Q21" s="4">
        <v>1</v>
      </c>
      <c r="R21" s="4">
        <v>0</v>
      </c>
      <c r="S21" s="4">
        <v>1</v>
      </c>
      <c r="T21" s="4">
        <v>1</v>
      </c>
      <c r="U21" s="4">
        <v>0</v>
      </c>
      <c r="V21" s="4">
        <v>1</v>
      </c>
      <c r="W21" s="4">
        <v>0</v>
      </c>
      <c r="X21" s="4">
        <v>19</v>
      </c>
    </row>
    <row r="22" spans="1:24">
      <c r="A22" s="4">
        <v>21</v>
      </c>
      <c r="B22" s="4">
        <v>77</v>
      </c>
      <c r="C22" s="4">
        <v>1</v>
      </c>
      <c r="D22" s="4">
        <v>1</v>
      </c>
      <c r="E22" s="4">
        <v>1</v>
      </c>
      <c r="F22" s="4">
        <v>0</v>
      </c>
      <c r="G22" s="4">
        <v>0</v>
      </c>
      <c r="H22" s="4">
        <v>1</v>
      </c>
      <c r="I22" s="4">
        <v>0</v>
      </c>
      <c r="J22" s="4">
        <v>1</v>
      </c>
      <c r="K22" s="4">
        <v>1</v>
      </c>
      <c r="L22" s="4">
        <v>1</v>
      </c>
      <c r="M22" s="4">
        <v>1</v>
      </c>
      <c r="N22" s="4">
        <v>1</v>
      </c>
      <c r="O22" s="4">
        <v>1</v>
      </c>
      <c r="P22" s="4">
        <v>0</v>
      </c>
      <c r="Q22" s="4">
        <v>1</v>
      </c>
      <c r="R22" s="4">
        <v>1</v>
      </c>
      <c r="S22" s="4">
        <v>0</v>
      </c>
      <c r="T22" s="4">
        <v>1</v>
      </c>
      <c r="U22" s="4">
        <v>1</v>
      </c>
      <c r="V22" s="4">
        <v>1</v>
      </c>
      <c r="W22" s="4">
        <v>0</v>
      </c>
      <c r="X22" s="4">
        <v>20</v>
      </c>
    </row>
    <row r="23" spans="1:24">
      <c r="A23" s="4">
        <v>22</v>
      </c>
      <c r="B23" s="4">
        <v>69</v>
      </c>
      <c r="C23" s="4">
        <v>0</v>
      </c>
      <c r="D23" s="4">
        <v>1</v>
      </c>
      <c r="E23" s="4">
        <v>1</v>
      </c>
      <c r="F23" s="4">
        <v>0</v>
      </c>
      <c r="G23" s="4">
        <v>1</v>
      </c>
      <c r="H23" s="4">
        <v>1</v>
      </c>
      <c r="I23" s="4">
        <v>0</v>
      </c>
      <c r="J23" s="4">
        <v>1</v>
      </c>
      <c r="K23" s="4">
        <v>1</v>
      </c>
      <c r="L23" s="4">
        <v>0</v>
      </c>
      <c r="M23" s="4">
        <v>1</v>
      </c>
      <c r="N23" s="4">
        <v>1</v>
      </c>
      <c r="O23" s="4">
        <v>1</v>
      </c>
      <c r="P23" s="4">
        <v>1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1</v>
      </c>
      <c r="W23" s="4">
        <v>0</v>
      </c>
      <c r="X23" s="4">
        <v>19</v>
      </c>
    </row>
    <row r="24" spans="1:24">
      <c r="A24" s="4">
        <v>23</v>
      </c>
      <c r="B24" s="4">
        <v>78</v>
      </c>
      <c r="C24" s="4">
        <v>1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1</v>
      </c>
      <c r="J24" s="4">
        <v>1</v>
      </c>
      <c r="K24" s="4">
        <v>1</v>
      </c>
      <c r="L24" s="4">
        <v>0</v>
      </c>
      <c r="M24" s="4">
        <v>0</v>
      </c>
      <c r="N24" s="4">
        <v>0</v>
      </c>
      <c r="O24" s="4">
        <v>1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1</v>
      </c>
      <c r="X24" s="4">
        <v>19</v>
      </c>
    </row>
    <row r="25" spans="1:24">
      <c r="A25" s="4">
        <v>24</v>
      </c>
      <c r="B25" s="4">
        <v>60</v>
      </c>
      <c r="C25" s="4">
        <v>1</v>
      </c>
      <c r="D25" s="4">
        <v>1</v>
      </c>
      <c r="E25" s="4">
        <v>0</v>
      </c>
      <c r="F25" s="4">
        <v>1</v>
      </c>
      <c r="G25" s="4">
        <v>1</v>
      </c>
      <c r="H25" s="4">
        <v>0</v>
      </c>
      <c r="I25" s="4">
        <v>1</v>
      </c>
      <c r="J25" s="4">
        <v>0</v>
      </c>
      <c r="K25" s="4">
        <v>1</v>
      </c>
      <c r="L25" s="4">
        <v>0</v>
      </c>
      <c r="M25" s="4">
        <v>0</v>
      </c>
      <c r="N25" s="4">
        <v>1</v>
      </c>
      <c r="O25" s="4">
        <v>0</v>
      </c>
      <c r="P25" s="4">
        <v>0</v>
      </c>
      <c r="Q25" s="4">
        <v>1</v>
      </c>
      <c r="R25" s="4">
        <v>0</v>
      </c>
      <c r="S25" s="4">
        <v>0</v>
      </c>
      <c r="T25" s="4">
        <v>1</v>
      </c>
      <c r="U25" s="4">
        <v>0</v>
      </c>
      <c r="V25" s="4">
        <v>1</v>
      </c>
      <c r="W25" s="4">
        <v>0</v>
      </c>
      <c r="X25" s="4">
        <v>20</v>
      </c>
    </row>
    <row r="26" spans="1:24">
      <c r="A26" s="4">
        <v>25</v>
      </c>
      <c r="B26" s="4">
        <v>28</v>
      </c>
      <c r="C26" s="4">
        <v>1</v>
      </c>
      <c r="D26" s="4">
        <v>0</v>
      </c>
      <c r="E26" s="4">
        <v>0</v>
      </c>
      <c r="F26" s="4">
        <v>1</v>
      </c>
      <c r="G26" s="4">
        <v>1</v>
      </c>
      <c r="H26" s="4">
        <v>0</v>
      </c>
      <c r="I26" s="4">
        <v>0</v>
      </c>
      <c r="J26" s="4">
        <v>0</v>
      </c>
      <c r="K26" s="4">
        <v>0</v>
      </c>
      <c r="L26" s="4">
        <v>1</v>
      </c>
      <c r="M26" s="4">
        <v>0</v>
      </c>
      <c r="N26" s="4">
        <v>0</v>
      </c>
      <c r="O26" s="4">
        <v>1</v>
      </c>
      <c r="P26" s="4">
        <v>0</v>
      </c>
      <c r="Q26" s="4">
        <v>0</v>
      </c>
      <c r="R26" s="4">
        <v>0</v>
      </c>
      <c r="S26" s="4">
        <v>1</v>
      </c>
      <c r="T26" s="4">
        <v>0</v>
      </c>
      <c r="U26" s="4">
        <v>0</v>
      </c>
      <c r="V26" s="4">
        <v>1</v>
      </c>
      <c r="W26" s="4">
        <v>1</v>
      </c>
      <c r="X26" s="4">
        <v>20</v>
      </c>
    </row>
    <row r="27" spans="1:24">
      <c r="A27" s="4">
        <v>26</v>
      </c>
      <c r="B27" s="4">
        <v>19</v>
      </c>
      <c r="C27" s="4">
        <v>0</v>
      </c>
      <c r="D27" s="4">
        <v>1</v>
      </c>
      <c r="E27" s="4">
        <v>1</v>
      </c>
      <c r="F27" s="4">
        <v>0</v>
      </c>
      <c r="G27" s="4">
        <v>0</v>
      </c>
      <c r="H27" s="4">
        <v>1</v>
      </c>
      <c r="I27" s="4">
        <v>0</v>
      </c>
      <c r="J27" s="4">
        <v>1</v>
      </c>
      <c r="K27" s="4">
        <v>0</v>
      </c>
      <c r="L27" s="4">
        <v>0</v>
      </c>
      <c r="M27" s="4">
        <v>0</v>
      </c>
      <c r="N27" s="4">
        <v>1</v>
      </c>
      <c r="O27" s="4">
        <v>0</v>
      </c>
      <c r="P27" s="4">
        <v>0</v>
      </c>
      <c r="Q27" s="4">
        <v>1</v>
      </c>
      <c r="R27" s="4">
        <v>1</v>
      </c>
      <c r="S27" s="4">
        <v>1</v>
      </c>
      <c r="T27" s="4">
        <v>1</v>
      </c>
      <c r="U27" s="4">
        <v>0</v>
      </c>
      <c r="V27" s="4">
        <v>1</v>
      </c>
      <c r="W27" s="4">
        <v>0</v>
      </c>
      <c r="X27" s="4">
        <v>19</v>
      </c>
    </row>
    <row r="28" spans="1:24">
      <c r="A28" s="4">
        <v>27</v>
      </c>
      <c r="B28" s="4">
        <v>65</v>
      </c>
      <c r="C28" s="4">
        <v>0</v>
      </c>
      <c r="D28" s="4">
        <v>0</v>
      </c>
      <c r="E28" s="4">
        <v>1</v>
      </c>
      <c r="F28" s="4">
        <v>0</v>
      </c>
      <c r="G28" s="4">
        <v>1</v>
      </c>
      <c r="H28" s="4">
        <v>1</v>
      </c>
      <c r="I28" s="4">
        <v>0</v>
      </c>
      <c r="J28" s="4">
        <v>0</v>
      </c>
      <c r="K28" s="4">
        <v>0</v>
      </c>
      <c r="L28" s="4">
        <v>1</v>
      </c>
      <c r="M28" s="4">
        <v>0</v>
      </c>
      <c r="N28" s="4">
        <v>0</v>
      </c>
      <c r="O28" s="4">
        <v>1</v>
      </c>
      <c r="P28" s="4">
        <v>0</v>
      </c>
      <c r="Q28" s="4">
        <v>1</v>
      </c>
      <c r="R28" s="4">
        <v>1</v>
      </c>
      <c r="S28" s="4">
        <v>1</v>
      </c>
      <c r="T28" s="4">
        <v>1</v>
      </c>
      <c r="U28" s="4">
        <v>1</v>
      </c>
      <c r="V28" s="4">
        <v>1</v>
      </c>
      <c r="W28" s="4">
        <v>0</v>
      </c>
      <c r="X28" s="4">
        <v>24</v>
      </c>
    </row>
    <row r="29" spans="1:24">
      <c r="A29" s="4">
        <v>28</v>
      </c>
      <c r="B29" s="4">
        <v>42</v>
      </c>
      <c r="C29" s="4">
        <v>1</v>
      </c>
      <c r="D29" s="4">
        <v>0</v>
      </c>
      <c r="E29" s="4">
        <v>0</v>
      </c>
      <c r="F29" s="4">
        <v>1</v>
      </c>
      <c r="G29" s="4">
        <v>0</v>
      </c>
      <c r="H29" s="4">
        <v>1</v>
      </c>
      <c r="I29" s="4">
        <v>0</v>
      </c>
      <c r="J29" s="4">
        <v>0</v>
      </c>
      <c r="K29" s="4">
        <v>1</v>
      </c>
      <c r="L29" s="4">
        <v>1</v>
      </c>
      <c r="M29" s="4">
        <v>1</v>
      </c>
      <c r="N29" s="4">
        <v>0</v>
      </c>
      <c r="O29" s="4">
        <v>0</v>
      </c>
      <c r="P29" s="4">
        <v>1</v>
      </c>
      <c r="Q29" s="4">
        <v>1</v>
      </c>
      <c r="R29" s="4">
        <v>0</v>
      </c>
      <c r="S29" s="4">
        <v>1</v>
      </c>
      <c r="T29" s="4">
        <v>1</v>
      </c>
      <c r="U29" s="4">
        <v>0</v>
      </c>
      <c r="V29" s="4">
        <v>0</v>
      </c>
      <c r="W29" s="4">
        <v>1</v>
      </c>
      <c r="X29" s="4">
        <v>23</v>
      </c>
    </row>
    <row r="30" spans="1:24">
      <c r="A30" s="4">
        <v>29</v>
      </c>
      <c r="B30" s="4">
        <v>76</v>
      </c>
      <c r="C30" s="4">
        <v>1</v>
      </c>
      <c r="D30" s="4">
        <v>0</v>
      </c>
      <c r="E30" s="4">
        <v>0</v>
      </c>
      <c r="F30" s="4">
        <v>1</v>
      </c>
      <c r="G30" s="4">
        <v>0</v>
      </c>
      <c r="H30" s="4">
        <v>0</v>
      </c>
      <c r="I30" s="4">
        <v>0</v>
      </c>
      <c r="J30" s="4">
        <v>0</v>
      </c>
      <c r="K30" s="4">
        <v>1</v>
      </c>
      <c r="L30" s="4">
        <v>0</v>
      </c>
      <c r="M30" s="4">
        <v>0</v>
      </c>
      <c r="N30" s="4">
        <v>0</v>
      </c>
      <c r="O30" s="4">
        <v>1</v>
      </c>
      <c r="P30" s="4">
        <v>0</v>
      </c>
      <c r="Q30" s="4">
        <v>0</v>
      </c>
      <c r="R30" s="4">
        <v>0</v>
      </c>
      <c r="S30" s="4">
        <v>1</v>
      </c>
      <c r="T30" s="4">
        <v>0</v>
      </c>
      <c r="U30" s="4">
        <v>1</v>
      </c>
      <c r="V30" s="4">
        <v>1</v>
      </c>
      <c r="W30" s="4">
        <v>1</v>
      </c>
      <c r="X30" s="4">
        <v>19</v>
      </c>
    </row>
    <row r="31" spans="1:24">
      <c r="A31" s="4">
        <v>30</v>
      </c>
      <c r="B31" s="4">
        <v>19</v>
      </c>
      <c r="C31" s="4">
        <v>1</v>
      </c>
      <c r="D31" s="4">
        <v>0</v>
      </c>
      <c r="E31" s="4">
        <v>0</v>
      </c>
      <c r="F31" s="4">
        <v>1</v>
      </c>
      <c r="G31" s="4">
        <v>0</v>
      </c>
      <c r="H31" s="4">
        <v>1</v>
      </c>
      <c r="I31" s="4">
        <v>0</v>
      </c>
      <c r="J31" s="4">
        <v>1</v>
      </c>
      <c r="K31" s="4">
        <v>0</v>
      </c>
      <c r="L31" s="4">
        <v>1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1</v>
      </c>
      <c r="T31" s="4">
        <v>1</v>
      </c>
      <c r="U31" s="4">
        <v>0</v>
      </c>
      <c r="V31" s="4">
        <v>1</v>
      </c>
      <c r="W31" s="4">
        <v>1</v>
      </c>
      <c r="X31" s="4">
        <v>18</v>
      </c>
    </row>
    <row r="33" spans="1:1">
      <c r="A33" t="s">
        <v>17</v>
      </c>
    </row>
    <row r="34" spans="1:1">
      <c r="A34">
        <f t="array" ref="A34:A63">AVERAGE('Tabela Entrada-saída'!$X$2:$X$31)</f>
        <v>20.266666666666666</v>
      </c>
    </row>
    <row r="35" spans="1:1">
      <c r="A35">
        <v>20.266666666666666</v>
      </c>
    </row>
    <row r="36" spans="1:1">
      <c r="A36">
        <v>20.266666666666666</v>
      </c>
    </row>
    <row r="37" spans="1:1">
      <c r="A37">
        <v>20.266666666666666</v>
      </c>
    </row>
    <row r="38" spans="1:1">
      <c r="A38">
        <v>20.266666666666666</v>
      </c>
    </row>
    <row r="39" spans="1:1">
      <c r="A39">
        <v>20.266666666666666</v>
      </c>
    </row>
    <row r="40" spans="1:1">
      <c r="A40">
        <v>20.266666666666666</v>
      </c>
    </row>
    <row r="41" spans="1:1">
      <c r="A41">
        <v>20.266666666666666</v>
      </c>
    </row>
    <row r="42" spans="1:1">
      <c r="A42">
        <v>20.266666666666666</v>
      </c>
    </row>
    <row r="43" spans="1:1">
      <c r="A43">
        <v>20.266666666666666</v>
      </c>
    </row>
    <row r="44" spans="1:1">
      <c r="A44">
        <v>20.266666666666666</v>
      </c>
    </row>
    <row r="45" spans="1:1">
      <c r="A45">
        <v>20.266666666666666</v>
      </c>
    </row>
    <row r="46" spans="1:1">
      <c r="A46">
        <v>20.266666666666666</v>
      </c>
    </row>
    <row r="47" spans="1:1">
      <c r="A47">
        <v>20.266666666666666</v>
      </c>
    </row>
    <row r="48" spans="1:1">
      <c r="A48">
        <v>20.266666666666666</v>
      </c>
    </row>
    <row r="49" spans="1:1">
      <c r="A49">
        <v>20.266666666666666</v>
      </c>
    </row>
    <row r="50" spans="1:1">
      <c r="A50">
        <v>20.266666666666666</v>
      </c>
    </row>
    <row r="51" spans="1:1">
      <c r="A51">
        <v>20.266666666666666</v>
      </c>
    </row>
    <row r="52" spans="1:1">
      <c r="A52">
        <v>20.266666666666666</v>
      </c>
    </row>
    <row r="53" spans="1:1">
      <c r="A53">
        <v>20.266666666666666</v>
      </c>
    </row>
    <row r="54" spans="1:1">
      <c r="A54">
        <v>20.266666666666666</v>
      </c>
    </row>
    <row r="55" spans="1:1">
      <c r="A55">
        <v>20.266666666666666</v>
      </c>
    </row>
    <row r="56" spans="1:1">
      <c r="A56">
        <v>20.266666666666666</v>
      </c>
    </row>
    <row r="57" spans="1:1">
      <c r="A57">
        <v>20.266666666666666</v>
      </c>
    </row>
    <row r="58" spans="1:1">
      <c r="A58">
        <v>20.266666666666666</v>
      </c>
    </row>
    <row r="59" spans="1:1">
      <c r="A59">
        <v>20.266666666666666</v>
      </c>
    </row>
    <row r="60" spans="1:1">
      <c r="A60">
        <v>20.266666666666666</v>
      </c>
    </row>
    <row r="61" spans="1:1">
      <c r="A61">
        <v>20.266666666666666</v>
      </c>
    </row>
    <row r="62" spans="1:1">
      <c r="A62">
        <v>20.266666666666666</v>
      </c>
    </row>
    <row r="63" spans="1:1">
      <c r="A63">
        <v>20.266666666666666</v>
      </c>
    </row>
    <row r="65" spans="1:24">
      <c r="A65" t="s">
        <v>18</v>
      </c>
    </row>
    <row r="66" spans="1:24" ht="86.4">
      <c r="A66" s="6" t="s">
        <v>30</v>
      </c>
      <c r="B66" s="7" t="s">
        <v>31</v>
      </c>
      <c r="C66" s="7" t="s">
        <v>32</v>
      </c>
      <c r="D66" s="6" t="s">
        <v>33</v>
      </c>
      <c r="E66" s="6" t="s">
        <v>34</v>
      </c>
      <c r="F66" s="6" t="s">
        <v>35</v>
      </c>
      <c r="G66" s="6" t="s">
        <v>36</v>
      </c>
      <c r="H66" s="6" t="s">
        <v>37</v>
      </c>
      <c r="I66" s="6" t="s">
        <v>38</v>
      </c>
      <c r="J66" s="6" t="s">
        <v>39</v>
      </c>
      <c r="K66" s="6" t="s">
        <v>40</v>
      </c>
      <c r="L66" s="6" t="s">
        <v>41</v>
      </c>
      <c r="M66" s="6" t="s">
        <v>42</v>
      </c>
      <c r="N66" s="6" t="s">
        <v>43</v>
      </c>
      <c r="O66" s="6" t="s">
        <v>44</v>
      </c>
      <c r="P66" s="6" t="s">
        <v>45</v>
      </c>
      <c r="Q66" s="6" t="s">
        <v>46</v>
      </c>
      <c r="R66" s="6" t="s">
        <v>47</v>
      </c>
      <c r="S66" s="6" t="s">
        <v>48</v>
      </c>
      <c r="T66" s="6" t="s">
        <v>49</v>
      </c>
      <c r="U66" s="6" t="s">
        <v>50</v>
      </c>
      <c r="V66" s="6" t="s">
        <v>51</v>
      </c>
      <c r="W66" s="6" t="s">
        <v>52</v>
      </c>
      <c r="X66" s="6" t="s">
        <v>53</v>
      </c>
    </row>
    <row r="67" spans="1:24">
      <c r="A67" s="4">
        <v>1</v>
      </c>
      <c r="B67" s="4">
        <v>20</v>
      </c>
      <c r="C67" s="4">
        <v>1</v>
      </c>
      <c r="D67" s="4">
        <v>0</v>
      </c>
      <c r="E67" s="4">
        <v>1</v>
      </c>
      <c r="F67" s="4">
        <v>0</v>
      </c>
      <c r="G67" s="4">
        <v>1</v>
      </c>
      <c r="H67" s="4">
        <v>0</v>
      </c>
      <c r="I67" s="4">
        <v>1</v>
      </c>
      <c r="J67" s="4">
        <v>1</v>
      </c>
      <c r="K67" s="4">
        <v>1</v>
      </c>
      <c r="L67" s="4">
        <v>1</v>
      </c>
      <c r="M67" s="4">
        <v>1</v>
      </c>
      <c r="N67" s="4">
        <v>1</v>
      </c>
      <c r="O67" s="4">
        <v>1</v>
      </c>
      <c r="P67" s="4">
        <v>0</v>
      </c>
      <c r="Q67" s="4">
        <v>0</v>
      </c>
      <c r="R67" s="4">
        <v>1</v>
      </c>
      <c r="S67" s="4">
        <v>1</v>
      </c>
      <c r="T67" s="4">
        <v>1</v>
      </c>
      <c r="U67" s="4">
        <v>1</v>
      </c>
      <c r="V67" s="4">
        <v>0</v>
      </c>
      <c r="W67" s="4">
        <v>1</v>
      </c>
      <c r="X67" s="4">
        <v>25.330429514459013</v>
      </c>
    </row>
    <row r="68" spans="1:24">
      <c r="A68" s="4">
        <v>2</v>
      </c>
      <c r="B68" s="4">
        <v>34</v>
      </c>
      <c r="C68" s="4">
        <v>0</v>
      </c>
      <c r="D68" s="4">
        <v>1</v>
      </c>
      <c r="E68" s="4">
        <v>0</v>
      </c>
      <c r="F68" s="4">
        <v>1</v>
      </c>
      <c r="G68" s="4">
        <v>1</v>
      </c>
      <c r="H68" s="4">
        <v>1</v>
      </c>
      <c r="I68" s="4">
        <v>1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1</v>
      </c>
      <c r="P68" s="4">
        <v>1</v>
      </c>
      <c r="Q68" s="4">
        <v>1</v>
      </c>
      <c r="R68" s="4">
        <v>0</v>
      </c>
      <c r="S68" s="4">
        <v>0</v>
      </c>
      <c r="T68" s="4">
        <v>1</v>
      </c>
      <c r="U68" s="4">
        <v>1</v>
      </c>
      <c r="V68" s="4">
        <v>0</v>
      </c>
      <c r="W68" s="4">
        <v>0</v>
      </c>
      <c r="X68" s="4">
        <v>18.79464623220483</v>
      </c>
    </row>
    <row r="69" spans="1:24">
      <c r="A69" s="4">
        <v>3</v>
      </c>
      <c r="B69" s="4">
        <v>60</v>
      </c>
      <c r="C69" s="4">
        <v>0</v>
      </c>
      <c r="D69" s="4">
        <v>0</v>
      </c>
      <c r="E69" s="4">
        <v>0</v>
      </c>
      <c r="F69" s="4">
        <v>0</v>
      </c>
      <c r="G69" s="4">
        <v>1</v>
      </c>
      <c r="H69" s="4">
        <v>1</v>
      </c>
      <c r="I69" s="4">
        <v>0</v>
      </c>
      <c r="J69" s="4">
        <v>1</v>
      </c>
      <c r="K69" s="4">
        <v>0</v>
      </c>
      <c r="L69" s="4">
        <v>0</v>
      </c>
      <c r="M69" s="4">
        <v>0</v>
      </c>
      <c r="N69" s="4">
        <v>0</v>
      </c>
      <c r="O69" s="4">
        <v>0</v>
      </c>
      <c r="P69" s="4">
        <v>0</v>
      </c>
      <c r="Q69" s="4">
        <v>1</v>
      </c>
      <c r="R69" s="4">
        <v>1</v>
      </c>
      <c r="S69" s="4">
        <v>1</v>
      </c>
      <c r="T69" s="4">
        <v>0</v>
      </c>
      <c r="U69" s="4">
        <v>0</v>
      </c>
      <c r="V69" s="4">
        <v>1</v>
      </c>
      <c r="W69" s="4">
        <v>0</v>
      </c>
      <c r="X69" s="4">
        <v>18.607097465536352</v>
      </c>
    </row>
    <row r="70" spans="1:24">
      <c r="A70" s="4">
        <v>4</v>
      </c>
      <c r="B70" s="4">
        <v>79</v>
      </c>
      <c r="C70" s="4">
        <v>0</v>
      </c>
      <c r="D70" s="4">
        <v>0</v>
      </c>
      <c r="E70" s="4">
        <v>1</v>
      </c>
      <c r="F70" s="4">
        <v>0</v>
      </c>
      <c r="G70" s="4">
        <v>1</v>
      </c>
      <c r="H70" s="4">
        <v>0</v>
      </c>
      <c r="I70" s="4">
        <v>1</v>
      </c>
      <c r="J70" s="4">
        <v>0</v>
      </c>
      <c r="K70" s="4">
        <v>0</v>
      </c>
      <c r="L70" s="4">
        <v>0</v>
      </c>
      <c r="M70" s="4">
        <v>0</v>
      </c>
      <c r="N70" s="4">
        <v>0</v>
      </c>
      <c r="O70" s="4">
        <v>1</v>
      </c>
      <c r="P70" s="4">
        <v>1</v>
      </c>
      <c r="Q70" s="4">
        <v>0</v>
      </c>
      <c r="R70" s="4">
        <v>0</v>
      </c>
      <c r="S70" s="4">
        <v>0</v>
      </c>
      <c r="T70" s="4">
        <v>0</v>
      </c>
      <c r="U70" s="4">
        <v>0</v>
      </c>
      <c r="V70" s="4">
        <v>1</v>
      </c>
      <c r="W70" s="4">
        <v>0</v>
      </c>
      <c r="X70" s="4">
        <v>19.00478895671322</v>
      </c>
    </row>
    <row r="71" spans="1:24">
      <c r="A71" s="4">
        <v>5</v>
      </c>
      <c r="B71" s="4">
        <v>28</v>
      </c>
      <c r="C71" s="4">
        <v>0</v>
      </c>
      <c r="D71" s="4">
        <v>0</v>
      </c>
      <c r="E71" s="4">
        <v>1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1</v>
      </c>
      <c r="L71" s="4">
        <v>1</v>
      </c>
      <c r="M71" s="4">
        <v>0</v>
      </c>
      <c r="N71" s="4">
        <v>0</v>
      </c>
      <c r="O71" s="4">
        <v>1</v>
      </c>
      <c r="P71" s="4">
        <v>0</v>
      </c>
      <c r="Q71" s="4">
        <v>1</v>
      </c>
      <c r="R71" s="4">
        <v>1</v>
      </c>
      <c r="S71" s="4">
        <v>0</v>
      </c>
      <c r="T71" s="4">
        <v>1</v>
      </c>
      <c r="U71" s="4">
        <v>1</v>
      </c>
      <c r="V71" s="4">
        <v>1</v>
      </c>
      <c r="W71" s="4">
        <v>1</v>
      </c>
      <c r="X71" s="4">
        <v>20.669625199537819</v>
      </c>
    </row>
    <row r="72" spans="1:24">
      <c r="A72" s="4">
        <v>6</v>
      </c>
      <c r="B72" s="4">
        <v>35</v>
      </c>
      <c r="C72" s="4">
        <v>0</v>
      </c>
      <c r="D72" s="4">
        <v>0</v>
      </c>
      <c r="E72" s="4">
        <v>0</v>
      </c>
      <c r="F72" s="4">
        <v>0</v>
      </c>
      <c r="G72" s="4">
        <v>0</v>
      </c>
      <c r="H72" s="4">
        <v>1</v>
      </c>
      <c r="I72" s="4">
        <v>0</v>
      </c>
      <c r="J72" s="4">
        <v>0</v>
      </c>
      <c r="K72" s="4">
        <v>1</v>
      </c>
      <c r="L72" s="4">
        <v>1</v>
      </c>
      <c r="M72" s="4">
        <v>0</v>
      </c>
      <c r="N72" s="4">
        <v>1</v>
      </c>
      <c r="O72" s="4">
        <v>0</v>
      </c>
      <c r="P72" s="4">
        <v>1</v>
      </c>
      <c r="Q72" s="4">
        <v>1</v>
      </c>
      <c r="R72" s="4">
        <v>1</v>
      </c>
      <c r="S72" s="4">
        <v>1</v>
      </c>
      <c r="T72" s="4">
        <v>1</v>
      </c>
      <c r="U72" s="4">
        <v>0</v>
      </c>
      <c r="V72" s="4">
        <v>1</v>
      </c>
      <c r="W72" s="4">
        <v>0</v>
      </c>
      <c r="X72" s="4">
        <v>22.696400313023386</v>
      </c>
    </row>
    <row r="73" spans="1:24">
      <c r="A73" s="4">
        <v>7</v>
      </c>
      <c r="B73" s="4">
        <v>78</v>
      </c>
      <c r="C73" s="4">
        <v>0</v>
      </c>
      <c r="D73" s="4">
        <v>0</v>
      </c>
      <c r="E73" s="4">
        <v>0</v>
      </c>
      <c r="F73" s="4">
        <v>1</v>
      </c>
      <c r="G73" s="4">
        <v>1</v>
      </c>
      <c r="H73" s="4">
        <v>1</v>
      </c>
      <c r="I73" s="4">
        <v>0</v>
      </c>
      <c r="J73" s="4">
        <v>1</v>
      </c>
      <c r="K73" s="4">
        <v>1</v>
      </c>
      <c r="L73" s="4">
        <v>0</v>
      </c>
      <c r="M73" s="4">
        <v>1</v>
      </c>
      <c r="N73" s="4">
        <v>0</v>
      </c>
      <c r="O73" s="4">
        <v>1</v>
      </c>
      <c r="P73" s="4">
        <v>1</v>
      </c>
      <c r="Q73" s="4">
        <v>1</v>
      </c>
      <c r="R73" s="4">
        <v>0</v>
      </c>
      <c r="S73" s="4">
        <v>1</v>
      </c>
      <c r="T73" s="4">
        <v>1</v>
      </c>
      <c r="U73" s="4">
        <v>1</v>
      </c>
      <c r="V73" s="4">
        <v>1</v>
      </c>
      <c r="W73" s="4">
        <v>0</v>
      </c>
      <c r="X73" s="4">
        <v>20.34294659320696</v>
      </c>
    </row>
    <row r="74" spans="1:24">
      <c r="A74" s="4">
        <v>8</v>
      </c>
      <c r="B74" s="4">
        <v>83</v>
      </c>
      <c r="C74" s="4">
        <v>0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1</v>
      </c>
      <c r="J74" s="4">
        <v>0</v>
      </c>
      <c r="K74" s="4">
        <v>1</v>
      </c>
      <c r="L74" s="4">
        <v>1</v>
      </c>
      <c r="M74" s="4">
        <v>1</v>
      </c>
      <c r="N74" s="4">
        <v>1</v>
      </c>
      <c r="O74" s="4">
        <v>0</v>
      </c>
      <c r="P74" s="4">
        <v>1</v>
      </c>
      <c r="Q74" s="4">
        <v>1</v>
      </c>
      <c r="R74" s="4">
        <v>1</v>
      </c>
      <c r="S74" s="4">
        <v>1</v>
      </c>
      <c r="T74" s="4">
        <v>0</v>
      </c>
      <c r="U74" s="4">
        <v>0</v>
      </c>
      <c r="V74" s="4">
        <v>1</v>
      </c>
      <c r="W74" s="4">
        <v>1</v>
      </c>
      <c r="X74" s="4">
        <v>20.787724774642292</v>
      </c>
    </row>
    <row r="75" spans="1:24">
      <c r="A75" s="4">
        <v>9</v>
      </c>
      <c r="B75" s="4">
        <v>30</v>
      </c>
      <c r="C75" s="4">
        <v>1</v>
      </c>
      <c r="D75" s="4">
        <v>1</v>
      </c>
      <c r="E75" s="4">
        <v>1</v>
      </c>
      <c r="F75" s="4">
        <v>0</v>
      </c>
      <c r="G75" s="4">
        <v>1</v>
      </c>
      <c r="H75" s="4">
        <v>1</v>
      </c>
      <c r="I75" s="4">
        <v>0</v>
      </c>
      <c r="J75" s="4">
        <v>1</v>
      </c>
      <c r="K75" s="4">
        <v>1</v>
      </c>
      <c r="L75" s="4">
        <v>1</v>
      </c>
      <c r="M75" s="4">
        <v>0</v>
      </c>
      <c r="N75" s="4">
        <v>0</v>
      </c>
      <c r="O75" s="4">
        <v>0</v>
      </c>
      <c r="P75" s="4">
        <v>1</v>
      </c>
      <c r="Q75" s="4">
        <v>1</v>
      </c>
      <c r="R75" s="4">
        <v>0</v>
      </c>
      <c r="S75" s="4">
        <v>1</v>
      </c>
      <c r="T75" s="4">
        <v>1</v>
      </c>
      <c r="U75" s="4">
        <v>1</v>
      </c>
      <c r="V75" s="4">
        <v>1</v>
      </c>
      <c r="W75" s="4">
        <v>0</v>
      </c>
      <c r="X75" s="4">
        <v>22.817230370025307</v>
      </c>
    </row>
    <row r="76" spans="1:24">
      <c r="A76" s="4">
        <v>10</v>
      </c>
      <c r="B76" s="4">
        <v>53</v>
      </c>
      <c r="C76" s="4">
        <v>1</v>
      </c>
      <c r="D76" s="4">
        <v>1</v>
      </c>
      <c r="E76" s="4">
        <v>0</v>
      </c>
      <c r="F76" s="4">
        <v>1</v>
      </c>
      <c r="G76" s="4">
        <v>1</v>
      </c>
      <c r="H76" s="4">
        <v>1</v>
      </c>
      <c r="I76" s="4">
        <v>0</v>
      </c>
      <c r="J76" s="4">
        <v>1</v>
      </c>
      <c r="K76" s="4">
        <v>1</v>
      </c>
      <c r="L76" s="4">
        <v>1</v>
      </c>
      <c r="M76" s="4">
        <v>1</v>
      </c>
      <c r="N76" s="4">
        <v>0</v>
      </c>
      <c r="O76" s="4">
        <v>1</v>
      </c>
      <c r="P76" s="4">
        <v>1</v>
      </c>
      <c r="Q76" s="4">
        <v>0</v>
      </c>
      <c r="R76" s="4">
        <v>0</v>
      </c>
      <c r="S76" s="4">
        <v>0</v>
      </c>
      <c r="T76" s="4">
        <v>0</v>
      </c>
      <c r="U76" s="4">
        <v>0</v>
      </c>
      <c r="V76" s="4">
        <v>0</v>
      </c>
      <c r="W76" s="4">
        <v>1</v>
      </c>
      <c r="X76" s="4">
        <v>18.886609899828048</v>
      </c>
    </row>
    <row r="77" spans="1:24">
      <c r="A77" s="4">
        <v>11</v>
      </c>
      <c r="B77" s="4">
        <v>81</v>
      </c>
      <c r="C77" s="4">
        <v>0</v>
      </c>
      <c r="D77" s="4">
        <v>0</v>
      </c>
      <c r="E77" s="4">
        <v>0</v>
      </c>
      <c r="F77" s="4">
        <v>1</v>
      </c>
      <c r="G77" s="4">
        <v>1</v>
      </c>
      <c r="H77" s="4">
        <v>1</v>
      </c>
      <c r="I77" s="4">
        <v>0</v>
      </c>
      <c r="J77" s="4">
        <v>0</v>
      </c>
      <c r="K77" s="4">
        <v>0</v>
      </c>
      <c r="L77" s="4">
        <v>1</v>
      </c>
      <c r="M77" s="4">
        <v>1</v>
      </c>
      <c r="N77" s="4">
        <v>0</v>
      </c>
      <c r="O77" s="4">
        <v>1</v>
      </c>
      <c r="P77" s="4">
        <v>0</v>
      </c>
      <c r="Q77" s="4">
        <v>1</v>
      </c>
      <c r="R77" s="4">
        <v>1</v>
      </c>
      <c r="S77" s="4">
        <v>0</v>
      </c>
      <c r="T77" s="4">
        <v>1</v>
      </c>
      <c r="U77" s="4">
        <v>1</v>
      </c>
      <c r="V77" s="4">
        <v>1</v>
      </c>
      <c r="W77" s="4">
        <v>1</v>
      </c>
      <c r="X77" s="4">
        <v>19.213119689579912</v>
      </c>
    </row>
    <row r="78" spans="1:24">
      <c r="A78" s="4">
        <v>12</v>
      </c>
      <c r="B78" s="4">
        <v>34</v>
      </c>
      <c r="C78" s="4">
        <v>1</v>
      </c>
      <c r="D78" s="4">
        <v>0</v>
      </c>
      <c r="E78" s="4">
        <v>0</v>
      </c>
      <c r="F78" s="4">
        <v>0</v>
      </c>
      <c r="G78" s="4">
        <v>1</v>
      </c>
      <c r="H78" s="4">
        <v>0</v>
      </c>
      <c r="I78" s="4">
        <v>0</v>
      </c>
      <c r="J78" s="4">
        <v>1</v>
      </c>
      <c r="K78" s="4">
        <v>1</v>
      </c>
      <c r="L78" s="4">
        <v>1</v>
      </c>
      <c r="M78" s="4">
        <v>1</v>
      </c>
      <c r="N78" s="4">
        <v>1</v>
      </c>
      <c r="O78" s="4">
        <v>0</v>
      </c>
      <c r="P78" s="4">
        <v>0</v>
      </c>
      <c r="Q78" s="4">
        <v>0</v>
      </c>
      <c r="R78" s="4">
        <v>0</v>
      </c>
      <c r="S78" s="4">
        <v>0</v>
      </c>
      <c r="T78" s="4">
        <v>1</v>
      </c>
      <c r="U78" s="4">
        <v>0</v>
      </c>
      <c r="V78" s="4">
        <v>1</v>
      </c>
      <c r="W78" s="4">
        <v>1</v>
      </c>
      <c r="X78" s="4">
        <v>16.109484251426341</v>
      </c>
    </row>
    <row r="79" spans="1:24">
      <c r="A79" s="4">
        <v>13</v>
      </c>
      <c r="B79" s="4">
        <v>66</v>
      </c>
      <c r="C79" s="4">
        <v>1</v>
      </c>
      <c r="D79" s="4">
        <v>1</v>
      </c>
      <c r="E79" s="4">
        <v>1</v>
      </c>
      <c r="F79" s="4">
        <v>1</v>
      </c>
      <c r="G79" s="4">
        <v>0</v>
      </c>
      <c r="H79" s="4">
        <v>0</v>
      </c>
      <c r="I79" s="4">
        <v>1</v>
      </c>
      <c r="J79" s="4">
        <v>0</v>
      </c>
      <c r="K79" s="4">
        <v>1</v>
      </c>
      <c r="L79" s="4">
        <v>1</v>
      </c>
      <c r="M79" s="4">
        <v>1</v>
      </c>
      <c r="N79" s="4">
        <v>1</v>
      </c>
      <c r="O79" s="4">
        <v>0</v>
      </c>
      <c r="P79" s="4">
        <v>1</v>
      </c>
      <c r="Q79" s="4">
        <v>0</v>
      </c>
      <c r="R79" s="4">
        <v>1</v>
      </c>
      <c r="S79" s="4">
        <v>1</v>
      </c>
      <c r="T79" s="4">
        <v>0</v>
      </c>
      <c r="U79" s="4">
        <v>0</v>
      </c>
      <c r="V79" s="4">
        <v>0</v>
      </c>
      <c r="W79" s="4">
        <v>1</v>
      </c>
      <c r="X79" s="4">
        <v>21.102741248484641</v>
      </c>
    </row>
    <row r="80" spans="1:24">
      <c r="A80" s="4">
        <v>14</v>
      </c>
      <c r="B80" s="4">
        <v>16</v>
      </c>
      <c r="C80" s="4">
        <v>1</v>
      </c>
      <c r="D80" s="4">
        <v>1</v>
      </c>
      <c r="E80" s="4">
        <v>0</v>
      </c>
      <c r="F80" s="4">
        <v>1</v>
      </c>
      <c r="G80" s="4">
        <v>1</v>
      </c>
      <c r="H80" s="4">
        <v>0</v>
      </c>
      <c r="I80" s="4">
        <v>0</v>
      </c>
      <c r="J80" s="4">
        <v>1</v>
      </c>
      <c r="K80" s="4">
        <v>0</v>
      </c>
      <c r="L80" s="4">
        <v>0</v>
      </c>
      <c r="M80" s="4">
        <v>1</v>
      </c>
      <c r="N80" s="4">
        <v>0</v>
      </c>
      <c r="O80" s="4">
        <v>0</v>
      </c>
      <c r="P80" s="4">
        <v>0</v>
      </c>
      <c r="Q80" s="4">
        <v>0</v>
      </c>
      <c r="R80" s="4">
        <v>0</v>
      </c>
      <c r="S80" s="4">
        <v>0</v>
      </c>
      <c r="T80" s="4">
        <v>1</v>
      </c>
      <c r="U80" s="4">
        <v>0</v>
      </c>
      <c r="V80" s="4">
        <v>1</v>
      </c>
      <c r="W80" s="4">
        <v>0</v>
      </c>
      <c r="X80" s="4">
        <v>21.218291375173663</v>
      </c>
    </row>
    <row r="81" spans="1:24">
      <c r="A81" s="4">
        <v>15</v>
      </c>
      <c r="B81" s="4">
        <v>46</v>
      </c>
      <c r="C81" s="4">
        <v>0</v>
      </c>
      <c r="D81" s="4">
        <v>1</v>
      </c>
      <c r="E81" s="4">
        <v>1</v>
      </c>
      <c r="F81" s="4">
        <v>1</v>
      </c>
      <c r="G81" s="4">
        <v>1</v>
      </c>
      <c r="H81" s="4">
        <v>1</v>
      </c>
      <c r="I81" s="4">
        <v>0</v>
      </c>
      <c r="J81" s="4">
        <v>1</v>
      </c>
      <c r="K81" s="4">
        <v>1</v>
      </c>
      <c r="L81" s="4">
        <v>1</v>
      </c>
      <c r="M81" s="4">
        <v>0</v>
      </c>
      <c r="N81" s="4">
        <v>0</v>
      </c>
      <c r="O81" s="4">
        <v>0</v>
      </c>
      <c r="P81" s="4">
        <v>1</v>
      </c>
      <c r="Q81" s="4">
        <v>0</v>
      </c>
      <c r="R81" s="4">
        <v>1</v>
      </c>
      <c r="S81" s="4">
        <v>1</v>
      </c>
      <c r="T81" s="4">
        <v>1</v>
      </c>
      <c r="U81" s="4">
        <v>1</v>
      </c>
      <c r="V81" s="4">
        <v>1</v>
      </c>
      <c r="W81" s="4">
        <v>1</v>
      </c>
      <c r="X81" s="4">
        <v>24.734301089876269</v>
      </c>
    </row>
    <row r="82" spans="1:24">
      <c r="A82" s="4">
        <v>16</v>
      </c>
      <c r="B82" s="4">
        <v>18</v>
      </c>
      <c r="C82" s="4">
        <v>0</v>
      </c>
      <c r="D82" s="4">
        <v>1</v>
      </c>
      <c r="E82" s="4">
        <v>0</v>
      </c>
      <c r="F82" s="4">
        <v>1</v>
      </c>
      <c r="G82" s="4">
        <v>0</v>
      </c>
      <c r="H82" s="4">
        <v>0</v>
      </c>
      <c r="I82" s="4">
        <v>0</v>
      </c>
      <c r="J82" s="4">
        <v>0</v>
      </c>
      <c r="K82" s="4">
        <v>0</v>
      </c>
      <c r="L82" s="4">
        <v>0</v>
      </c>
      <c r="M82" s="4">
        <v>0</v>
      </c>
      <c r="N82" s="4">
        <v>1</v>
      </c>
      <c r="O82" s="4">
        <v>1</v>
      </c>
      <c r="P82" s="4">
        <v>1</v>
      </c>
      <c r="Q82" s="4">
        <v>0</v>
      </c>
      <c r="R82" s="4">
        <v>0</v>
      </c>
      <c r="S82" s="4">
        <v>1</v>
      </c>
      <c r="T82" s="4">
        <v>1</v>
      </c>
      <c r="U82" s="4">
        <v>1</v>
      </c>
      <c r="V82" s="4">
        <v>1</v>
      </c>
      <c r="W82" s="4">
        <v>1</v>
      </c>
      <c r="X82" s="4">
        <v>24.821795160623793</v>
      </c>
    </row>
    <row r="83" spans="1:24">
      <c r="A83" s="4">
        <v>17</v>
      </c>
      <c r="B83" s="4">
        <v>80</v>
      </c>
      <c r="C83" s="4">
        <v>1</v>
      </c>
      <c r="D83" s="4">
        <v>1</v>
      </c>
      <c r="E83" s="4">
        <v>1</v>
      </c>
      <c r="F83" s="4">
        <v>1</v>
      </c>
      <c r="G83" s="4">
        <v>1</v>
      </c>
      <c r="H83" s="4">
        <v>1</v>
      </c>
      <c r="I83" s="4">
        <v>1</v>
      </c>
      <c r="J83" s="4">
        <v>1</v>
      </c>
      <c r="K83" s="4">
        <v>1</v>
      </c>
      <c r="L83" s="4">
        <v>0</v>
      </c>
      <c r="M83" s="4">
        <v>1</v>
      </c>
      <c r="N83" s="4">
        <v>1</v>
      </c>
      <c r="O83" s="4">
        <v>1</v>
      </c>
      <c r="P83" s="4">
        <v>1</v>
      </c>
      <c r="Q83" s="4">
        <v>1</v>
      </c>
      <c r="R83" s="4">
        <v>1</v>
      </c>
      <c r="S83" s="4">
        <v>0</v>
      </c>
      <c r="T83" s="4">
        <v>0</v>
      </c>
      <c r="U83" s="4">
        <v>0</v>
      </c>
      <c r="V83" s="4">
        <v>1</v>
      </c>
      <c r="W83" s="4">
        <v>1</v>
      </c>
      <c r="X83" s="4">
        <v>18.123178949552202</v>
      </c>
    </row>
    <row r="84" spans="1:24">
      <c r="A84" s="4">
        <v>18</v>
      </c>
      <c r="B84" s="4">
        <v>65</v>
      </c>
      <c r="C84" s="4">
        <v>0</v>
      </c>
      <c r="D84" s="4">
        <v>1</v>
      </c>
      <c r="E84" s="4">
        <v>0</v>
      </c>
      <c r="F84" s="4">
        <v>0</v>
      </c>
      <c r="G84" s="4">
        <v>1</v>
      </c>
      <c r="H84" s="4">
        <v>0</v>
      </c>
      <c r="I84" s="4">
        <v>0</v>
      </c>
      <c r="J84" s="4">
        <v>1</v>
      </c>
      <c r="K84" s="4">
        <v>1</v>
      </c>
      <c r="L84" s="4">
        <v>0</v>
      </c>
      <c r="M84" s="4">
        <v>1</v>
      </c>
      <c r="N84" s="4">
        <v>0</v>
      </c>
      <c r="O84" s="4">
        <v>0</v>
      </c>
      <c r="P84" s="4">
        <v>0</v>
      </c>
      <c r="Q84" s="4">
        <v>1</v>
      </c>
      <c r="R84" s="4">
        <v>1</v>
      </c>
      <c r="S84" s="4">
        <v>1</v>
      </c>
      <c r="T84" s="4">
        <v>0</v>
      </c>
      <c r="U84" s="4">
        <v>1</v>
      </c>
      <c r="V84" s="4">
        <v>0</v>
      </c>
      <c r="W84" s="4">
        <v>0</v>
      </c>
      <c r="X84" s="4">
        <v>19.414247031687665</v>
      </c>
    </row>
    <row r="85" spans="1:24">
      <c r="A85" s="4">
        <v>19</v>
      </c>
      <c r="B85" s="4">
        <v>79</v>
      </c>
      <c r="C85" s="4">
        <v>1</v>
      </c>
      <c r="D85" s="4">
        <v>1</v>
      </c>
      <c r="E85" s="4">
        <v>1</v>
      </c>
      <c r="F85" s="4">
        <v>1</v>
      </c>
      <c r="G85" s="4">
        <v>1</v>
      </c>
      <c r="H85" s="4">
        <v>0</v>
      </c>
      <c r="I85" s="4">
        <v>1</v>
      </c>
      <c r="J85" s="4">
        <v>0</v>
      </c>
      <c r="K85" s="4">
        <v>0</v>
      </c>
      <c r="L85" s="4">
        <v>0</v>
      </c>
      <c r="M85" s="4">
        <v>1</v>
      </c>
      <c r="N85" s="4">
        <v>1</v>
      </c>
      <c r="O85" s="4">
        <v>0</v>
      </c>
      <c r="P85" s="4">
        <v>0</v>
      </c>
      <c r="Q85" s="4">
        <v>1</v>
      </c>
      <c r="R85" s="4">
        <v>0</v>
      </c>
      <c r="S85" s="4">
        <v>1</v>
      </c>
      <c r="T85" s="4">
        <v>1</v>
      </c>
      <c r="U85" s="4">
        <v>1</v>
      </c>
      <c r="V85" s="4">
        <v>0</v>
      </c>
      <c r="W85" s="4">
        <v>1</v>
      </c>
      <c r="X85" s="4">
        <v>17.32807535244627</v>
      </c>
    </row>
    <row r="86" spans="1:24">
      <c r="A86" s="4">
        <v>20</v>
      </c>
      <c r="B86" s="4">
        <v>36</v>
      </c>
      <c r="C86" s="4">
        <v>1</v>
      </c>
      <c r="D86" s="4">
        <v>1</v>
      </c>
      <c r="E86" s="4">
        <v>0</v>
      </c>
      <c r="F86" s="4">
        <v>1</v>
      </c>
      <c r="G86" s="4">
        <v>0</v>
      </c>
      <c r="H86" s="4">
        <v>0</v>
      </c>
      <c r="I86" s="4">
        <v>0</v>
      </c>
      <c r="J86" s="4">
        <v>0</v>
      </c>
      <c r="K86" s="4">
        <v>1</v>
      </c>
      <c r="L86" s="4">
        <v>1</v>
      </c>
      <c r="M86" s="4">
        <v>1</v>
      </c>
      <c r="N86" s="4">
        <v>0</v>
      </c>
      <c r="O86" s="4">
        <v>0</v>
      </c>
      <c r="P86" s="4">
        <v>0</v>
      </c>
      <c r="Q86" s="4">
        <v>1</v>
      </c>
      <c r="R86" s="4">
        <v>0</v>
      </c>
      <c r="S86" s="4">
        <v>1</v>
      </c>
      <c r="T86" s="4">
        <v>1</v>
      </c>
      <c r="U86" s="4">
        <v>0</v>
      </c>
      <c r="V86" s="4">
        <v>1</v>
      </c>
      <c r="W86" s="4">
        <v>0</v>
      </c>
      <c r="X86" s="4">
        <v>18.766434331407055</v>
      </c>
    </row>
    <row r="87" spans="1:24">
      <c r="A87" s="4">
        <v>21</v>
      </c>
      <c r="B87" s="4">
        <v>77</v>
      </c>
      <c r="C87" s="4">
        <v>1</v>
      </c>
      <c r="D87" s="4">
        <v>1</v>
      </c>
      <c r="E87" s="4">
        <v>1</v>
      </c>
      <c r="F87" s="4">
        <v>0</v>
      </c>
      <c r="G87" s="4">
        <v>0</v>
      </c>
      <c r="H87" s="4">
        <v>1</v>
      </c>
      <c r="I87" s="4">
        <v>0</v>
      </c>
      <c r="J87" s="4">
        <v>1</v>
      </c>
      <c r="K87" s="4">
        <v>1</v>
      </c>
      <c r="L87" s="4">
        <v>1</v>
      </c>
      <c r="M87" s="4">
        <v>1</v>
      </c>
      <c r="N87" s="4">
        <v>1</v>
      </c>
      <c r="O87" s="4">
        <v>1</v>
      </c>
      <c r="P87" s="4">
        <v>0</v>
      </c>
      <c r="Q87" s="4">
        <v>1</v>
      </c>
      <c r="R87" s="4">
        <v>1</v>
      </c>
      <c r="S87" s="4">
        <v>0</v>
      </c>
      <c r="T87" s="4">
        <v>1</v>
      </c>
      <c r="U87" s="4">
        <v>1</v>
      </c>
      <c r="V87" s="4">
        <v>1</v>
      </c>
      <c r="W87" s="4">
        <v>0</v>
      </c>
      <c r="X87" s="4">
        <v>20.943563541387256</v>
      </c>
    </row>
    <row r="88" spans="1:24">
      <c r="A88" s="4">
        <v>22</v>
      </c>
      <c r="B88" s="4">
        <v>69</v>
      </c>
      <c r="C88" s="4">
        <v>0</v>
      </c>
      <c r="D88" s="4">
        <v>1</v>
      </c>
      <c r="E88" s="4">
        <v>1</v>
      </c>
      <c r="F88" s="4">
        <v>0</v>
      </c>
      <c r="G88" s="4">
        <v>1</v>
      </c>
      <c r="H88" s="4">
        <v>1</v>
      </c>
      <c r="I88" s="4">
        <v>0</v>
      </c>
      <c r="J88" s="4">
        <v>1</v>
      </c>
      <c r="K88" s="4">
        <v>1</v>
      </c>
      <c r="L88" s="4">
        <v>0</v>
      </c>
      <c r="M88" s="4">
        <v>1</v>
      </c>
      <c r="N88" s="4">
        <v>1</v>
      </c>
      <c r="O88" s="4">
        <v>1</v>
      </c>
      <c r="P88" s="4">
        <v>1</v>
      </c>
      <c r="Q88" s="4">
        <v>0</v>
      </c>
      <c r="R88" s="4">
        <v>0</v>
      </c>
      <c r="S88" s="4">
        <v>0</v>
      </c>
      <c r="T88" s="4">
        <v>0</v>
      </c>
      <c r="U88" s="4">
        <v>0</v>
      </c>
      <c r="V88" s="4">
        <v>1</v>
      </c>
      <c r="W88" s="4">
        <v>0</v>
      </c>
      <c r="X88" s="4">
        <v>20.386347798726387</v>
      </c>
    </row>
    <row r="89" spans="1:24">
      <c r="A89" s="4">
        <v>23</v>
      </c>
      <c r="B89" s="4">
        <v>78</v>
      </c>
      <c r="C89" s="4">
        <v>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1</v>
      </c>
      <c r="J89" s="4">
        <v>1</v>
      </c>
      <c r="K89" s="4">
        <v>1</v>
      </c>
      <c r="L89" s="4">
        <v>0</v>
      </c>
      <c r="M89" s="4">
        <v>0</v>
      </c>
      <c r="N89" s="4">
        <v>0</v>
      </c>
      <c r="O89" s="4">
        <v>1</v>
      </c>
      <c r="P89" s="4">
        <v>0</v>
      </c>
      <c r="Q89" s="4">
        <v>0</v>
      </c>
      <c r="R89" s="4">
        <v>0</v>
      </c>
      <c r="S89" s="4">
        <v>0</v>
      </c>
      <c r="T89" s="4">
        <v>0</v>
      </c>
      <c r="U89" s="4">
        <v>0</v>
      </c>
      <c r="V89" s="4">
        <v>0</v>
      </c>
      <c r="W89" s="4">
        <v>1</v>
      </c>
      <c r="X89" s="4">
        <v>19.593601495182469</v>
      </c>
    </row>
    <row r="90" spans="1:24">
      <c r="A90" s="4">
        <v>24</v>
      </c>
      <c r="B90" s="4">
        <v>60</v>
      </c>
      <c r="C90" s="4">
        <v>1</v>
      </c>
      <c r="D90" s="4">
        <v>1</v>
      </c>
      <c r="E90" s="4">
        <v>0</v>
      </c>
      <c r="F90" s="4">
        <v>1</v>
      </c>
      <c r="G90" s="4">
        <v>1</v>
      </c>
      <c r="H90" s="4">
        <v>0</v>
      </c>
      <c r="I90" s="4">
        <v>1</v>
      </c>
      <c r="J90" s="4">
        <v>0</v>
      </c>
      <c r="K90" s="4">
        <v>1</v>
      </c>
      <c r="L90" s="4">
        <v>0</v>
      </c>
      <c r="M90" s="4">
        <v>0</v>
      </c>
      <c r="N90" s="4">
        <v>1</v>
      </c>
      <c r="O90" s="4">
        <v>0</v>
      </c>
      <c r="P90" s="4">
        <v>0</v>
      </c>
      <c r="Q90" s="4">
        <v>1</v>
      </c>
      <c r="R90" s="4">
        <v>0</v>
      </c>
      <c r="S90" s="4">
        <v>0</v>
      </c>
      <c r="T90" s="4">
        <v>1</v>
      </c>
      <c r="U90" s="4">
        <v>0</v>
      </c>
      <c r="V90" s="4">
        <v>1</v>
      </c>
      <c r="W90" s="4">
        <v>0</v>
      </c>
      <c r="X90" s="4">
        <v>18.660196949199761</v>
      </c>
    </row>
    <row r="91" spans="1:24">
      <c r="A91" s="4">
        <v>25</v>
      </c>
      <c r="B91" s="4">
        <v>28</v>
      </c>
      <c r="C91" s="4">
        <v>1</v>
      </c>
      <c r="D91" s="4">
        <v>0</v>
      </c>
      <c r="E91" s="4">
        <v>0</v>
      </c>
      <c r="F91" s="4">
        <v>1</v>
      </c>
      <c r="G91" s="4">
        <v>1</v>
      </c>
      <c r="H91" s="4">
        <v>0</v>
      </c>
      <c r="I91" s="4">
        <v>0</v>
      </c>
      <c r="J91" s="4">
        <v>0</v>
      </c>
      <c r="K91" s="4">
        <v>0</v>
      </c>
      <c r="L91" s="4">
        <v>1</v>
      </c>
      <c r="M91" s="4">
        <v>0</v>
      </c>
      <c r="N91" s="4">
        <v>0</v>
      </c>
      <c r="O91" s="4">
        <v>1</v>
      </c>
      <c r="P91" s="4">
        <v>0</v>
      </c>
      <c r="Q91" s="4">
        <v>0</v>
      </c>
      <c r="R91" s="4">
        <v>0</v>
      </c>
      <c r="S91" s="4">
        <v>1</v>
      </c>
      <c r="T91" s="4">
        <v>0</v>
      </c>
      <c r="U91" s="4">
        <v>0</v>
      </c>
      <c r="V91" s="4">
        <v>1</v>
      </c>
      <c r="W91" s="4">
        <v>1</v>
      </c>
      <c r="X91" s="4">
        <v>18.575510061175127</v>
      </c>
    </row>
    <row r="92" spans="1:24">
      <c r="A92" s="4">
        <v>26</v>
      </c>
      <c r="B92" s="4">
        <v>19</v>
      </c>
      <c r="C92" s="4">
        <v>0</v>
      </c>
      <c r="D92" s="4">
        <v>1</v>
      </c>
      <c r="E92" s="4">
        <v>1</v>
      </c>
      <c r="F92" s="4">
        <v>0</v>
      </c>
      <c r="G92" s="4">
        <v>0</v>
      </c>
      <c r="H92" s="4">
        <v>1</v>
      </c>
      <c r="I92" s="4">
        <v>0</v>
      </c>
      <c r="J92" s="4">
        <v>1</v>
      </c>
      <c r="K92" s="4">
        <v>0</v>
      </c>
      <c r="L92" s="4">
        <v>0</v>
      </c>
      <c r="M92" s="4">
        <v>0</v>
      </c>
      <c r="N92" s="4">
        <v>1</v>
      </c>
      <c r="O92" s="4">
        <v>0</v>
      </c>
      <c r="P92" s="4">
        <v>0</v>
      </c>
      <c r="Q92" s="4">
        <v>1</v>
      </c>
      <c r="R92" s="4">
        <v>1</v>
      </c>
      <c r="S92" s="4">
        <v>1</v>
      </c>
      <c r="T92" s="4">
        <v>1</v>
      </c>
      <c r="U92" s="4">
        <v>0</v>
      </c>
      <c r="V92" s="4">
        <v>1</v>
      </c>
      <c r="W92" s="4">
        <v>0</v>
      </c>
      <c r="X92" s="4">
        <v>17.378496509763195</v>
      </c>
    </row>
    <row r="93" spans="1:24">
      <c r="A93" s="4">
        <v>27</v>
      </c>
      <c r="B93" s="4">
        <v>65</v>
      </c>
      <c r="C93" s="4">
        <v>0</v>
      </c>
      <c r="D93" s="4">
        <v>0</v>
      </c>
      <c r="E93" s="4">
        <v>1</v>
      </c>
      <c r="F93" s="4">
        <v>0</v>
      </c>
      <c r="G93" s="4">
        <v>1</v>
      </c>
      <c r="H93" s="4">
        <v>1</v>
      </c>
      <c r="I93" s="4">
        <v>0</v>
      </c>
      <c r="J93" s="4">
        <v>0</v>
      </c>
      <c r="K93" s="4">
        <v>0</v>
      </c>
      <c r="L93" s="4">
        <v>1</v>
      </c>
      <c r="M93" s="4">
        <v>0</v>
      </c>
      <c r="N93" s="4">
        <v>0</v>
      </c>
      <c r="O93" s="4">
        <v>1</v>
      </c>
      <c r="P93" s="4">
        <v>0</v>
      </c>
      <c r="Q93" s="4">
        <v>1</v>
      </c>
      <c r="R93" s="4">
        <v>1</v>
      </c>
      <c r="S93" s="4">
        <v>1</v>
      </c>
      <c r="T93" s="4">
        <v>1</v>
      </c>
      <c r="U93" s="4">
        <v>1</v>
      </c>
      <c r="V93" s="4">
        <v>1</v>
      </c>
      <c r="W93" s="4">
        <v>0</v>
      </c>
      <c r="X93" s="4">
        <v>21.705821167633538</v>
      </c>
    </row>
    <row r="94" spans="1:24">
      <c r="A94" s="4">
        <v>28</v>
      </c>
      <c r="B94" s="4">
        <v>42</v>
      </c>
      <c r="C94" s="4">
        <v>1</v>
      </c>
      <c r="D94" s="4">
        <v>0</v>
      </c>
      <c r="E94" s="4">
        <v>0</v>
      </c>
      <c r="F94" s="4">
        <v>1</v>
      </c>
      <c r="G94" s="4">
        <v>0</v>
      </c>
      <c r="H94" s="4">
        <v>1</v>
      </c>
      <c r="I94" s="4">
        <v>0</v>
      </c>
      <c r="J94" s="4">
        <v>0</v>
      </c>
      <c r="K94" s="4">
        <v>1</v>
      </c>
      <c r="L94" s="4">
        <v>1</v>
      </c>
      <c r="M94" s="4">
        <v>1</v>
      </c>
      <c r="N94" s="4">
        <v>0</v>
      </c>
      <c r="O94" s="4">
        <v>0</v>
      </c>
      <c r="P94" s="4">
        <v>1</v>
      </c>
      <c r="Q94" s="4">
        <v>1</v>
      </c>
      <c r="R94" s="4">
        <v>0</v>
      </c>
      <c r="S94" s="4">
        <v>1</v>
      </c>
      <c r="T94" s="4">
        <v>1</v>
      </c>
      <c r="U94" s="4">
        <v>0</v>
      </c>
      <c r="V94" s="4">
        <v>0</v>
      </c>
      <c r="W94" s="4">
        <v>1</v>
      </c>
      <c r="X94" s="4">
        <v>22.412095485905343</v>
      </c>
    </row>
    <row r="95" spans="1:24">
      <c r="A95" s="4">
        <v>29</v>
      </c>
      <c r="B95" s="4">
        <v>76</v>
      </c>
      <c r="C95" s="4">
        <v>1</v>
      </c>
      <c r="D95" s="4">
        <v>0</v>
      </c>
      <c r="E95" s="4">
        <v>0</v>
      </c>
      <c r="F95" s="4">
        <v>1</v>
      </c>
      <c r="G95" s="4">
        <v>0</v>
      </c>
      <c r="H95" s="4">
        <v>0</v>
      </c>
      <c r="I95" s="4">
        <v>0</v>
      </c>
      <c r="J95" s="4">
        <v>0</v>
      </c>
      <c r="K95" s="4">
        <v>1</v>
      </c>
      <c r="L95" s="4">
        <v>0</v>
      </c>
      <c r="M95" s="4">
        <v>0</v>
      </c>
      <c r="N95" s="4">
        <v>0</v>
      </c>
      <c r="O95" s="4">
        <v>1</v>
      </c>
      <c r="P95" s="4">
        <v>0</v>
      </c>
      <c r="Q95" s="4">
        <v>0</v>
      </c>
      <c r="R95" s="4">
        <v>0</v>
      </c>
      <c r="S95" s="4">
        <v>1</v>
      </c>
      <c r="T95" s="4">
        <v>0</v>
      </c>
      <c r="U95" s="4">
        <v>1</v>
      </c>
      <c r="V95" s="4">
        <v>1</v>
      </c>
      <c r="W95" s="4">
        <v>1</v>
      </c>
      <c r="X95" s="4">
        <v>20.265089128929738</v>
      </c>
    </row>
    <row r="96" spans="1:24">
      <c r="A96" s="4">
        <v>30</v>
      </c>
      <c r="B96" s="4">
        <v>19</v>
      </c>
      <c r="C96" s="4">
        <v>1</v>
      </c>
      <c r="D96" s="4">
        <v>0</v>
      </c>
      <c r="E96" s="4">
        <v>0</v>
      </c>
      <c r="F96" s="4">
        <v>1</v>
      </c>
      <c r="G96" s="4">
        <v>0</v>
      </c>
      <c r="H96" s="4">
        <v>1</v>
      </c>
      <c r="I96" s="4">
        <v>0</v>
      </c>
      <c r="J96" s="4">
        <v>1</v>
      </c>
      <c r="K96" s="4">
        <v>0</v>
      </c>
      <c r="L96" s="4">
        <v>1</v>
      </c>
      <c r="M96" s="4">
        <v>0</v>
      </c>
      <c r="N96" s="4">
        <v>0</v>
      </c>
      <c r="O96" s="4">
        <v>0</v>
      </c>
      <c r="P96" s="4">
        <v>0</v>
      </c>
      <c r="Q96" s="4">
        <v>0</v>
      </c>
      <c r="R96" s="4">
        <v>0</v>
      </c>
      <c r="S96" s="4">
        <v>1</v>
      </c>
      <c r="T96" s="4">
        <v>1</v>
      </c>
      <c r="U96" s="4">
        <v>0</v>
      </c>
      <c r="V96" s="4">
        <v>1</v>
      </c>
      <c r="W96" s="4">
        <v>1</v>
      </c>
      <c r="X96" s="4">
        <v>19.310110053739994</v>
      </c>
    </row>
    <row r="98" spans="1:2">
      <c r="A98" t="s">
        <v>29</v>
      </c>
      <c r="B98">
        <f>1-SUMXMY2('Coeficiente de Acerto'!$X$2:$X$31,'Coeficiente de Acerto'!$X$67:$X$96)/SUMXMY2('Coeficiente de Acerto'!$X$2:$X$31,'Coeficiente de Acerto'!$A$34:$A$63)</f>
        <v>0.6896695443280898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Execultar</vt:lpstr>
      <vt:lpstr>Formulário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well</dc:creator>
  <cp:lastModifiedBy>Igor Jasenovski</cp:lastModifiedBy>
  <dcterms:created xsi:type="dcterms:W3CDTF">2018-06-07T22:21:14Z</dcterms:created>
  <dcterms:modified xsi:type="dcterms:W3CDTF">2021-04-27T15:57:59Z</dcterms:modified>
</cp:coreProperties>
</file>