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CEP\RBF\"/>
    </mc:Choice>
  </mc:AlternateContent>
  <xr:revisionPtr revIDLastSave="0" documentId="13_ncr:1_{66F53723-B20C-4DEF-9873-60CB3414C0D7}" xr6:coauthVersionLast="47" xr6:coauthVersionMax="47" xr10:uidLastSave="{00000000-0000-0000-0000-000000000000}"/>
  <bookViews>
    <workbookView xWindow="-110" yWindow="-110" windowWidth="19420" windowHeight="10080" tabRatio="886" firstSheet="4" activeTab="9" xr2:uid="{00000000-000D-0000-FFFF-FFFF00000000}"/>
  </bookViews>
  <sheets>
    <sheet name="Executar" sheetId="1" r:id="rId1"/>
    <sheet name="Tabela Entrada-Saída" sheetId="2" r:id="rId2"/>
    <sheet name="Coordenadas dos Polos" sheetId="3" r:id="rId3"/>
    <sheet name="Cálculos Diversos" sheetId="4" r:id="rId4"/>
    <sheet name="Matrix (R)" sheetId="5" r:id="rId5"/>
    <sheet name="Matrix (R)^t" sheetId="6" r:id="rId6"/>
    <sheet name="Matrix (R)^t.(R)" sheetId="7" r:id="rId7"/>
    <sheet name="Matrix ((R)^t.(R))^(-1)" sheetId="8" r:id="rId8"/>
    <sheet name="Matrix (((R)^t.(R))^(-1)).(R)^t" sheetId="9" r:id="rId9"/>
    <sheet name="Solução" sheetId="10" r:id="rId10"/>
    <sheet name="Formulário" sheetId="11" r:id="rId11"/>
    <sheet name="Coeficiente de Acerto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12" l="1"/>
  <c r="B4" i="11" s="1"/>
  <c r="A7" i="12" a="1"/>
  <c r="A7" i="12" s="1"/>
  <c r="B3" i="4"/>
  <c r="B5" i="4" s="1"/>
  <c r="F4" i="3"/>
  <c r="D4" i="3"/>
  <c r="F3" i="3"/>
  <c r="D3" i="3"/>
  <c r="B2" i="5" l="1"/>
  <c r="B4" i="5"/>
  <c r="B3" i="5"/>
  <c r="C4" i="5"/>
  <c r="C3" i="10"/>
  <c r="C2" i="5"/>
  <c r="C4" i="10"/>
  <c r="C3" i="5"/>
  <c r="A9" i="12"/>
  <c r="A8" i="12"/>
  <c r="A2" i="6" l="1" a="1"/>
  <c r="A4" i="6" l="1"/>
  <c r="B4" i="6"/>
  <c r="C2" i="6"/>
  <c r="A2" i="6"/>
  <c r="C4" i="6"/>
  <c r="B2" i="6"/>
  <c r="B3" i="6"/>
  <c r="C3" i="6"/>
  <c r="A3" i="6"/>
  <c r="A2" i="7" l="1" a="1"/>
  <c r="A2" i="7" l="1"/>
  <c r="C4" i="7"/>
  <c r="B2" i="7"/>
  <c r="B3" i="7"/>
  <c r="C2" i="7"/>
  <c r="A3" i="7"/>
  <c r="A4" i="7"/>
  <c r="B4" i="7"/>
  <c r="C3" i="7"/>
  <c r="A2" i="8" l="1" a="1"/>
  <c r="C2" i="8" l="1"/>
  <c r="A3" i="8"/>
  <c r="A4" i="8"/>
  <c r="C4" i="8"/>
  <c r="B3" i="8"/>
  <c r="C3" i="8"/>
  <c r="A2" i="8"/>
  <c r="A2" i="9" s="1" a="1"/>
  <c r="B2" i="8"/>
  <c r="B4" i="8"/>
  <c r="B3" i="9" l="1"/>
  <c r="B2" i="9"/>
  <c r="C3" i="9"/>
  <c r="A2" i="9"/>
  <c r="C4" i="9"/>
  <c r="C2" i="9"/>
  <c r="A4" i="9"/>
  <c r="B4" i="9"/>
  <c r="A3" i="9"/>
  <c r="B3" i="10" l="1" a="1"/>
  <c r="B3" i="10" l="1"/>
  <c r="B4" i="10"/>
  <c r="B5" i="10"/>
  <c r="B3" i="11" l="1"/>
</calcChain>
</file>

<file path=xl/sharedStrings.xml><?xml version="1.0" encoding="utf-8"?>
<sst xmlns="http://schemas.openxmlformats.org/spreadsheetml/2006/main" count="39" uniqueCount="26">
  <si>
    <t>C(1)</t>
  </si>
  <si>
    <t>C(2)</t>
  </si>
  <si>
    <t>Número de Polos (P)</t>
  </si>
  <si>
    <t>Distância Máxima Entre os Polos</t>
  </si>
  <si>
    <t>Sigma ao 2</t>
  </si>
  <si>
    <t>Licões (l)</t>
  </si>
  <si>
    <t>Matrix de Base Radial [R]</t>
  </si>
  <si>
    <t>Matrix [R]^t</t>
  </si>
  <si>
    <t>Matrix [R]^t.[R]</t>
  </si>
  <si>
    <t>Matrix ([R]^t.[R])^(-1)</t>
  </si>
  <si>
    <t>Matrix (((R)^t.(R))^(-1)).(R)^t</t>
  </si>
  <si>
    <t>Solução</t>
  </si>
  <si>
    <t>Descrição</t>
  </si>
  <si>
    <t>([VS]=(1/[R]).[a]</t>
  </si>
  <si>
    <t>Função de Base Radial</t>
  </si>
  <si>
    <t>VS(1)</t>
  </si>
  <si>
    <t>VS(2)</t>
  </si>
  <si>
    <t>b</t>
  </si>
  <si>
    <t>Coeficiente de Acerto (R^2)</t>
  </si>
  <si>
    <t>Média</t>
  </si>
  <si>
    <t>Tabela Teórica</t>
  </si>
  <si>
    <t>R^2</t>
  </si>
  <si>
    <t>Lições</t>
  </si>
  <si>
    <t>x(1)</t>
  </si>
  <si>
    <t>x(2)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</si>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</sst>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5" fillId="2" borderId="3" applyNumberFormat="0" applyAlignment="0" applyProtection="0"/>
  </cellStyleXfs>
  <cellXfs count="6">
    <xf numFmtId="0" fontId="0" fillId="0" borderId="0" xfId="0"/>
    <xf numFmtId="164" fontId="1" fillId="2" borderId="1" xfId="1" applyNumberFormat="1" applyProtection="1">
      <protection hidden="1"/>
    </xf>
    <xf numFmtId="0" fontId="3" fillId="3" borderId="2" xfId="2" applyFont="1" applyProtection="1">
      <protection hidden="1"/>
    </xf>
    <xf numFmtId="0" fontId="5" fillId="2" borderId="3" xfId="3" applyProtection="1">
      <protection locked="0" hidden="1"/>
    </xf>
    <xf numFmtId="0" fontId="0" fillId="0" borderId="0" xfId="0"/>
    <xf numFmtId="0" fontId="0" fillId="0" borderId="0" xfId="0"/>
  </cellXfs>
  <cellStyles count="4">
    <cellStyle name="Cálculo" xfId="1" builtinId="22"/>
    <cellStyle name="Célula de Verificação" xfId="2" builtinId="23"/>
    <cellStyle name="Normal" xfId="0" builtinId="0"/>
    <cellStyle name="Saída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95250</xdr:rowOff>
        </xdr:from>
        <xdr:to>
          <xdr:col>4</xdr:col>
          <xdr:colOff>228600</xdr:colOff>
          <xdr:row>8</xdr:row>
          <xdr:rowOff>31750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workbookViewId="0"/>
  </sheetViews>
  <sheetFormatPr defaultRowHeight="14.5" x14ac:dyDescent="0.3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">
                <anchor moveWithCells="1" sizeWithCells="1">
                  <from>
                    <xdr:col>1</xdr:col>
                    <xdr:colOff>0</xdr:colOff>
                    <xdr:row>2</xdr:row>
                    <xdr:rowOff>95250</xdr:rowOff>
                  </from>
                  <to>
                    <xdr:col>4</xdr:col>
                    <xdr:colOff>228600</xdr:colOff>
                    <xdr:row>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D4"/>
  <sheetViews>
    <sheetView workbookViewId="0">
      <selection sqref="A1:D4"/>
    </sheetView>
  </sheetViews>
  <sheetFormatPr defaultRowHeight="14.5" x14ac:dyDescent="0.35"/>
  <cols>
    <col min="1" max="1" width="10.08984375" bestFit="1" customWidth="1"/>
    <col min="2" max="201" width="12.453125" bestFit="1" customWidth="1"/>
  </cols>
  <sheetData>
    <row r="1" spans="1:4" x14ac:dyDescent="0.35">
      <c r="A1" t="s">
        <v>22</v>
      </c>
      <c r="B1" t="s">
        <v>23</v>
      </c>
      <c r="C1" t="s">
        <v>24</v>
      </c>
      <c r="D1" t="s">
        <v>25</v>
      </c>
    </row>
    <row r="2" spans="1:4" x14ac:dyDescent="0.35">
      <c r="A2">
        <v>1</v>
      </c>
      <c r="B2">
        <v>1</v>
      </c>
      <c r="C2">
        <v>1</v>
      </c>
      <c r="D2">
        <v>0</v>
      </c>
    </row>
    <row r="3" spans="1:4" x14ac:dyDescent="0.35">
      <c r="A3">
        <v>2</v>
      </c>
      <c r="B3">
        <v>3</v>
      </c>
      <c r="C3">
        <v>3</v>
      </c>
      <c r="D3">
        <v>1</v>
      </c>
    </row>
    <row r="4" spans="1:4" x14ac:dyDescent="0.35">
      <c r="A4">
        <v>3</v>
      </c>
      <c r="B4">
        <v>6</v>
      </c>
      <c r="C4">
        <v>6</v>
      </c>
      <c r="D4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G4"/>
  <sheetViews>
    <sheetView zoomScale="70" zoomScaleNormal="70" workbookViewId="0">
      <selection activeCell="D3" sqref="D3:G4"/>
    </sheetView>
  </sheetViews>
  <sheetFormatPr defaultRowHeight="14.5" x14ac:dyDescent="0.35"/>
  <sheetData>
    <row r="1" spans="1:7" x14ac:dyDescent="0.35">
      <c r="D1" s="5" t="s">
        <v>0</v>
      </c>
      <c r="E1" s="5"/>
      <c r="F1" s="5" t="s">
        <v>1</v>
      </c>
      <c r="G1" s="5"/>
    </row>
    <row r="2" spans="1:7" x14ac:dyDescent="0.35">
      <c r="D2">
        <v>0</v>
      </c>
      <c r="E2">
        <v>0</v>
      </c>
      <c r="F2">
        <v>4.527737557888031</v>
      </c>
      <c r="G2">
        <v>3.667120099067688</v>
      </c>
    </row>
    <row r="3" spans="1:7" x14ac:dyDescent="0.35">
      <c r="A3" t="s">
        <v>0</v>
      </c>
      <c r="B3">
        <v>0</v>
      </c>
      <c r="C3">
        <v>0</v>
      </c>
      <c r="D3" s="5">
        <f>SQRT(SUMXMY2('Coordenadas dos Polos'!$B$3:$C$3,'Coordenadas dos Polos'!$D$2:$E$2))</f>
        <v>0</v>
      </c>
      <c r="E3" s="5"/>
      <c r="F3" s="5">
        <f>SQRT(SUMXMY2('Coordenadas dos Polos'!$B$3:$C$3,'Coordenadas dos Polos'!$F$2:$G$2))</f>
        <v>5.8265064330262328</v>
      </c>
      <c r="G3" s="5"/>
    </row>
    <row r="4" spans="1:7" x14ac:dyDescent="0.35">
      <c r="A4" t="s">
        <v>1</v>
      </c>
      <c r="B4">
        <v>4.527737557888031</v>
      </c>
      <c r="C4">
        <v>3.667120099067688</v>
      </c>
      <c r="D4" s="5">
        <f>SQRT(SUMXMY2('Coordenadas dos Polos'!$B$4:$C$4,'Coordenadas dos Polos'!$D$2:$E$2))</f>
        <v>5.8265064330262328</v>
      </c>
      <c r="E4" s="5"/>
      <c r="F4" s="5">
        <f>SQRT(SUMXMY2('Coordenadas dos Polos'!$B$4:$C$4,'Coordenadas dos Polos'!$F$2:$G$2))</f>
        <v>0</v>
      </c>
      <c r="G4" s="5"/>
    </row>
  </sheetData>
  <mergeCells count="6">
    <mergeCell ref="D1:E1"/>
    <mergeCell ref="F1:G1"/>
    <mergeCell ref="D3:E3"/>
    <mergeCell ref="F3:G3"/>
    <mergeCell ref="D4:E4"/>
    <mergeCell ref="F4:G4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B5"/>
  <sheetViews>
    <sheetView workbookViewId="0">
      <selection activeCell="B5" sqref="B5"/>
    </sheetView>
  </sheetViews>
  <sheetFormatPr defaultRowHeight="14.5" x14ac:dyDescent="0.35"/>
  <sheetData>
    <row r="1" spans="1:2" x14ac:dyDescent="0.35">
      <c r="A1" t="s">
        <v>2</v>
      </c>
      <c r="B1">
        <v>2</v>
      </c>
    </row>
    <row r="3" spans="1:2" x14ac:dyDescent="0.35">
      <c r="A3" t="s">
        <v>3</v>
      </c>
      <c r="B3">
        <f>MAX('Coordenadas dos Polos'!$D$3:$G$4)</f>
        <v>5.8265064330262328</v>
      </c>
    </row>
    <row r="5" spans="1:2" x14ac:dyDescent="0.35">
      <c r="A5" t="s">
        <v>4</v>
      </c>
      <c r="B5">
        <f>('Cálculos Diversos'!$B$3/SQRT(2*'Cálculos Diversos'!$B$1))^2</f>
        <v>8.4870443035240193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D4"/>
  <sheetViews>
    <sheetView zoomScale="145" zoomScaleNormal="145" workbookViewId="0">
      <selection activeCell="B2" sqref="B2:D4"/>
    </sheetView>
  </sheetViews>
  <sheetFormatPr defaultRowHeight="14.5" x14ac:dyDescent="0.35"/>
  <cols>
    <col min="2" max="2" width="23.26953125" bestFit="1" customWidth="1"/>
    <col min="3" max="3" width="89.81640625" bestFit="1" customWidth="1"/>
  </cols>
  <sheetData>
    <row r="1" spans="1:4" x14ac:dyDescent="0.35">
      <c r="A1" t="s">
        <v>5</v>
      </c>
      <c r="B1" t="s">
        <v>6</v>
      </c>
    </row>
    <row r="2" spans="1:4" x14ac:dyDescent="0.35">
      <c r="A2">
        <v>1</v>
      </c>
      <c r="B2">
        <f>EXP(((-1)/(2*'Cálculos Diversos'!$B$5))*(SQRT(SUMXMY2('Tabela Entrada-Saída'!$B$2:$C$2,'Coordenadas dos Polos'!$D$2:$E$2)))^2)</f>
        <v>0.8888501212912322</v>
      </c>
      <c r="C2">
        <f>EXP(((-1)/(2*'Cálculos Diversos'!$B$5))*(SQRT(SUMXMY2('Tabela Entrada-Saída'!$B$2:$C$2,'Coordenadas dos Polos'!$F$2:$G$2)))^2)</f>
        <v>0.31592386627276614</v>
      </c>
      <c r="D2">
        <v>1</v>
      </c>
    </row>
    <row r="3" spans="1:4" x14ac:dyDescent="0.35">
      <c r="A3">
        <v>2</v>
      </c>
      <c r="B3">
        <f>EXP(((-1)/(2*'Cálculos Diversos'!$B$5))*(SQRT(SUMXMY2('Tabela Entrada-Saída'!$B$3:$C$3,'Coordenadas dos Polos'!$D$2:$E$2)))^2)</f>
        <v>0.34630345476841873</v>
      </c>
      <c r="C3">
        <f>EXP(((-1)/(2*'Cálculos Diversos'!$B$5))*(SQRT(SUMXMY2('Tabela Entrada-Saída'!$B$3:$C$3,'Coordenadas dos Polos'!$F$2:$G$2)))^2)</f>
        <v>0.84897802809794121</v>
      </c>
      <c r="D3">
        <v>1</v>
      </c>
    </row>
    <row r="4" spans="1:4" x14ac:dyDescent="0.35">
      <c r="A4">
        <v>3</v>
      </c>
      <c r="B4">
        <f>EXP(((-1)/(2*'Cálculos Diversos'!$B$5))*(SQRT(SUMXMY2('Tabela Entrada-Saída'!$B$4:$C$4,'Coordenadas dos Polos'!$D$2:$E$2)))^2)</f>
        <v>1.4382265332044879E-2</v>
      </c>
      <c r="C4">
        <f>EXP(((-1)/(2*'Cálculos Diversos'!$B$5))*(SQRT(SUMXMY2('Tabela Entrada-Saída'!$B$4:$C$4,'Coordenadas dos Polos'!$F$2:$G$2)))^2)</f>
        <v>0.63869793708499667</v>
      </c>
      <c r="D4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C4"/>
  <sheetViews>
    <sheetView workbookViewId="0">
      <selection activeCell="A2" sqref="A2:C4"/>
    </sheetView>
  </sheetViews>
  <sheetFormatPr defaultRowHeight="14.5" x14ac:dyDescent="0.35"/>
  <sheetData>
    <row r="1" spans="1:3" x14ac:dyDescent="0.35">
      <c r="A1" t="s">
        <v>7</v>
      </c>
    </row>
    <row r="2" spans="1:3" x14ac:dyDescent="0.35">
      <c r="A2">
        <f t="array" ref="A2:C4">TRANSPOSE('Matrix (R)'!$B$2:$D$4)</f>
        <v>0.8888501212912322</v>
      </c>
      <c r="B2">
        <v>0.34630345476841873</v>
      </c>
      <c r="C2">
        <v>1.4382265332044879E-2</v>
      </c>
    </row>
    <row r="3" spans="1:3" x14ac:dyDescent="0.35">
      <c r="A3">
        <v>0.31592386627276614</v>
      </c>
      <c r="B3">
        <v>0.84897802809794121</v>
      </c>
      <c r="C3">
        <v>0.63869793708499667</v>
      </c>
    </row>
    <row r="4" spans="1:3" x14ac:dyDescent="0.35">
      <c r="A4">
        <v>1</v>
      </c>
      <c r="B4">
        <v>1</v>
      </c>
      <c r="C4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1:C4"/>
  <sheetViews>
    <sheetView workbookViewId="0">
      <selection activeCell="A2" sqref="A2:C4"/>
    </sheetView>
  </sheetViews>
  <sheetFormatPr defaultRowHeight="14.5" x14ac:dyDescent="0.35"/>
  <sheetData>
    <row r="1" spans="1:3" x14ac:dyDescent="0.35">
      <c r="A1" t="s">
        <v>8</v>
      </c>
    </row>
    <row r="2" spans="1:3" x14ac:dyDescent="0.35">
      <c r="A2">
        <f t="array" ref="A2:C4">MMULT('Matrix (R)^t'!$A$2:$C$4,'Matrix (R)'!$B$2:$D$4)</f>
        <v>0.91018747046006165</v>
      </c>
      <c r="B2">
        <v>0.58399891420632599</v>
      </c>
      <c r="C2">
        <v>1.2495358413916959</v>
      </c>
    </row>
    <row r="3" spans="1:3" x14ac:dyDescent="0.35">
      <c r="A3">
        <v>0.58399891420632599</v>
      </c>
      <c r="B3">
        <v>1.2285066363104316</v>
      </c>
      <c r="C3">
        <v>1.803599831455704</v>
      </c>
    </row>
    <row r="4" spans="1:3" x14ac:dyDescent="0.35">
      <c r="A4">
        <v>1.2495358413916959</v>
      </c>
      <c r="B4">
        <v>1.803599831455704</v>
      </c>
      <c r="C4">
        <v>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1:C4"/>
  <sheetViews>
    <sheetView workbookViewId="0">
      <selection activeCell="A2" sqref="A2:C4"/>
    </sheetView>
  </sheetViews>
  <sheetFormatPr defaultRowHeight="14.5" x14ac:dyDescent="0.35"/>
  <sheetData>
    <row r="1" spans="1:3" x14ac:dyDescent="0.35">
      <c r="A1" t="s">
        <v>9</v>
      </c>
    </row>
    <row r="2" spans="1:3" x14ac:dyDescent="0.35">
      <c r="A2">
        <f t="array" ref="A2:C4">MINVERSE('Matrix (R)^t.(R)'!$A$2:$C$4)</f>
        <v>5.1073070659501276</v>
      </c>
      <c r="B2">
        <v>5.9234220733528211</v>
      </c>
      <c r="C2">
        <v>-5.6884154283459596</v>
      </c>
    </row>
    <row r="3" spans="1:3" x14ac:dyDescent="0.35">
      <c r="A3">
        <v>5.923422073352822</v>
      </c>
      <c r="B3">
        <v>13.805600593069075</v>
      </c>
      <c r="C3">
        <v>-10.767102362383072</v>
      </c>
    </row>
    <row r="4" spans="1:3" x14ac:dyDescent="0.35">
      <c r="A4">
        <v>-5.6884154283459649</v>
      </c>
      <c r="B4">
        <v>-10.767102362383071</v>
      </c>
      <c r="C4">
        <v>9.1758076548347329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C4"/>
  <sheetViews>
    <sheetView workbookViewId="0">
      <selection activeCell="A2" sqref="A2:C4"/>
    </sheetView>
  </sheetViews>
  <sheetFormatPr defaultRowHeight="14.5" x14ac:dyDescent="0.35"/>
  <sheetData>
    <row r="1" spans="1:3" x14ac:dyDescent="0.35">
      <c r="A1" t="s">
        <v>10</v>
      </c>
    </row>
    <row r="2" spans="1:3" x14ac:dyDescent="0.35">
      <c r="A2">
        <f t="array" ref="A2:C4">MMULT('Matrix ((R)^t.(R))^(-1)'!$A$2:$C$4,'Matrix (R)^t'!$A$2:$C$4)</f>
        <v>0.72256547967444629</v>
      </c>
      <c r="B2">
        <v>1.1091178445826229</v>
      </c>
      <c r="C2">
        <v>-1.8316833242570563</v>
      </c>
    </row>
    <row r="3" spans="1:3" x14ac:dyDescent="0.35">
      <c r="A3">
        <v>-1.1405492184442796</v>
      </c>
      <c r="B3">
        <v>3.0048507338820709</v>
      </c>
      <c r="C3">
        <v>-1.8643015154377967</v>
      </c>
    </row>
    <row r="4" spans="1:3" x14ac:dyDescent="0.35">
      <c r="A4">
        <v>0.71807430451581133</v>
      </c>
      <c r="B4">
        <v>-1.9351435921041134</v>
      </c>
      <c r="C4">
        <v>2.217069287588302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C5"/>
  <sheetViews>
    <sheetView tabSelected="1" zoomScale="310" zoomScaleNormal="310" workbookViewId="0"/>
  </sheetViews>
  <sheetFormatPr defaultRowHeight="14.5" x14ac:dyDescent="0.35"/>
  <cols>
    <col min="2" max="2" width="14.08984375" bestFit="1" customWidth="1"/>
    <col min="3" max="3" width="19.453125" bestFit="1" customWidth="1"/>
  </cols>
  <sheetData>
    <row r="1" spans="1:3" x14ac:dyDescent="0.35">
      <c r="A1" t="s">
        <v>11</v>
      </c>
    </row>
    <row r="2" spans="1:3" x14ac:dyDescent="0.35">
      <c r="A2" t="s">
        <v>12</v>
      </c>
      <c r="B2" t="s">
        <v>13</v>
      </c>
      <c r="C2" t="s">
        <v>14</v>
      </c>
    </row>
    <row r="3" spans="1:3" x14ac:dyDescent="0.35">
      <c r="A3" t="s">
        <v>15</v>
      </c>
      <c r="B3">
        <f t="array" ref="B3:B5">MMULT('Matrix (((R)^t.(R))^(-1)).(R)^t'!$A$2:$C$4,'Tabela Entrada-Saída'!$D$2:$D$4)</f>
        <v>-0.72256547967443341</v>
      </c>
      <c r="C3" t="e">
        <f>EXP(((-1)/(2*'Cálculos Diversos'!$B$5))*(SQRT(SUMXMY2(Formulário!$B$1:$B$2,'Coordenadas dos Polos'!$D$2:$E$2)))^2)</f>
        <v>#DIV/0!</v>
      </c>
    </row>
    <row r="4" spans="1:3" x14ac:dyDescent="0.35">
      <c r="A4" t="s">
        <v>16</v>
      </c>
      <c r="B4">
        <v>1.1405492184442743</v>
      </c>
      <c r="C4" t="e">
        <f>EXP(((-1)/(2*'Cálculos Diversos'!$B$5))*(SQRT(SUMXMY2(Formulário!$B$1:$B$2,'Coordenadas dos Polos'!$F$2:$G$2)))^2)</f>
        <v>#DIV/0!</v>
      </c>
    </row>
    <row r="5" spans="1:3" x14ac:dyDescent="0.35">
      <c r="A5" t="s">
        <v>17</v>
      </c>
      <c r="B5">
        <v>0.28192569548418867</v>
      </c>
      <c r="C5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1"/>
  <dimension ref="A1:B5"/>
  <sheetViews>
    <sheetView zoomScale="323" zoomScaleNormal="323" workbookViewId="0">
      <selection activeCell="B1" sqref="B1"/>
    </sheetView>
  </sheetViews>
  <sheetFormatPr defaultRowHeight="14.5" x14ac:dyDescent="0.35"/>
  <cols>
    <col min="1" max="1" width="23.81640625" bestFit="1" customWidth="1"/>
    <col min="2" max="2" width="25.6328125" customWidth="1"/>
  </cols>
  <sheetData>
    <row r="1" spans="1:2" ht="15.5" thickTop="1" thickBot="1" x14ac:dyDescent="0.4">
      <c r="A1" s="2" t="s">
        <v>23</v>
      </c>
      <c r="B1" s="3"/>
    </row>
    <row r="2" spans="1:2" ht="15.5" thickTop="1" thickBot="1" x14ac:dyDescent="0.4">
      <c r="A2" s="2" t="s">
        <v>24</v>
      </c>
      <c r="B2" s="3"/>
    </row>
    <row r="3" spans="1:2" ht="15.5" thickTop="1" thickBot="1" x14ac:dyDescent="0.4">
      <c r="A3" s="2" t="s">
        <v>25</v>
      </c>
      <c r="B3" s="1" t="str">
        <f>IFERROR(SUMPRODUCT(Solução!$B$3:$B$5,Solução!$C$3:$C$5),"")</f>
        <v/>
      </c>
    </row>
    <row r="4" spans="1:2" ht="15.5" thickTop="1" thickBot="1" x14ac:dyDescent="0.4">
      <c r="A4" s="2" t="s">
        <v>18</v>
      </c>
      <c r="B4" s="1">
        <f>'Coeficiente de Acerto'!$B$17</f>
        <v>1</v>
      </c>
    </row>
    <row r="5" spans="1:2" ht="15" thickTop="1" x14ac:dyDescent="0.35"/>
  </sheetData>
  <sheetProtection algorithmName="SHA-512" hashValue="LsAoeD+8784jGZxHNNnXhVNvcSTUxXwWrFZqGWopx7OOvqZkVBto9a4v15roXtShUuvW3FBBZP/dbu675exlNg==" saltValue="vexoTLSIrwxUeZFz71oCZg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2"/>
  <dimension ref="A1:D17"/>
  <sheetViews>
    <sheetView zoomScale="85" zoomScaleNormal="85" workbookViewId="0">
      <selection activeCell="B17" sqref="B17"/>
    </sheetView>
  </sheetViews>
  <sheetFormatPr defaultRowHeight="14.5" x14ac:dyDescent="0.35"/>
  <sheetData>
    <row r="1" spans="1:4" x14ac:dyDescent="0.35">
      <c r="A1" s="4" t="s">
        <v>22</v>
      </c>
      <c r="B1" s="4" t="s">
        <v>23</v>
      </c>
      <c r="C1" s="4" t="s">
        <v>24</v>
      </c>
      <c r="D1" s="4" t="s">
        <v>25</v>
      </c>
    </row>
    <row r="2" spans="1:4" x14ac:dyDescent="0.35">
      <c r="A2" s="4">
        <v>1</v>
      </c>
      <c r="B2" s="4">
        <v>1</v>
      </c>
      <c r="C2" s="4">
        <v>1</v>
      </c>
      <c r="D2" s="4">
        <v>0</v>
      </c>
    </row>
    <row r="3" spans="1:4" x14ac:dyDescent="0.35">
      <c r="A3" s="4">
        <v>2</v>
      </c>
      <c r="B3" s="4">
        <v>3</v>
      </c>
      <c r="C3" s="4">
        <v>3</v>
      </c>
      <c r="D3" s="4">
        <v>1</v>
      </c>
    </row>
    <row r="4" spans="1:4" x14ac:dyDescent="0.35">
      <c r="A4" s="4">
        <v>3</v>
      </c>
      <c r="B4" s="4">
        <v>6</v>
      </c>
      <c r="C4" s="4">
        <v>6</v>
      </c>
      <c r="D4" s="4">
        <v>1</v>
      </c>
    </row>
    <row r="6" spans="1:4" x14ac:dyDescent="0.35">
      <c r="A6" t="s">
        <v>19</v>
      </c>
    </row>
    <row r="7" spans="1:4" x14ac:dyDescent="0.35">
      <c r="A7">
        <f t="array" ref="A7:A9">AVERAGE('Tabela Entrada-Saída'!$D$2:$D$4)</f>
        <v>0.66666666666666663</v>
      </c>
    </row>
    <row r="8" spans="1:4" x14ac:dyDescent="0.35">
      <c r="A8">
        <v>0.66666666666666663</v>
      </c>
    </row>
    <row r="9" spans="1:4" x14ac:dyDescent="0.35">
      <c r="A9">
        <v>0.66666666666666663</v>
      </c>
    </row>
    <row r="11" spans="1:4" x14ac:dyDescent="0.35">
      <c r="A11" t="s">
        <v>20</v>
      </c>
    </row>
    <row r="12" spans="1:4" x14ac:dyDescent="0.35">
      <c r="A12" s="4" t="s">
        <v>22</v>
      </c>
      <c r="B12" s="4" t="s">
        <v>23</v>
      </c>
      <c r="C12" s="4" t="s">
        <v>24</v>
      </c>
      <c r="D12" s="4" t="s">
        <v>25</v>
      </c>
    </row>
    <row r="13" spans="1:4" x14ac:dyDescent="0.35">
      <c r="A13" s="4">
        <v>1</v>
      </c>
      <c r="B13" s="4">
        <v>1</v>
      </c>
      <c r="C13" s="4">
        <v>1</v>
      </c>
      <c r="D13" s="4">
        <v>7.9380946260698693E-15</v>
      </c>
    </row>
    <row r="14" spans="1:4" x14ac:dyDescent="0.35">
      <c r="A14" s="4">
        <v>2</v>
      </c>
      <c r="B14" s="4">
        <v>3</v>
      </c>
      <c r="C14" s="4">
        <v>3</v>
      </c>
      <c r="D14" s="4">
        <v>1.0000000000000007</v>
      </c>
    </row>
    <row r="15" spans="1:4" x14ac:dyDescent="0.35">
      <c r="A15" s="4">
        <v>3</v>
      </c>
      <c r="B15" s="4">
        <v>6</v>
      </c>
      <c r="C15" s="4">
        <v>6</v>
      </c>
      <c r="D15" s="4">
        <v>0.99999999999999789</v>
      </c>
    </row>
    <row r="17" spans="1:2" x14ac:dyDescent="0.35">
      <c r="A17" t="s">
        <v>21</v>
      </c>
      <c r="B17">
        <f>1-SUMXMY2('Coeficiente de Acerto'!$D$2:$D$4,'Coeficiente de Acerto'!$D$13:$D$15)/SUMXMY2('Coeficiente de Acerto'!$D$2:$D$4,'Coeficiente de Acerto'!$A$7:$A$9)</f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Executar</vt:lpstr>
      <vt:lpstr>Tabela Entrada-Saída</vt:lpstr>
      <vt:lpstr>Coordenadas dos Polos</vt:lpstr>
      <vt:lpstr>Cálculos Diversos</vt:lpstr>
      <vt:lpstr>Matrix (R)</vt:lpstr>
      <vt:lpstr>Matrix (R)^t</vt:lpstr>
      <vt:lpstr>Matrix (R)^t.(R)</vt:lpstr>
      <vt:lpstr>Matrix ((R)^t.(R))^(-1)</vt:lpstr>
      <vt:lpstr>Matrix (((R)^t.(R))^(-1)).(R)^t</vt:lpstr>
      <vt:lpstr>Solução</vt:lpstr>
      <vt:lpstr>Formulário</vt:lpstr>
      <vt:lpstr>Coeficiente de Acerto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dcterms:created xsi:type="dcterms:W3CDTF">2013-01-06T09:57:14Z</dcterms:created>
  <dcterms:modified xsi:type="dcterms:W3CDTF">2021-06-17T17:34:52Z</dcterms:modified>
</cp:coreProperties>
</file>