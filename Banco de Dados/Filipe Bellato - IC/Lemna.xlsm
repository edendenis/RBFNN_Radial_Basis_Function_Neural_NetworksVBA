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defaultThemeVersion="164011"/>
  <mc:AlternateContent xmlns:mc="http://schemas.openxmlformats.org/markup-compatibility/2006">
    <mc:Choice Requires="x15">
      <x15ac:absPath xmlns:x15ac="http://schemas.microsoft.com/office/spreadsheetml/2010/11/ac" url="C:\CEP\RBF\Banco de Dados\Filipe Bellato - IC\"/>
    </mc:Choice>
  </mc:AlternateContent>
  <bookViews>
    <workbookView xWindow="0" yWindow="0" windowWidth="20490" windowHeight="7530"/>
  </bookViews>
  <sheets>
    <sheet name="Planilha1" sheetId="1" r:id="rId1"/>
  </sheets>
  <externalReferences>
    <externalReference r:id="rId2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6" i="1" l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<sst xmlns="http://schemas.openxmlformats.org/spreadsheetml/2006/main" count="4" uniqueCount="4">
  <si>
    <t>Lições</t>
  </si>
  <si>
    <t>Espécie</t>
  </si>
  <si>
    <t>T</t>
  </si>
  <si>
    <t>EC50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</si>
</sst>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EP/RBF/Banco%20de%20Dados/Dados%20para%20tratamento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G (%)"/>
      <sheetName val="Área"/>
      <sheetName val="Biomassa"/>
      <sheetName val="Azzola"/>
      <sheetName val="MiniTab"/>
      <sheetName val="Lemna"/>
    </sheetNames>
    <sheetDataSet>
      <sheetData sheetId="0"/>
      <sheetData sheetId="1"/>
      <sheetData sheetId="2">
        <row r="7">
          <cell r="N7">
            <v>-8.8125693689781297</v>
          </cell>
          <cell r="O7">
            <v>-5.3273303369909586</v>
          </cell>
        </row>
        <row r="8">
          <cell r="N8">
            <v>15.481156174485482</v>
          </cell>
          <cell r="O8">
            <v>17.30535955426873</v>
          </cell>
        </row>
        <row r="9">
          <cell r="N9">
            <v>13.038582414363189</v>
          </cell>
          <cell r="O9">
            <v>16.2943003639399</v>
          </cell>
        </row>
        <row r="10">
          <cell r="N10">
            <v>24.84270648326466</v>
          </cell>
          <cell r="O10">
            <v>12.995348621316705</v>
          </cell>
        </row>
        <row r="11">
          <cell r="N11">
            <v>20.424901690134472</v>
          </cell>
          <cell r="O11">
            <v>18.226781538007774</v>
          </cell>
        </row>
        <row r="13">
          <cell r="N13">
            <v>11.974807375684337</v>
          </cell>
          <cell r="O13">
            <v>-6.7905282099851041</v>
          </cell>
        </row>
        <row r="14">
          <cell r="N14">
            <v>16.91628062673864</v>
          </cell>
          <cell r="O14">
            <v>17.308444184762102</v>
          </cell>
        </row>
        <row r="15">
          <cell r="N15">
            <v>11.319953884880892</v>
          </cell>
          <cell r="O15">
            <v>15.014044958971484</v>
          </cell>
        </row>
        <row r="16">
          <cell r="N16">
            <v>7.9298026960392276</v>
          </cell>
          <cell r="O16">
            <v>16.261799968457797</v>
          </cell>
        </row>
        <row r="17">
          <cell r="N17">
            <v>2.858395670144791</v>
          </cell>
          <cell r="O17">
            <v>12.847000380708876</v>
          </cell>
        </row>
        <row r="19">
          <cell r="N19">
            <v>15.793700809542456</v>
          </cell>
          <cell r="O19">
            <v>6.238534825842323</v>
          </cell>
        </row>
        <row r="20">
          <cell r="N20">
            <v>15.007402628018781</v>
          </cell>
          <cell r="O20">
            <v>16.33506135008929</v>
          </cell>
        </row>
        <row r="21">
          <cell r="N21">
            <v>10.35721757664562</v>
          </cell>
          <cell r="O21">
            <v>14.895000440091467</v>
          </cell>
        </row>
        <row r="22">
          <cell r="N22">
            <v>13.426241278963557</v>
          </cell>
          <cell r="O22">
            <v>15.041190829824645</v>
          </cell>
        </row>
        <row r="23">
          <cell r="N23">
            <v>11.131295236458019</v>
          </cell>
          <cell r="O23">
            <v>11.882515334179713</v>
          </cell>
        </row>
        <row r="25">
          <cell r="N25">
            <v>12.542120355870493</v>
          </cell>
          <cell r="O25">
            <v>12.558338881308586</v>
          </cell>
        </row>
        <row r="26">
          <cell r="N26">
            <v>16.241512640698126</v>
          </cell>
          <cell r="O26">
            <v>17.129215551718563</v>
          </cell>
        </row>
        <row r="27">
          <cell r="N27">
            <v>8.29177589527003</v>
          </cell>
          <cell r="O27">
            <v>10.705774942498138</v>
          </cell>
        </row>
        <row r="28">
          <cell r="N28">
            <v>12.047690146639646</v>
          </cell>
          <cell r="O28">
            <v>3.330149805686585</v>
          </cell>
        </row>
        <row r="29">
          <cell r="N29">
            <v>9.5878531888641838</v>
          </cell>
          <cell r="O29">
            <v>10.414434972001025</v>
          </cell>
        </row>
        <row r="31">
          <cell r="N31">
            <v>7.9634454425742947</v>
          </cell>
          <cell r="O31">
            <v>9.5945077165486659</v>
          </cell>
        </row>
        <row r="32">
          <cell r="N32">
            <v>5.2071503079746986</v>
          </cell>
          <cell r="O32">
            <v>4.4558016141658054</v>
          </cell>
        </row>
        <row r="33">
          <cell r="N33">
            <v>-5.2691865137820848</v>
          </cell>
          <cell r="O33">
            <v>13.13002039000793</v>
          </cell>
        </row>
        <row r="34">
          <cell r="N34">
            <v>-7.6040269826516074</v>
          </cell>
          <cell r="O34">
            <v>6.6358245868687114</v>
          </cell>
        </row>
        <row r="35">
          <cell r="N35">
            <v>12.048511513700728</v>
          </cell>
          <cell r="O35">
            <v>17.976178798314312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6"/>
  <sheetViews>
    <sheetView tabSelected="1" workbookViewId="0">
      <selection activeCell="I2" sqref="I2:I26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>
        <v>6.25E-2</v>
      </c>
      <c r="E1">
        <v>0.125</v>
      </c>
      <c r="F1">
        <v>0.25</v>
      </c>
      <c r="G1">
        <v>0.5</v>
      </c>
      <c r="H1">
        <v>1</v>
      </c>
      <c r="I1" t="s">
        <v>3</v>
      </c>
    </row>
    <row r="2" spans="1:9" x14ac:dyDescent="0.25">
      <c r="A2">
        <v>1</v>
      </c>
      <c r="B2">
        <v>10</v>
      </c>
      <c r="C2">
        <v>0</v>
      </c>
      <c r="D2">
        <v>712.02469038786501</v>
      </c>
      <c r="E2">
        <v>-59.274661363071097</v>
      </c>
      <c r="F2">
        <v>42.427372328572901</v>
      </c>
      <c r="G2">
        <v>-113.769645465965</v>
      </c>
      <c r="H2">
        <v>-67.170146452327003</v>
      </c>
      <c r="I2" s="1">
        <f>(LOG(50)-[1]Biomassa!O7)/[1]Biomassa!N7</f>
        <v>-0.79730440092316901</v>
      </c>
    </row>
    <row r="3" spans="1:9" x14ac:dyDescent="0.25">
      <c r="A3">
        <v>2</v>
      </c>
      <c r="B3">
        <v>10</v>
      </c>
      <c r="C3">
        <v>1</v>
      </c>
      <c r="D3">
        <v>-47.194968266875001</v>
      </c>
      <c r="E3">
        <v>-166.31442122492601</v>
      </c>
      <c r="F3">
        <v>-193.29624846101299</v>
      </c>
      <c r="G3">
        <v>-72.420934428952805</v>
      </c>
      <c r="H3">
        <v>-81.550733723301505</v>
      </c>
      <c r="I3" s="1">
        <f>(LOG(50)-[1]Biomassa!O8)/[1]Biomassa!N8</f>
        <v>-1.0080894071499404</v>
      </c>
    </row>
    <row r="4" spans="1:9" x14ac:dyDescent="0.25">
      <c r="A4">
        <v>3</v>
      </c>
      <c r="B4">
        <v>10</v>
      </c>
      <c r="C4">
        <v>2</v>
      </c>
      <c r="D4">
        <v>-211.83942944188999</v>
      </c>
      <c r="E4">
        <v>-238.03143412500501</v>
      </c>
      <c r="F4">
        <v>-412.372237672729</v>
      </c>
      <c r="G4">
        <v>49.142519694553698</v>
      </c>
      <c r="H4">
        <v>-136.483345807284</v>
      </c>
      <c r="I4" s="1">
        <f>(LOG(50)-[1]Biomassa!O9)/[1]Biomassa!N9</f>
        <v>-1.1193954906881436</v>
      </c>
    </row>
    <row r="5" spans="1:9" x14ac:dyDescent="0.25">
      <c r="A5">
        <v>4</v>
      </c>
      <c r="B5">
        <v>10</v>
      </c>
      <c r="C5">
        <v>3</v>
      </c>
      <c r="D5">
        <v>39.917875617982197</v>
      </c>
      <c r="E5">
        <v>-219.41463129032601</v>
      </c>
      <c r="F5">
        <v>-220.891870666952</v>
      </c>
      <c r="G5">
        <v>-214.76370637167099</v>
      </c>
      <c r="H5">
        <v>-565.970198419393</v>
      </c>
      <c r="I5" s="1">
        <f>(LOG(50)-[1]Biomassa!O10)/[1]Biomassa!N10</f>
        <v>-0.45471610046153843</v>
      </c>
    </row>
    <row r="6" spans="1:9" x14ac:dyDescent="0.25">
      <c r="A6">
        <v>5</v>
      </c>
      <c r="B6">
        <v>10</v>
      </c>
      <c r="C6">
        <v>4</v>
      </c>
      <c r="D6">
        <v>-364.43113046852199</v>
      </c>
      <c r="E6">
        <v>-141.56546261446101</v>
      </c>
      <c r="F6">
        <v>-209.126732479797</v>
      </c>
      <c r="G6">
        <v>-69.706239141528002</v>
      </c>
      <c r="H6">
        <v>-448.00457078227498</v>
      </c>
      <c r="I6" s="1">
        <f>(LOG(50)-[1]Biomassa!O11)/[1]Biomassa!N11</f>
        <v>-0.80919907397424251</v>
      </c>
    </row>
    <row r="7" spans="1:9" x14ac:dyDescent="0.25">
      <c r="A7">
        <v>6</v>
      </c>
      <c r="B7">
        <v>10</v>
      </c>
      <c r="C7">
        <v>0</v>
      </c>
      <c r="D7">
        <v>-61.562338082010001</v>
      </c>
      <c r="E7">
        <v>79.204728076641999</v>
      </c>
      <c r="F7">
        <v>29.694256599534398</v>
      </c>
      <c r="G7">
        <v>143.396011684744</v>
      </c>
      <c r="H7">
        <v>-46.111273370603499</v>
      </c>
      <c r="I7" s="1">
        <f>(LOG(50)-[1]Biomassa!O13)/[1]Biomassa!N13</f>
        <v>0.70894653650626804</v>
      </c>
    </row>
    <row r="8" spans="1:9" x14ac:dyDescent="0.25">
      <c r="A8">
        <v>7</v>
      </c>
      <c r="B8">
        <v>10</v>
      </c>
      <c r="C8">
        <v>1</v>
      </c>
      <c r="D8">
        <v>45.240565522057999</v>
      </c>
      <c r="E8">
        <v>-99.919624949089396</v>
      </c>
      <c r="F8">
        <v>-2.8209861358576598</v>
      </c>
      <c r="G8">
        <v>286.16055024257298</v>
      </c>
      <c r="H8">
        <v>299.58224009702502</v>
      </c>
      <c r="I8" s="1">
        <f>(LOG(50)-[1]Biomassa!O14)/[1]Biomassa!N14</f>
        <v>-0.92274859496909978</v>
      </c>
    </row>
    <row r="9" spans="1:9" x14ac:dyDescent="0.25">
      <c r="A9">
        <v>8</v>
      </c>
      <c r="B9">
        <v>10</v>
      </c>
      <c r="C9">
        <v>2</v>
      </c>
      <c r="D9">
        <v>-156.417013963523</v>
      </c>
      <c r="E9">
        <v>-45.548693482933899</v>
      </c>
      <c r="F9">
        <v>102.061644933152</v>
      </c>
      <c r="G9">
        <v>128.14135595582999</v>
      </c>
      <c r="H9">
        <v>225.421546030017</v>
      </c>
      <c r="I9" s="1">
        <f>(LOG(50)-[1]Biomassa!O15)/[1]Biomassa!N15</f>
        <v>-1.17624816231975</v>
      </c>
    </row>
    <row r="10" spans="1:9" x14ac:dyDescent="0.25">
      <c r="A10">
        <v>9</v>
      </c>
      <c r="B10">
        <v>10</v>
      </c>
      <c r="C10">
        <v>3</v>
      </c>
      <c r="D10">
        <v>120.916896990724</v>
      </c>
      <c r="E10">
        <v>92.596024748326599</v>
      </c>
      <c r="F10">
        <v>-2.5254270126908298</v>
      </c>
      <c r="G10">
        <v>62.881770798110999</v>
      </c>
      <c r="H10">
        <v>264.44613821413401</v>
      </c>
      <c r="I10" s="1">
        <f>(LOG(50)-[1]Biomassa!O16)/[1]Biomassa!N16</f>
        <v>-1.8364681344966642</v>
      </c>
    </row>
    <row r="11" spans="1:9" x14ac:dyDescent="0.25">
      <c r="A11">
        <v>10</v>
      </c>
      <c r="B11">
        <v>10</v>
      </c>
      <c r="C11">
        <v>4</v>
      </c>
      <c r="D11">
        <v>144.49716345548501</v>
      </c>
      <c r="E11">
        <v>-38.3098535757861</v>
      </c>
      <c r="F11">
        <v>67.317058052791296</v>
      </c>
      <c r="G11">
        <v>8.1704258071024896</v>
      </c>
      <c r="H11">
        <v>165.04541878193399</v>
      </c>
      <c r="I11" s="1">
        <f>(LOG(50)-[1]Biomassa!O17)/[1]Biomassa!N17</f>
        <v>-3.9001004979160765</v>
      </c>
    </row>
    <row r="12" spans="1:9" x14ac:dyDescent="0.25">
      <c r="A12">
        <v>11</v>
      </c>
      <c r="B12">
        <v>10</v>
      </c>
      <c r="C12">
        <v>0</v>
      </c>
      <c r="D12">
        <v>-17.6255095933051</v>
      </c>
      <c r="E12">
        <v>85.941311619398405</v>
      </c>
      <c r="F12">
        <v>-68.509863724213602</v>
      </c>
      <c r="G12">
        <v>78.378547030606796</v>
      </c>
      <c r="H12">
        <v>-35.837397745810001</v>
      </c>
      <c r="I12" s="1">
        <f>(LOG(50)-[1]Biomassa!O19)/[1]Biomassa!N19</f>
        <v>-0.28742882217722698</v>
      </c>
    </row>
    <row r="13" spans="1:9" x14ac:dyDescent="0.25">
      <c r="A13">
        <v>12</v>
      </c>
      <c r="B13">
        <v>10</v>
      </c>
      <c r="C13">
        <v>1</v>
      </c>
      <c r="D13">
        <v>20.948146593063001</v>
      </c>
      <c r="E13">
        <v>146.68636324915499</v>
      </c>
      <c r="F13">
        <v>-116.63060430772801</v>
      </c>
      <c r="G13">
        <v>194.27774528291599</v>
      </c>
      <c r="H13">
        <v>84.415039073467</v>
      </c>
      <c r="I13" s="1">
        <f>(LOG(50)-[1]Biomassa!O20)/[1]Biomassa!N20</f>
        <v>-0.97525812484218477</v>
      </c>
    </row>
    <row r="14" spans="1:9" x14ac:dyDescent="0.25">
      <c r="A14">
        <v>13</v>
      </c>
      <c r="B14">
        <v>10</v>
      </c>
      <c r="C14">
        <v>2</v>
      </c>
      <c r="D14">
        <v>35.552291000842899</v>
      </c>
      <c r="E14">
        <v>-36.675987030679998</v>
      </c>
      <c r="F14">
        <v>-134.13543435303299</v>
      </c>
      <c r="G14">
        <v>-140.84306976191999</v>
      </c>
      <c r="H14">
        <v>120.872813005612</v>
      </c>
      <c r="I14" s="1">
        <f>(LOG(50)-[1]Biomassa!O21)/[1]Biomassa!N21</f>
        <v>-1.2740902986832137</v>
      </c>
    </row>
    <row r="15" spans="1:9" x14ac:dyDescent="0.25">
      <c r="A15">
        <v>14</v>
      </c>
      <c r="B15">
        <v>10</v>
      </c>
      <c r="C15">
        <v>3</v>
      </c>
      <c r="D15">
        <v>34.191619730529702</v>
      </c>
      <c r="E15">
        <v>131.595609641447</v>
      </c>
      <c r="F15">
        <v>-40.657858528392097</v>
      </c>
      <c r="G15">
        <v>171.21153599351501</v>
      </c>
      <c r="H15">
        <v>129.57945765252501</v>
      </c>
      <c r="I15" s="1">
        <f>(LOG(50)-[1]Biomassa!O22)/[1]Biomassa!N22</f>
        <v>-0.99374207183312158</v>
      </c>
    </row>
    <row r="16" spans="1:9" x14ac:dyDescent="0.25">
      <c r="A16">
        <v>15</v>
      </c>
      <c r="B16">
        <v>10</v>
      </c>
      <c r="C16">
        <v>4</v>
      </c>
      <c r="D16">
        <v>19.2067934380824</v>
      </c>
      <c r="E16">
        <v>37.520499524413701</v>
      </c>
      <c r="F16">
        <v>-11.8602206444373</v>
      </c>
      <c r="G16">
        <v>-35.837397745810101</v>
      </c>
      <c r="H16">
        <v>-38.424408627126603</v>
      </c>
      <c r="I16" s="1">
        <f>(LOG(50)-[1]Biomassa!O23)/[1]Biomassa!N23</f>
        <v>-0.91485717641284137</v>
      </c>
    </row>
    <row r="17" spans="1:9" x14ac:dyDescent="0.25">
      <c r="A17">
        <v>16</v>
      </c>
      <c r="B17">
        <v>10</v>
      </c>
      <c r="C17">
        <v>0</v>
      </c>
      <c r="D17">
        <v>-96.704081447955602</v>
      </c>
      <c r="E17">
        <v>-208.106007550615</v>
      </c>
      <c r="F17">
        <v>-43.875250446903003</v>
      </c>
      <c r="G17">
        <v>-43.934861289171998</v>
      </c>
      <c r="H17">
        <v>96.171201247000397</v>
      </c>
      <c r="I17" s="1">
        <f>(LOG(50)-[1]Biomassa!O25)/[1]Biomassa!N25</f>
        <v>-0.86583197807456114</v>
      </c>
    </row>
    <row r="18" spans="1:9" x14ac:dyDescent="0.25">
      <c r="A18">
        <v>17</v>
      </c>
      <c r="B18">
        <v>10</v>
      </c>
      <c r="C18">
        <v>1</v>
      </c>
      <c r="D18">
        <v>-135.58259100666601</v>
      </c>
      <c r="E18">
        <v>-167.63353726722099</v>
      </c>
      <c r="F18">
        <v>59.7497038629689</v>
      </c>
      <c r="G18">
        <v>-56.817261797030099</v>
      </c>
      <c r="H18">
        <v>129.916326704922</v>
      </c>
      <c r="I18" s="1">
        <f>(LOG(50)-[1]Biomassa!O26)/[1]Biomassa!N26</f>
        <v>-0.95004978223009218</v>
      </c>
    </row>
    <row r="19" spans="1:9" x14ac:dyDescent="0.25">
      <c r="A19">
        <v>18</v>
      </c>
      <c r="B19">
        <v>10</v>
      </c>
      <c r="C19">
        <v>2</v>
      </c>
      <c r="D19">
        <v>-170.91425885539201</v>
      </c>
      <c r="E19">
        <v>-163.64637225975099</v>
      </c>
      <c r="F19">
        <v>-88.318968855138905</v>
      </c>
      <c r="G19">
        <v>-50.999091093133401</v>
      </c>
      <c r="H19">
        <v>10.212528559009</v>
      </c>
      <c r="I19" s="1">
        <f>(LOG(50)-[1]Biomassa!O27)/[1]Biomassa!N27</f>
        <v>-1.0862335224592805</v>
      </c>
    </row>
    <row r="20" spans="1:9" x14ac:dyDescent="0.25">
      <c r="A20">
        <v>19</v>
      </c>
      <c r="B20">
        <v>10</v>
      </c>
      <c r="C20">
        <v>3</v>
      </c>
      <c r="D20">
        <v>-333.89367292332997</v>
      </c>
      <c r="E20">
        <v>6.9095551129405797</v>
      </c>
      <c r="F20">
        <v>-87.318968855138905</v>
      </c>
      <c r="G20">
        <v>22.708472043642399</v>
      </c>
      <c r="H20">
        <v>-28.450913618185002</v>
      </c>
      <c r="I20" s="1">
        <f>(LOG(50)-[1]Biomassa!O28)/[1]Biomassa!N28</f>
        <v>-0.13539357183796238</v>
      </c>
    </row>
    <row r="21" spans="1:9" x14ac:dyDescent="0.25">
      <c r="A21">
        <v>20</v>
      </c>
      <c r="B21">
        <v>10</v>
      </c>
      <c r="C21">
        <v>4</v>
      </c>
      <c r="D21">
        <v>-136.967648377177</v>
      </c>
      <c r="E21">
        <v>-23.193774803300901</v>
      </c>
      <c r="F21">
        <v>-86.318968855138905</v>
      </c>
      <c r="G21">
        <v>-67.391644803787898</v>
      </c>
      <c r="H21">
        <v>24.617671397399398</v>
      </c>
      <c r="I21" s="1">
        <f>(LOG(50)-[1]Biomassa!O29)/[1]Biomassa!N29</f>
        <v>-0.90901109935512858</v>
      </c>
    </row>
    <row r="22" spans="1:9" x14ac:dyDescent="0.25">
      <c r="A22">
        <v>21</v>
      </c>
      <c r="B22">
        <v>10</v>
      </c>
      <c r="C22">
        <v>0</v>
      </c>
      <c r="D22">
        <v>-0.14666891633635901</v>
      </c>
      <c r="E22">
        <v>162.581318409413</v>
      </c>
      <c r="F22">
        <v>-11.9316641046175</v>
      </c>
      <c r="G22">
        <v>56.711970989641301</v>
      </c>
      <c r="H22">
        <v>200.12140469217101</v>
      </c>
      <c r="I22" s="1">
        <f>(LOG(50)-[1]Biomassa!O31)/[1]Biomassa!N31</f>
        <v>-0.99147256914719373</v>
      </c>
    </row>
    <row r="23" spans="1:9" x14ac:dyDescent="0.25">
      <c r="A23">
        <v>22</v>
      </c>
      <c r="B23">
        <v>10</v>
      </c>
      <c r="C23">
        <v>1</v>
      </c>
      <c r="D23">
        <v>713.84193544567802</v>
      </c>
      <c r="E23">
        <v>-40.325720783691999</v>
      </c>
      <c r="F23">
        <v>168.04066666739101</v>
      </c>
      <c r="G23">
        <v>222.633078029107</v>
      </c>
      <c r="H23">
        <v>362.86270817286999</v>
      </c>
      <c r="I23" s="1">
        <f>(LOG(50)-[1]Biomassa!O32)/[1]Biomassa!N32</f>
        <v>-0.5294319247146998</v>
      </c>
    </row>
    <row r="24" spans="1:9" x14ac:dyDescent="0.25">
      <c r="A24">
        <v>23</v>
      </c>
      <c r="B24">
        <v>10</v>
      </c>
      <c r="C24">
        <v>2</v>
      </c>
      <c r="D24">
        <v>100.84493422941399</v>
      </c>
      <c r="E24">
        <v>298.72498836241101</v>
      </c>
      <c r="F24">
        <v>195.56403283656201</v>
      </c>
      <c r="G24">
        <v>115.187472751313</v>
      </c>
      <c r="H24">
        <v>0.12376685482089</v>
      </c>
      <c r="I24" s="1">
        <f>(LOG(50)-[1]Biomassa!O33)/[1]Biomassa!N33</f>
        <v>2.1694146441339388</v>
      </c>
    </row>
    <row r="25" spans="1:9" x14ac:dyDescent="0.25">
      <c r="A25">
        <v>24</v>
      </c>
      <c r="B25">
        <v>10</v>
      </c>
      <c r="C25">
        <v>3</v>
      </c>
      <c r="D25">
        <v>237.22176436189099</v>
      </c>
      <c r="E25">
        <v>253.81819423023001</v>
      </c>
      <c r="F25">
        <v>145.429520097775</v>
      </c>
      <c r="G25">
        <v>123.11373269459899</v>
      </c>
      <c r="H25">
        <v>61.421233440962098</v>
      </c>
      <c r="I25" s="1">
        <f>(LOG(50)-[1]Biomassa!O34)/[1]Biomassa!N34</f>
        <v>0.64924211786675667</v>
      </c>
    </row>
    <row r="26" spans="1:9" x14ac:dyDescent="0.25">
      <c r="A26">
        <v>25</v>
      </c>
      <c r="B26">
        <v>10</v>
      </c>
      <c r="C26">
        <v>4</v>
      </c>
      <c r="D26">
        <v>139.21584757728999</v>
      </c>
      <c r="E26">
        <v>157.08096085681601</v>
      </c>
      <c r="F26">
        <v>84.4150390734669</v>
      </c>
      <c r="G26">
        <v>46.243344007250997</v>
      </c>
      <c r="H26">
        <v>84.964696693700205</v>
      </c>
      <c r="I26" s="1">
        <f>(LOG(50)-[1]Biomassa!O35)/[1]Biomassa!N35</f>
        <v>-1.3509725890595685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2016-08-26T02:23:10Z</dcterms:created>
  <dcterms:modified xsi:type="dcterms:W3CDTF">2016-08-26T02:23:21Z</dcterms:modified>
</cp:coreProperties>
</file>