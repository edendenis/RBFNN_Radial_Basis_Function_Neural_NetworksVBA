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EP\RBF\"/>
    </mc:Choice>
  </mc:AlternateContent>
  <xr:revisionPtr revIDLastSave="0" documentId="13_ncr:1_{F5B96844-165F-4B74-9F8D-CA62888BA473}" xr6:coauthVersionLast="41" xr6:coauthVersionMax="41" xr10:uidLastSave="{00000000-0000-0000-0000-000000000000}"/>
  <bookViews>
    <workbookView showHorizontalScroll="0" showVerticalScroll="0" xWindow="-108" yWindow="-108" windowWidth="23256" windowHeight="12576" tabRatio="1000" activeTab="1" xr2:uid="{AACD12AF-A711-4960-8867-69EAC2F21065}"/>
  </bookViews>
  <sheets>
    <sheet name="Solução Tradicional" sheetId="1" r:id="rId1"/>
    <sheet name="Solução RBF (Gaussiana)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5" i="2"/>
  <c r="K4" i="2" l="1"/>
  <c r="L4" i="2"/>
  <c r="M4" i="2"/>
  <c r="N4" i="2"/>
  <c r="K5" i="2"/>
  <c r="L5" i="2"/>
  <c r="M5" i="2"/>
  <c r="N5" i="2"/>
  <c r="K6" i="2"/>
  <c r="L6" i="2"/>
  <c r="M6" i="2"/>
  <c r="N6" i="2"/>
  <c r="K7" i="2"/>
  <c r="L7" i="2"/>
  <c r="M7" i="2"/>
  <c r="N7" i="2"/>
  <c r="D5" i="1" l="1"/>
  <c r="C7" i="1"/>
  <c r="F6" i="1" l="1"/>
  <c r="F7" i="1"/>
  <c r="F8" i="1"/>
  <c r="F5" i="1"/>
  <c r="B6" i="1" l="1"/>
  <c r="C6" i="1"/>
  <c r="D6" i="1"/>
  <c r="E6" i="1"/>
  <c r="B7" i="1"/>
  <c r="D7" i="1"/>
  <c r="E7" i="1"/>
  <c r="B8" i="1"/>
  <c r="C8" i="1"/>
  <c r="D8" i="1"/>
  <c r="E8" i="1"/>
  <c r="C5" i="1"/>
  <c r="E5" i="1"/>
  <c r="B5" i="1"/>
  <c r="G25" i="2" l="1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24" i="2"/>
  <c r="J3" i="2"/>
  <c r="K11" i="2" l="1"/>
  <c r="M12" i="2"/>
  <c r="L12" i="2"/>
  <c r="K12" i="2"/>
  <c r="M11" i="2"/>
  <c r="L11" i="2"/>
  <c r="L10" i="2"/>
  <c r="B11" i="1" a="1"/>
  <c r="B11" i="1" s="1"/>
  <c r="K13" i="2" l="1"/>
  <c r="L13" i="2"/>
  <c r="N10" i="2"/>
  <c r="N12" i="2"/>
  <c r="M13" i="2"/>
  <c r="N11" i="2"/>
  <c r="N13" i="2"/>
  <c r="K10" i="2"/>
  <c r="M10" i="2"/>
  <c r="D11" i="1"/>
  <c r="E13" i="1"/>
  <c r="E11" i="1"/>
  <c r="D14" i="1"/>
  <c r="D12" i="1"/>
  <c r="C14" i="1"/>
  <c r="C12" i="1"/>
  <c r="C11" i="1"/>
  <c r="E14" i="1"/>
  <c r="E12" i="1"/>
  <c r="D13" i="1"/>
  <c r="C13" i="1"/>
  <c r="B14" i="1"/>
  <c r="B13" i="1"/>
  <c r="B12" i="1"/>
  <c r="F11" i="1" l="1" a="1"/>
  <c r="F11" i="1" s="1"/>
  <c r="J17" i="2"/>
  <c r="J21" i="2" s="1"/>
  <c r="C25" i="2" l="1"/>
  <c r="F14" i="1"/>
  <c r="F13" i="1"/>
  <c r="F12" i="1"/>
  <c r="A18" i="1" s="1"/>
  <c r="F33" i="2"/>
  <c r="E37" i="2"/>
  <c r="E26" i="2"/>
  <c r="D34" i="2"/>
  <c r="D24" i="2"/>
  <c r="F39" i="2"/>
  <c r="E40" i="2"/>
  <c r="E35" i="2"/>
  <c r="E30" i="2"/>
  <c r="F40" i="2"/>
  <c r="D40" i="2"/>
  <c r="D30" i="2"/>
  <c r="C38" i="2"/>
  <c r="C24" i="2"/>
  <c r="F37" i="2"/>
  <c r="F29" i="2"/>
  <c r="E39" i="2"/>
  <c r="E34" i="2"/>
  <c r="E29" i="2"/>
  <c r="F36" i="2"/>
  <c r="D38" i="2"/>
  <c r="D28" i="2"/>
  <c r="C32" i="2"/>
  <c r="E24" i="2"/>
  <c r="F26" i="2"/>
  <c r="E31" i="2"/>
  <c r="F30" i="2"/>
  <c r="C39" i="2"/>
  <c r="F31" i="2"/>
  <c r="F24" i="2"/>
  <c r="F35" i="2"/>
  <c r="F28" i="2"/>
  <c r="E38" i="2"/>
  <c r="E33" i="2"/>
  <c r="E27" i="2"/>
  <c r="F32" i="2"/>
  <c r="D35" i="2"/>
  <c r="D27" i="2"/>
  <c r="C30" i="2"/>
  <c r="C35" i="2"/>
  <c r="C28" i="2"/>
  <c r="D39" i="2"/>
  <c r="D32" i="2"/>
  <c r="C40" i="2"/>
  <c r="C34" i="2"/>
  <c r="C27" i="2"/>
  <c r="E36" i="2"/>
  <c r="E32" i="2"/>
  <c r="E28" i="2"/>
  <c r="F38" i="2"/>
  <c r="F27" i="2"/>
  <c r="D36" i="2"/>
  <c r="D31" i="2"/>
  <c r="D26" i="2"/>
  <c r="C36" i="2"/>
  <c r="C31" i="2"/>
  <c r="C26" i="2"/>
  <c r="E25" i="2"/>
  <c r="F34" i="2"/>
  <c r="F25" i="2"/>
  <c r="D37" i="2"/>
  <c r="D33" i="2"/>
  <c r="D29" i="2"/>
  <c r="D25" i="2"/>
  <c r="C37" i="2"/>
  <c r="C33" i="2"/>
  <c r="C29" i="2"/>
  <c r="G5" i="1" l="1"/>
  <c r="G7" i="1"/>
  <c r="G6" i="1"/>
  <c r="G8" i="1"/>
  <c r="J24" i="2" a="1"/>
  <c r="Q24" i="2" s="1"/>
  <c r="G11" i="1" l="1"/>
  <c r="Z26" i="2"/>
  <c r="S28" i="2"/>
  <c r="U26" i="2"/>
  <c r="W24" i="2"/>
  <c r="V26" i="2"/>
  <c r="R28" i="2"/>
  <c r="T26" i="2"/>
  <c r="V24" i="2"/>
  <c r="Z27" i="2"/>
  <c r="K26" i="2"/>
  <c r="R26" i="2"/>
  <c r="O28" i="2"/>
  <c r="Q26" i="2"/>
  <c r="S24" i="2"/>
  <c r="N26" i="2"/>
  <c r="N28" i="2"/>
  <c r="P26" i="2"/>
  <c r="R24" i="2"/>
  <c r="V27" i="2"/>
  <c r="X25" i="2"/>
  <c r="X28" i="2"/>
  <c r="O25" i="2"/>
  <c r="T27" i="2"/>
  <c r="V25" i="2"/>
  <c r="T28" i="2"/>
  <c r="X24" i="2"/>
  <c r="S27" i="2"/>
  <c r="U25" i="2"/>
  <c r="Y28" i="2"/>
  <c r="J27" i="2"/>
  <c r="L25" i="2"/>
  <c r="P28" i="2"/>
  <c r="T24" i="2"/>
  <c r="P27" i="2"/>
  <c r="R25" i="2"/>
  <c r="L28" i="2"/>
  <c r="P24" i="2"/>
  <c r="O27" i="2"/>
  <c r="Q25" i="2"/>
  <c r="U28" i="2"/>
  <c r="W26" i="2"/>
  <c r="Y24" i="2"/>
  <c r="M24" i="2"/>
  <c r="Y27" i="2"/>
  <c r="J26" i="2"/>
  <c r="L24" i="2"/>
  <c r="K28" i="2"/>
  <c r="L27" i="2"/>
  <c r="M26" i="2"/>
  <c r="N25" i="2"/>
  <c r="O24" i="2"/>
  <c r="U27" i="2"/>
  <c r="S25" i="2"/>
  <c r="Z28" i="2"/>
  <c r="J28" i="2"/>
  <c r="K27" i="2"/>
  <c r="L26" i="2"/>
  <c r="M25" i="2"/>
  <c r="N24" i="2"/>
  <c r="Q28" i="2"/>
  <c r="R27" i="2"/>
  <c r="S26" i="2"/>
  <c r="T25" i="2"/>
  <c r="U24" i="2"/>
  <c r="Q27" i="2"/>
  <c r="W25" i="2"/>
  <c r="W28" i="2"/>
  <c r="X27" i="2"/>
  <c r="Y26" i="2"/>
  <c r="Z25" i="2"/>
  <c r="J25" i="2"/>
  <c r="K24" i="2"/>
  <c r="M27" i="2"/>
  <c r="K25" i="2"/>
  <c r="V28" i="2"/>
  <c r="W27" i="2"/>
  <c r="X26" i="2"/>
  <c r="Y25" i="2"/>
  <c r="Z24" i="2"/>
  <c r="J24" i="2"/>
  <c r="M28" i="2"/>
  <c r="N27" i="2"/>
  <c r="O26" i="2"/>
  <c r="P25" i="2"/>
  <c r="J30" i="2" l="1" a="1"/>
  <c r="N30" i="2" s="1"/>
  <c r="L34" i="2" l="1"/>
  <c r="K31" i="2"/>
  <c r="J33" i="2"/>
  <c r="K34" i="2"/>
  <c r="J31" i="2"/>
  <c r="K33" i="2"/>
  <c r="J30" i="2"/>
  <c r="M33" i="2"/>
  <c r="L30" i="2"/>
  <c r="K32" i="2"/>
  <c r="L33" i="2"/>
  <c r="K30" i="2"/>
  <c r="L32" i="2"/>
  <c r="M34" i="2"/>
  <c r="M32" i="2"/>
  <c r="M31" i="2"/>
  <c r="N32" i="2"/>
  <c r="L31" i="2"/>
  <c r="N34" i="2"/>
  <c r="J32" i="2"/>
  <c r="N33" i="2"/>
  <c r="M30" i="2"/>
  <c r="N31" i="2"/>
  <c r="J34" i="2"/>
  <c r="V30" i="2" l="1" a="1"/>
  <c r="V33" i="2" s="1"/>
  <c r="W32" i="2" l="1"/>
  <c r="Z32" i="2"/>
  <c r="X33" i="2"/>
  <c r="X34" i="2"/>
  <c r="Y31" i="2"/>
  <c r="Z31" i="2"/>
  <c r="V32" i="2"/>
  <c r="V31" i="2"/>
  <c r="W30" i="2"/>
  <c r="W31" i="2"/>
  <c r="Z33" i="2"/>
  <c r="V34" i="2"/>
  <c r="Y34" i="2"/>
  <c r="W33" i="2"/>
  <c r="X32" i="2"/>
  <c r="Y32" i="2"/>
  <c r="Y33" i="2"/>
  <c r="Z30" i="2"/>
  <c r="W34" i="2"/>
  <c r="Y30" i="2"/>
  <c r="V30" i="2"/>
  <c r="X31" i="2"/>
  <c r="Z34" i="2"/>
  <c r="X30" i="2"/>
  <c r="J36" i="2" l="1" a="1"/>
  <c r="K36" i="2" s="1"/>
  <c r="X40" i="2" l="1"/>
  <c r="T40" i="2"/>
  <c r="U39" i="2"/>
  <c r="V38" i="2"/>
  <c r="W37" i="2"/>
  <c r="X36" i="2"/>
  <c r="Z40" i="2"/>
  <c r="J40" i="2"/>
  <c r="K39" i="2"/>
  <c r="L38" i="2"/>
  <c r="M37" i="2"/>
  <c r="N36" i="2"/>
  <c r="Q40" i="2"/>
  <c r="R39" i="2"/>
  <c r="S38" i="2"/>
  <c r="T37" i="2"/>
  <c r="U36" i="2"/>
  <c r="S40" i="2"/>
  <c r="T39" i="2"/>
  <c r="U38" i="2"/>
  <c r="V37" i="2"/>
  <c r="W36" i="2"/>
  <c r="P40" i="2"/>
  <c r="Q39" i="2"/>
  <c r="R38" i="2"/>
  <c r="S37" i="2"/>
  <c r="T36" i="2"/>
  <c r="V40" i="2"/>
  <c r="W39" i="2"/>
  <c r="X38" i="2"/>
  <c r="Y37" i="2"/>
  <c r="Z36" i="2"/>
  <c r="J36" i="2"/>
  <c r="M40" i="2"/>
  <c r="N39" i="2"/>
  <c r="O38" i="2"/>
  <c r="P37" i="2"/>
  <c r="Q36" i="2"/>
  <c r="O40" i="2"/>
  <c r="P39" i="2"/>
  <c r="Q38" i="2"/>
  <c r="R37" i="2"/>
  <c r="S36" i="2"/>
  <c r="L40" i="2"/>
  <c r="M39" i="2"/>
  <c r="N38" i="2"/>
  <c r="O37" i="2"/>
  <c r="P36" i="2"/>
  <c r="R40" i="2"/>
  <c r="S39" i="2"/>
  <c r="T38" i="2"/>
  <c r="U37" i="2"/>
  <c r="V36" i="2"/>
  <c r="Y40" i="2"/>
  <c r="Z39" i="2"/>
  <c r="J39" i="2"/>
  <c r="K38" i="2"/>
  <c r="L37" i="2"/>
  <c r="M36" i="2"/>
  <c r="K40" i="2"/>
  <c r="L39" i="2"/>
  <c r="M38" i="2"/>
  <c r="N37" i="2"/>
  <c r="O36" i="2"/>
  <c r="Y39" i="2"/>
  <c r="Z38" i="2"/>
  <c r="J38" i="2"/>
  <c r="K37" i="2"/>
  <c r="L36" i="2"/>
  <c r="N40" i="2"/>
  <c r="O39" i="2"/>
  <c r="P38" i="2"/>
  <c r="Q37" i="2"/>
  <c r="R36" i="2"/>
  <c r="U40" i="2"/>
  <c r="V39" i="2"/>
  <c r="W38" i="2"/>
  <c r="X37" i="2"/>
  <c r="Y36" i="2"/>
  <c r="W40" i="2"/>
  <c r="X39" i="2"/>
  <c r="Y38" i="2"/>
  <c r="Z37" i="2"/>
  <c r="J37" i="2"/>
  <c r="Z4" i="2" l="1" a="1"/>
  <c r="Z4" i="2" s="1"/>
  <c r="Z6" i="2" l="1"/>
  <c r="Z5" i="2"/>
  <c r="Z8" i="2"/>
  <c r="Z7" i="2"/>
  <c r="H6" i="2" l="1"/>
  <c r="H14" i="2"/>
  <c r="H17" i="2"/>
  <c r="H19" i="2"/>
  <c r="H21" i="2"/>
  <c r="H13" i="2"/>
  <c r="H18" i="2"/>
  <c r="H9" i="2"/>
  <c r="H15" i="2"/>
  <c r="H16" i="2"/>
  <c r="H11" i="2"/>
  <c r="H20" i="2"/>
  <c r="H10" i="2"/>
  <c r="H8" i="2"/>
  <c r="H7" i="2"/>
  <c r="H12" i="2"/>
  <c r="H5" i="2"/>
  <c r="Z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tc={61B18AF8-4CD5-45E6-B221-0C2AD8884C72}</author>
    <author>tc={1FCE62BE-06DA-43EA-82D5-091E03A8E3DD}</author>
  </authors>
  <commentList>
    <comment ref="B10" authorId="0" shapeId="0" xr:uid="{61B18AF8-4CD5-45E6-B221-0C2AD8884C7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1</t>
      </text>
    </comment>
    <comment ref="F10" authorId="1" shapeId="0" xr:uid="{1FCE62BE-06DA-43EA-82D5-091E03A8E3D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tc={68A1C275-CBE4-47D9-ABA5-92E1C47C9CF1}</author>
    <author>tc={FD54B2E5-5016-4F93-B6B8-4E511A92E920}</author>
    <author>tc={9DCBDEA6-99CC-4112-ABA9-8AD28388FC5C}</author>
    <author>tc={841F8DFD-B110-4238-9038-FD711B435161}</author>
    <author>tc={57F6FDAC-37E5-43A0-8053-1BD0B39A4EE4}</author>
    <author>tc={C45C465C-1A8E-432A-9122-B6B2BB30E096}</author>
    <author>tc={4E339C10-F32D-4B90-ADA5-F6D14FAE97A9}</author>
    <author>tc={7255840B-7701-4683-92C5-2CF791066553}</author>
    <author>tc={1B4039EB-8815-4159-BEDA-A8DE9C783A3D}</author>
    <author>tc={B530C25A-DE7A-49FF-AA73-C8814553EEDF}</author>
    <author>tc={F67ADF9D-EA1A-4E02-A45E-EC262A159193}</author>
    <author>tc={B928C51F-3E8C-4E79-AAAB-B67B15CF23B1}</author>
  </authors>
  <commentList>
    <comment ref="J2" authorId="0" shapeId="0" xr:uid="{68A1C275-CBE4-47D9-ABA5-92E1C47C9CF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Número Arbitrado. Porém, após experiências empíricas, o prof. Éden recomenda que seja utilizado o mesmo número de variáveis como número de pólos.
Passo 1</t>
      </text>
    </comment>
    <comment ref="Z2" authorId="1" shapeId="0" xr:uid="{FD54B2E5-5016-4F93-B6B8-4E511A92E92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8</t>
      </text>
    </comment>
    <comment ref="H4" authorId="2" shapeId="0" xr:uid="{9DCBDEA6-99CC-4112-ABA9-8AD28388FC5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9</t>
      </text>
    </comment>
    <comment ref="J9" authorId="3" shapeId="0" xr:uid="{841F8DFD-B110-4238-9038-FD711B43516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Matriz de Distâncias entre os Pólos</t>
      </text>
    </comment>
    <comment ref="J16" authorId="4" shapeId="0" xr:uid="{57F6FDAC-37E5-43A0-8053-1BD0B39A4EE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fator é importante para o funcionamento do modelo, porém não há provas matemáticas para determinar este valor. Novamente uma solução empírica foi adotada. Recomenda-se utilizar esta expressão matemática para determinar o Sigma.
Passo 2.1</t>
      </text>
    </comment>
    <comment ref="Z17" authorId="5" shapeId="0" xr:uid="{C45C465C-1A8E-432A-9122-B6B2BB30E0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valor serve como medidor da precisão do modelo. Quando este for igual a 1, significa que os cálculos batem 100% com as saídas medidas no banco de dados, o que deve ser entendido como 100%.</t>
      </text>
    </comment>
    <comment ref="J20" authorId="6" shapeId="0" xr:uid="{4E339C10-F32D-4B90-ADA5-F6D14FAE97A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fator é importante para o funcionamento do modelo, porém não há provas matemáticas para determinar este valor. Novamente uma solução empírica foi adotada. Recomenda-se utilizar esta expressão matemática para determinar o Sigma.
Passo 2.2</t>
      </text>
    </comment>
    <comment ref="C23" authorId="7" shapeId="0" xr:uid="{7255840B-7701-4683-92C5-2CF79106655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3</t>
      </text>
    </comment>
    <comment ref="J23" authorId="8" shapeId="0" xr:uid="{1B4039EB-8815-4159-BEDA-A8DE9C783A3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4</t>
      </text>
    </comment>
    <comment ref="J29" authorId="9" shapeId="0" xr:uid="{B530C25A-DE7A-49FF-AA73-C8814553EE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5</t>
      </text>
    </comment>
    <comment ref="V29" authorId="10" shapeId="0" xr:uid="{F67ADF9D-EA1A-4E02-A45E-EC262A1591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6</t>
      </text>
    </comment>
    <comment ref="J35" authorId="11" shapeId="0" xr:uid="{B928C51F-3E8C-4E79-AAAB-B67B15CF23B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7</t>
      </text>
    </comment>
  </commentList>
</comments>
</file>

<file path=xl/sharedStrings.xml><?xml version="1.0" encoding="utf-8"?>
<sst xmlns="http://schemas.openxmlformats.org/spreadsheetml/2006/main" count="46" uniqueCount="32">
  <si>
    <t>Banco de Dados</t>
  </si>
  <si>
    <t>Funciona apenas para bancos de dados quadrados. O que não seria um problema para o caso de ser conhecido o número de variáveis necessárias para a solução de um problema. O que nunca acontece em Big Data.</t>
  </si>
  <si>
    <t>Saídas</t>
  </si>
  <si>
    <t>Registrada</t>
  </si>
  <si>
    <t>Calculada</t>
  </si>
  <si>
    <t>Saídas - Nro Sessões</t>
  </si>
  <si>
    <t>Qtd de Pólos</t>
  </si>
  <si>
    <t>Pólo 1</t>
  </si>
  <si>
    <t>Pólo 2</t>
  </si>
  <si>
    <t>Pólo 3</t>
  </si>
  <si>
    <t>Pólo 4</t>
  </si>
  <si>
    <t>Entradas</t>
  </si>
  <si>
    <t>Lições</t>
  </si>
  <si>
    <t>Idade (x1)</t>
  </si>
  <si>
    <t>Altura (x2)</t>
  </si>
  <si>
    <t>Gravidade da Lesão (x3)</t>
  </si>
  <si>
    <t>Tempo da Lesão (x4)</t>
  </si>
  <si>
    <t>Distância Máxima entre Pólos</t>
  </si>
  <si>
    <t>-1/(2*Sigma²)</t>
  </si>
  <si>
    <t>[R]</t>
  </si>
  <si>
    <t>[Rt]</t>
  </si>
  <si>
    <t>[Rt * R]</t>
  </si>
  <si>
    <t>[Rt * R]^-1</t>
  </si>
  <si>
    <t>1/[R] = [[Rt * R]^-1 * Rt]</t>
  </si>
  <si>
    <t>VS</t>
  </si>
  <si>
    <t>Correl</t>
  </si>
  <si>
    <t>Correlação</t>
  </si>
  <si>
    <t>Matriz Inversa do Banco de Dados - [R]</t>
  </si>
  <si>
    <t>[VS]</t>
  </si>
  <si>
    <t>Calculado - Quantidade de Sessões para Fisioterapia</t>
  </si>
  <si>
    <t>Registrado - Quantidade de Sessões para Fisioterapia</t>
  </si>
  <si>
    <t>Pólos Ótimos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</si>
</sst>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2" fontId="0" fillId="0" borderId="0" xfId="0" applyNumberFormat="1"/>
    <xf numFmtId="0" fontId="2" fillId="0" borderId="2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Border="1"/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4" xfId="0" applyNumberFormat="1" applyBorder="1" applyAlignment="1">
      <alignment horizontal="center"/>
    </xf>
    <xf numFmtId="0" fontId="0" fillId="0" borderId="5" xfId="0" applyFill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0" xfId="0" applyAlignment="1">
      <alignment vertic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0" fontId="2" fillId="0" borderId="26" xfId="0" applyFont="1" applyBorder="1" applyAlignment="1">
      <alignment horizontal="left" vertical="top"/>
    </xf>
    <xf numFmtId="0" fontId="2" fillId="0" borderId="25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" fillId="0" borderId="0" xfId="0" applyFont="1" applyAlignment="1"/>
    <xf numFmtId="0" fontId="0" fillId="0" borderId="4" xfId="0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" fillId="0" borderId="25" xfId="0" applyFont="1" applyBorder="1" applyAlignment="1">
      <alignment vertical="center"/>
    </xf>
    <xf numFmtId="1" fontId="0" fillId="0" borderId="0" xfId="0" applyNumberForma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0" fontId="0" fillId="0" borderId="23" xfId="0" applyNumberFormat="1" applyBorder="1" applyAlignment="1">
      <alignment horizontal="center" vertical="center"/>
    </xf>
    <xf numFmtId="10" fontId="0" fillId="0" borderId="25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4" fontId="0" fillId="0" borderId="2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0" fontId="2" fillId="0" borderId="2" xfId="0" quotePrefix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Gráfico Comparativo Entre Registros e Cálculos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'Solução RBF (Gaussiana)'!$G$4</c:f>
              <c:strCache>
                <c:ptCount val="1"/>
                <c:pt idx="0">
                  <c:v>Registrada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'Solução RBF (Gaussiana)'!$G$5:$G$21</c:f>
              <c:numCache>
                <c:formatCode>0</c:formatCode>
                <c:ptCount val="17"/>
                <c:pt idx="0">
                  <c:v>67.064916700361238</c:v>
                </c:pt>
                <c:pt idx="1">
                  <c:v>42.249487738628439</c:v>
                </c:pt>
                <c:pt idx="2">
                  <c:v>50.168385318000674</c:v>
                </c:pt>
                <c:pt idx="3">
                  <c:v>35.900738150475405</c:v>
                </c:pt>
                <c:pt idx="4">
                  <c:v>63.32774744816966</c:v>
                </c:pt>
                <c:pt idx="5">
                  <c:v>30.799795906858957</c:v>
                </c:pt>
                <c:pt idx="6">
                  <c:v>30.043100410664561</c:v>
                </c:pt>
                <c:pt idx="7">
                  <c:v>77.568801638943711</c:v>
                </c:pt>
                <c:pt idx="8">
                  <c:v>55.583816564739038</c:v>
                </c:pt>
                <c:pt idx="9">
                  <c:v>49.477078782525354</c:v>
                </c:pt>
                <c:pt idx="10">
                  <c:v>26.566792766432734</c:v>
                </c:pt>
                <c:pt idx="11">
                  <c:v>57.148968360994338</c:v>
                </c:pt>
                <c:pt idx="12">
                  <c:v>35.293980744622417</c:v>
                </c:pt>
                <c:pt idx="13">
                  <c:v>60.969033732754575</c:v>
                </c:pt>
                <c:pt idx="14">
                  <c:v>39.234820782685382</c:v>
                </c:pt>
                <c:pt idx="15">
                  <c:v>49.440909091347727</c:v>
                </c:pt>
                <c:pt idx="16">
                  <c:v>26.382766618255097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32-4A98-A173-0E34450A878C}"/>
            </c:ext>
          </c:extLst>
        </c:ser>
        <c:ser>
          <c:idx val="1"/>
          <c:order val="1"/>
          <c:tx>
            <c:strRef>
              <c:f>'Solução RBF (Gaussiana)'!$H$4</c:f>
              <c:strCache>
                <c:ptCount val="1"/>
                <c:pt idx="0">
                  <c:v>Calculada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'Solução RBF (Gaussiana)'!$H$5:$H$21</c:f>
              <c:numCache>
                <c:formatCode>0</c:formatCode>
                <c:ptCount val="17"/>
                <c:pt idx="0">
                  <c:v>70</c:v>
                </c:pt>
                <c:pt idx="1">
                  <c:v>41</c:v>
                </c:pt>
                <c:pt idx="2">
                  <c:v>49</c:v>
                </c:pt>
                <c:pt idx="3">
                  <c:v>37</c:v>
                </c:pt>
                <c:pt idx="4">
                  <c:v>62</c:v>
                </c:pt>
                <c:pt idx="5">
                  <c:v>32</c:v>
                </c:pt>
                <c:pt idx="6">
                  <c:v>29</c:v>
                </c:pt>
                <c:pt idx="7">
                  <c:v>76</c:v>
                </c:pt>
                <c:pt idx="8">
                  <c:v>52</c:v>
                </c:pt>
                <c:pt idx="9">
                  <c:v>50</c:v>
                </c:pt>
                <c:pt idx="10">
                  <c:v>29</c:v>
                </c:pt>
                <c:pt idx="11">
                  <c:v>58</c:v>
                </c:pt>
                <c:pt idx="12">
                  <c:v>36</c:v>
                </c:pt>
                <c:pt idx="13">
                  <c:v>58</c:v>
                </c:pt>
                <c:pt idx="14">
                  <c:v>38</c:v>
                </c:pt>
                <c:pt idx="15">
                  <c:v>56</c:v>
                </c:pt>
                <c:pt idx="16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32-4A98-A173-0E34450A8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557792"/>
        <c:axId val="591557464"/>
      </c:lineChart>
      <c:catAx>
        <c:axId val="591557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1557464"/>
        <c:crosses val="autoZero"/>
        <c:auto val="1"/>
        <c:lblAlgn val="ctr"/>
        <c:lblOffset val="100"/>
        <c:noMultiLvlLbl val="0"/>
      </c:catAx>
      <c:valAx>
        <c:axId val="59155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155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43541</xdr:colOff>
      <xdr:row>1</xdr:row>
      <xdr:rowOff>0</xdr:rowOff>
    </xdr:from>
    <xdr:to>
      <xdr:col>24</xdr:col>
      <xdr:colOff>478971</xdr:colOff>
      <xdr:row>21</xdr:row>
      <xdr:rowOff>16328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198120</xdr:colOff>
          <xdr:row>29</xdr:row>
          <xdr:rowOff>53340</xdr:rowOff>
        </xdr:from>
        <xdr:to>
          <xdr:col>20</xdr:col>
          <xdr:colOff>220980</xdr:colOff>
          <xdr:row>32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gor Jasenovski" id="{A7B9A7E0-6187-461B-BBFE-8A093D6D6D56}" userId="Igor Jasenovski" providerId="Non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0" dT="2019-04-12T12:54:36.76" personId="{A7B9A7E0-6187-461B-BBFE-8A093D6D6D56}" id="{61B18AF8-4CD5-45E6-B221-0C2AD8884C72}">
    <text>Passo 1</text>
  </threadedComment>
  <threadedComment ref="F10" dT="2019-04-12T12:54:50.49" personId="{A7B9A7E0-6187-461B-BBFE-8A093D6D6D56}" id="{1FCE62BE-06DA-43EA-82D5-091E03A8E3DD}">
    <text>Passo 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2" dT="2019-04-12T01:00:31.95" personId="{A7B9A7E0-6187-461B-BBFE-8A093D6D6D56}" id="{68A1C275-CBE4-47D9-ABA5-92E1C47C9CF1}">
    <text>Número Arbitrado. Porém, após experiências empíricas, o prof. Éden recomenda que seja utilizado o mesmo número de variáveis como número de pólos.
Passo 1</text>
  </threadedComment>
  <threadedComment ref="Z2" dT="2019-04-12T03:06:29.35" personId="{A7B9A7E0-6187-461B-BBFE-8A093D6D6D56}" id="{FD54B2E5-5016-4F93-B6B8-4E511A92E920}">
    <text>Passo 8</text>
  </threadedComment>
  <threadedComment ref="H4" dT="2019-04-12T03:07:08.29" personId="{A7B9A7E0-6187-461B-BBFE-8A093D6D6D56}" id="{9DCBDEA6-99CC-4112-ABA9-8AD28388FC5C}">
    <text>Passo 9</text>
  </threadedComment>
  <threadedComment ref="J9" dT="2019-04-12T03:15:04.18" personId="{A7B9A7E0-6187-461B-BBFE-8A093D6D6D56}" id="{841F8DFD-B110-4238-9038-FD711B435161}">
    <text>Matriz de Distâncias entre os Pólos</text>
  </threadedComment>
  <threadedComment ref="J16" dT="2019-04-12T01:06:40.13" personId="{A7B9A7E0-6187-461B-BBFE-8A093D6D6D56}" id="{57F6FDAC-37E5-43A0-8053-1BD0B39A4EE4}">
    <text>Este fator é importante para o funcionamento do modelo, porém não há provas matemáticas para determinar este valor. Novamente uma solução empírica foi adotada. Recomenda-se utilizar esta expressão matemática para determinar o Sigma.
Passo 2.1</text>
  </threadedComment>
  <threadedComment ref="Z17" dT="2019-04-12T02:59:46.39" personId="{A7B9A7E0-6187-461B-BBFE-8A093D6D6D56}" id="{C45C465C-1A8E-432A-9122-B6B2BB30E096}">
    <text>Este valor serve como medidor da precisão do modelo. Quando este for igual a 1, significa que os cálculos batem 100% com as saídas medidas no banco de dados, o que deve ser entendido como 100%.</text>
  </threadedComment>
  <threadedComment ref="J20" dT="2019-04-12T01:06:45.62" personId="{A7B9A7E0-6187-461B-BBFE-8A093D6D6D56}" id="{4E339C10-F32D-4B90-ADA5-F6D14FAE97A9}">
    <text>Este fator é importante para o funcionamento do modelo, porém não há provas matemáticas para determinar este valor. Novamente uma solução empírica foi adotada. Recomenda-se utilizar esta expressão matemática para determinar o Sigma.
Passo 2.2</text>
  </threadedComment>
  <threadedComment ref="C23" dT="2019-04-12T03:05:16.05" personId="{A7B9A7E0-6187-461B-BBFE-8A093D6D6D56}" id="{7255840B-7701-4683-92C5-2CF791066553}">
    <text>Passo 3</text>
  </threadedComment>
  <threadedComment ref="J23" dT="2019-04-12T03:05:24.58" personId="{A7B9A7E0-6187-461B-BBFE-8A093D6D6D56}" id="{1B4039EB-8815-4159-BEDA-A8DE9C783A3D}">
    <text>Passo 4</text>
  </threadedComment>
  <threadedComment ref="J29" dT="2019-04-12T03:05:38.11" personId="{A7B9A7E0-6187-461B-BBFE-8A093D6D6D56}" id="{B530C25A-DE7A-49FF-AA73-C8814553EEDF}">
    <text>Passo 5</text>
  </threadedComment>
  <threadedComment ref="V29" dT="2019-04-12T03:05:58.42" personId="{A7B9A7E0-6187-461B-BBFE-8A093D6D6D56}" id="{F67ADF9D-EA1A-4E02-A45E-EC262A159193}">
    <text>Passo 6</text>
  </threadedComment>
  <threadedComment ref="J35" dT="2019-04-12T03:06:06.06" personId="{A7B9A7E0-6187-461B-BBFE-8A093D6D6D56}" id="{B928C51F-3E8C-4E79-AAAB-B67B15CF23B1}">
    <text>Passo 7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EC4B-EB72-43E2-8960-271EBDF23A21}">
  <sheetPr codeName="Planilha1"/>
  <dimension ref="A1:L21"/>
  <sheetViews>
    <sheetView showGridLines="0" workbookViewId="0">
      <selection activeCell="B11" sqref="B11"/>
    </sheetView>
  </sheetViews>
  <sheetFormatPr defaultRowHeight="14.4" x14ac:dyDescent="0.3"/>
  <cols>
    <col min="1" max="1" width="0.5546875" style="2" customWidth="1"/>
    <col min="2" max="2" width="12.6640625" style="1" bestFit="1" customWidth="1"/>
    <col min="3" max="3" width="9.77734375" style="1" bestFit="1" customWidth="1"/>
    <col min="4" max="4" width="21.33203125" style="1" bestFit="1" customWidth="1"/>
    <col min="5" max="5" width="18.5546875" style="1" bestFit="1" customWidth="1"/>
    <col min="6" max="6" width="46" style="1" bestFit="1" customWidth="1"/>
    <col min="7" max="7" width="45.21875" style="1" bestFit="1" customWidth="1"/>
    <col min="8" max="8" width="43.77734375" style="1" bestFit="1" customWidth="1"/>
    <col min="9" max="9" width="41.33203125" style="1" bestFit="1" customWidth="1"/>
    <col min="10" max="10" width="8.88671875" style="1"/>
    <col min="11" max="11" width="10" style="1" bestFit="1" customWidth="1"/>
    <col min="12" max="16384" width="8.88671875" style="1"/>
  </cols>
  <sheetData>
    <row r="1" spans="1:11" ht="4.2" customHeight="1" thickBot="1" x14ac:dyDescent="0.35">
      <c r="A1" s="1"/>
    </row>
    <row r="2" spans="1:11" ht="15" thickBot="1" x14ac:dyDescent="0.35">
      <c r="A2" s="1"/>
      <c r="B2" s="67" t="s">
        <v>0</v>
      </c>
      <c r="C2" s="69"/>
      <c r="D2" s="69"/>
      <c r="E2" s="69"/>
      <c r="F2" s="69"/>
      <c r="G2" s="68"/>
      <c r="H2" s="57"/>
      <c r="I2" s="57"/>
    </row>
    <row r="3" spans="1:11" ht="15" thickBot="1" x14ac:dyDescent="0.35">
      <c r="A3" s="1"/>
      <c r="B3" s="73" t="s">
        <v>11</v>
      </c>
      <c r="C3" s="74"/>
      <c r="D3" s="74"/>
      <c r="E3" s="75"/>
      <c r="F3" s="67" t="s">
        <v>2</v>
      </c>
      <c r="G3" s="68"/>
      <c r="H3" s="47"/>
      <c r="I3" s="47"/>
      <c r="K3" s="47"/>
    </row>
    <row r="4" spans="1:11" ht="15" thickBot="1" x14ac:dyDescent="0.35">
      <c r="A4" s="1"/>
      <c r="B4" s="10" t="s">
        <v>13</v>
      </c>
      <c r="C4" s="10" t="s">
        <v>14</v>
      </c>
      <c r="D4" s="10" t="s">
        <v>15</v>
      </c>
      <c r="E4" s="10" t="s">
        <v>16</v>
      </c>
      <c r="F4" s="10" t="s">
        <v>30</v>
      </c>
      <c r="G4" s="10" t="s">
        <v>29</v>
      </c>
      <c r="K4" s="52"/>
    </row>
    <row r="5" spans="1:11" x14ac:dyDescent="0.3">
      <c r="A5" s="1"/>
      <c r="B5" s="35">
        <f>'Solução RBF (Gaussiana)'!C5</f>
        <v>59</v>
      </c>
      <c r="C5" s="6">
        <f>'Solução RBF (Gaussiana)'!D5</f>
        <v>1.0649167003612281</v>
      </c>
      <c r="D5" s="6">
        <f>'Solução RBF (Gaussiana)'!E5</f>
        <v>1</v>
      </c>
      <c r="E5" s="21">
        <f>'Solução RBF (Gaussiana)'!F5</f>
        <v>7</v>
      </c>
      <c r="F5" s="60">
        <f>'Solução RBF (Gaussiana)'!G5</f>
        <v>67.064916700361238</v>
      </c>
      <c r="G5" s="8">
        <f>$F$11*B5+$F$12*C5+$F$13*D5+$F$14*E5</f>
        <v>67.064916700361238</v>
      </c>
    </row>
    <row r="6" spans="1:11" x14ac:dyDescent="0.3">
      <c r="A6" s="1"/>
      <c r="B6" s="35">
        <f>'Solução RBF (Gaussiana)'!C6</f>
        <v>29</v>
      </c>
      <c r="C6" s="6">
        <f>'Solução RBF (Gaussiana)'!D6</f>
        <v>0.62474386931421955</v>
      </c>
      <c r="D6" s="6">
        <f>'Solução RBF (Gaussiana)'!E6</f>
        <v>2</v>
      </c>
      <c r="E6" s="21">
        <f>'Solução RBF (Gaussiana)'!F6</f>
        <v>12</v>
      </c>
      <c r="F6" s="60">
        <f>'Solução RBF (Gaussiana)'!G6</f>
        <v>42.249487738628439</v>
      </c>
      <c r="G6" s="8">
        <f>$F$11*B6+$F$12*C6+$F$13*D6+$F$14*E6</f>
        <v>42.249487738628446</v>
      </c>
    </row>
    <row r="7" spans="1:11" x14ac:dyDescent="0.3">
      <c r="A7" s="1"/>
      <c r="B7" s="35">
        <f>'Solução RBF (Gaussiana)'!C7</f>
        <v>36</v>
      </c>
      <c r="C7" s="6">
        <f>'Solução RBF (Gaussiana)'!D7</f>
        <v>0.38946177266689141</v>
      </c>
      <c r="D7" s="6">
        <f>'Solução RBF (Gaussiana)'!E7</f>
        <v>3</v>
      </c>
      <c r="E7" s="21">
        <f>'Solução RBF (Gaussiana)'!F7</f>
        <v>13</v>
      </c>
      <c r="F7" s="60">
        <f>'Solução RBF (Gaussiana)'!G7</f>
        <v>50.168385318000674</v>
      </c>
      <c r="G7" s="8">
        <f>$F$11*B7+$F$12*C7+$F$13*D7+$F$14*E7</f>
        <v>50.168385318000674</v>
      </c>
    </row>
    <row r="8" spans="1:11" ht="15" thickBot="1" x14ac:dyDescent="0.35">
      <c r="A8" s="1"/>
      <c r="B8" s="51">
        <f>'Solução RBF (Gaussiana)'!C8</f>
        <v>30</v>
      </c>
      <c r="C8" s="9">
        <f>'Solução RBF (Gaussiana)'!D8</f>
        <v>0.63357938349180132</v>
      </c>
      <c r="D8" s="9">
        <f>'Solução RBF (Gaussiana)'!E8</f>
        <v>3</v>
      </c>
      <c r="E8" s="22">
        <f>'Solução RBF (Gaussiana)'!F8</f>
        <v>4</v>
      </c>
      <c r="F8" s="48">
        <f>'Solução RBF (Gaussiana)'!G8</f>
        <v>35.900738150475405</v>
      </c>
      <c r="G8" s="50">
        <f>$F$11*B8+$F$12*C8+$F$13*D8+$F$14*E8</f>
        <v>35.900738150475412</v>
      </c>
    </row>
    <row r="9" spans="1:11" ht="15" thickBot="1" x14ac:dyDescent="0.35">
      <c r="A9" s="1"/>
    </row>
    <row r="10" spans="1:11" ht="15" thickBot="1" x14ac:dyDescent="0.35">
      <c r="A10" s="1"/>
      <c r="B10" s="67" t="s">
        <v>27</v>
      </c>
      <c r="C10" s="69"/>
      <c r="D10" s="69"/>
      <c r="E10" s="68"/>
      <c r="F10" s="10" t="s">
        <v>28</v>
      </c>
      <c r="G10" s="10" t="s">
        <v>26</v>
      </c>
    </row>
    <row r="11" spans="1:11" x14ac:dyDescent="0.3">
      <c r="A11" s="1"/>
      <c r="B11" s="60">
        <f t="array" ref="B11:E14">MINVERSE(B5:E8)</f>
        <v>2.5589290644758751E-2</v>
      </c>
      <c r="C11" s="6">
        <v>-5.6593651696672492E-2</v>
      </c>
      <c r="D11" s="7">
        <v>4.2577937279478908E-2</v>
      </c>
      <c r="E11" s="8">
        <v>-1.3378599696616826E-2</v>
      </c>
      <c r="F11" s="15">
        <f t="array" ref="F11:F14">MMULT($B$11:$E$14,$F$5:$F$8)</f>
        <v>0.98085561102359842</v>
      </c>
      <c r="G11" s="70">
        <f>CORREL($F$5:$F$8,$G$5:$G$8)</f>
        <v>1</v>
      </c>
    </row>
    <row r="12" spans="1:11" x14ac:dyDescent="0.3">
      <c r="A12" s="1"/>
      <c r="B12" s="60">
        <v>-0.15604559784597469</v>
      </c>
      <c r="C12" s="6">
        <v>2.54042233293247</v>
      </c>
      <c r="D12" s="7">
        <v>-2.5362611169899099</v>
      </c>
      <c r="E12" s="8">
        <v>0.89466142765025458</v>
      </c>
      <c r="F12" s="15">
        <v>1.7452378483595936</v>
      </c>
      <c r="G12" s="71"/>
    </row>
    <row r="13" spans="1:11" x14ac:dyDescent="0.3">
      <c r="A13" s="1"/>
      <c r="B13" s="60">
        <v>-0.19454763412549167</v>
      </c>
      <c r="C13" s="6">
        <v>-0.11276451643699496</v>
      </c>
      <c r="D13" s="7">
        <v>9.1285786680341374E-2</v>
      </c>
      <c r="E13" s="8">
        <v>0.38207310231948577</v>
      </c>
      <c r="F13" s="15">
        <v>0.48480298951220036</v>
      </c>
      <c r="G13" s="71"/>
    </row>
    <row r="14" spans="1:11" ht="15" thickBot="1" x14ac:dyDescent="0.35">
      <c r="A14" s="1"/>
      <c r="B14" s="48">
        <v>-2.1292135821606304E-2</v>
      </c>
      <c r="C14" s="9">
        <v>0.10663597117575038</v>
      </c>
      <c r="D14" s="49">
        <v>1.3931819112825813E-2</v>
      </c>
      <c r="E14" s="50">
        <v>-7.7925087956123948E-2</v>
      </c>
      <c r="F14" s="16">
        <v>0.97872853280515804</v>
      </c>
      <c r="G14" s="72"/>
    </row>
    <row r="15" spans="1:11" x14ac:dyDescent="0.3">
      <c r="A15" s="1"/>
    </row>
    <row r="16" spans="1:11" x14ac:dyDescent="0.3">
      <c r="A16" s="1"/>
    </row>
    <row r="17" spans="1:12" x14ac:dyDescent="0.3">
      <c r="A17" s="1"/>
      <c r="H17" s="58"/>
      <c r="I17" s="58"/>
      <c r="J17" s="58"/>
      <c r="K17" s="58"/>
      <c r="L17" s="58"/>
    </row>
    <row r="18" spans="1:12" x14ac:dyDescent="0.3">
      <c r="A18" s="58" t="str">
        <f>"Função = "&amp;F11&amp;"x1 + "&amp;F12&amp;"x2 + "&amp;F13&amp;"x3 + "&amp;F14&amp;"x4"</f>
        <v>Função = 0,980855611023598x1 + 1,74523784835959x2 + 0,4848029895122x3 + 0,978728532805158x4</v>
      </c>
      <c r="C18" s="58"/>
      <c r="D18" s="58"/>
      <c r="E18" s="58"/>
      <c r="F18" s="58"/>
      <c r="G18" s="58"/>
    </row>
    <row r="19" spans="1:12" x14ac:dyDescent="0.3">
      <c r="A19" s="1"/>
    </row>
    <row r="20" spans="1:12" x14ac:dyDescent="0.3">
      <c r="A20" s="1"/>
      <c r="H20" s="59"/>
      <c r="I20" s="59"/>
      <c r="J20" s="59"/>
      <c r="K20" s="59"/>
      <c r="L20" s="59"/>
    </row>
    <row r="21" spans="1:12" x14ac:dyDescent="0.3">
      <c r="A21" s="59" t="s">
        <v>1</v>
      </c>
      <c r="C21" s="59"/>
      <c r="D21" s="59"/>
      <c r="E21" s="59"/>
      <c r="F21" s="59"/>
      <c r="G21" s="59"/>
    </row>
  </sheetData>
  <mergeCells count="5">
    <mergeCell ref="F3:G3"/>
    <mergeCell ref="B2:G2"/>
    <mergeCell ref="G11:G14"/>
    <mergeCell ref="B10:E10"/>
    <mergeCell ref="B3:E3"/>
  </mergeCells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66F5-3BAB-41C5-9B4D-366BFFCA58CD}">
  <sheetPr codeName="Planilha2"/>
  <dimension ref="A1:AF46"/>
  <sheetViews>
    <sheetView showGridLines="0" tabSelected="1" topLeftCell="A3" zoomScale="70" zoomScaleNormal="70" workbookViewId="0">
      <selection activeCell="K42" sqref="K42:N42"/>
    </sheetView>
  </sheetViews>
  <sheetFormatPr defaultRowHeight="14.4" x14ac:dyDescent="0.3"/>
  <cols>
    <col min="1" max="1" width="1.109375" style="1" customWidth="1"/>
    <col min="2" max="2" width="6.33203125" style="1" bestFit="1" customWidth="1"/>
    <col min="3" max="3" width="21.77734375" style="1" bestFit="1" customWidth="1"/>
    <col min="4" max="4" width="23.77734375" style="1" customWidth="1"/>
    <col min="5" max="5" width="21.5546875" customWidth="1"/>
    <col min="6" max="6" width="25.77734375" customWidth="1"/>
    <col min="7" max="7" width="9.77734375" bestFit="1" customWidth="1"/>
    <col min="8" max="8" width="9.109375" bestFit="1" customWidth="1"/>
    <col min="9" max="9" width="3.33203125" bestFit="1" customWidth="1"/>
    <col min="10" max="14" width="13.33203125" bestFit="1" customWidth="1"/>
    <col min="26" max="26" width="8.88671875" customWidth="1"/>
    <col min="28" max="28" width="9.77734375" bestFit="1" customWidth="1"/>
    <col min="29" max="29" width="5.33203125" bestFit="1" customWidth="1"/>
    <col min="30" max="30" width="8.21875" bestFit="1" customWidth="1"/>
    <col min="31" max="31" width="10" bestFit="1" customWidth="1"/>
    <col min="32" max="32" width="13" bestFit="1" customWidth="1"/>
  </cols>
  <sheetData>
    <row r="1" spans="2:32" ht="4.2" customHeight="1" thickBot="1" x14ac:dyDescent="0.35"/>
    <row r="2" spans="2:32" ht="15" thickBot="1" x14ac:dyDescent="0.35">
      <c r="B2" s="67" t="s">
        <v>0</v>
      </c>
      <c r="C2" s="69"/>
      <c r="D2" s="69"/>
      <c r="E2" s="69"/>
      <c r="F2" s="69"/>
      <c r="G2" s="69"/>
      <c r="H2" s="68"/>
      <c r="I2" s="65"/>
      <c r="J2" s="90" t="s">
        <v>6</v>
      </c>
      <c r="K2" s="85"/>
      <c r="L2" s="85"/>
      <c r="M2" s="85"/>
      <c r="N2" s="86"/>
      <c r="P2" s="41"/>
      <c r="Q2" s="41"/>
      <c r="R2" s="41"/>
      <c r="S2" s="41"/>
      <c r="T2" s="41"/>
      <c r="U2" s="41"/>
      <c r="V2" s="41"/>
      <c r="Z2" s="79" t="s">
        <v>24</v>
      </c>
    </row>
    <row r="3" spans="2:32" ht="15" thickBot="1" x14ac:dyDescent="0.35">
      <c r="B3" s="79" t="s">
        <v>12</v>
      </c>
      <c r="C3" s="95" t="s">
        <v>11</v>
      </c>
      <c r="D3" s="96"/>
      <c r="E3" s="96"/>
      <c r="F3" s="97"/>
      <c r="G3" s="95" t="s">
        <v>5</v>
      </c>
      <c r="H3" s="97"/>
      <c r="I3" s="65"/>
      <c r="J3" s="91">
        <f>COUNTA(J4:J7)</f>
        <v>4</v>
      </c>
      <c r="K3" s="92"/>
      <c r="L3" s="92"/>
      <c r="M3" s="92"/>
      <c r="N3" s="93"/>
      <c r="P3" s="41"/>
      <c r="Q3" s="41"/>
      <c r="R3" s="41"/>
      <c r="S3" s="41"/>
      <c r="T3" s="41"/>
      <c r="U3" s="41"/>
      <c r="V3" s="41"/>
      <c r="Z3" s="80"/>
    </row>
    <row r="4" spans="2:32" ht="15" thickBot="1" x14ac:dyDescent="0.35">
      <c r="B4" s="80"/>
      <c r="C4" s="10" t="s">
        <v>13</v>
      </c>
      <c r="D4" s="10" t="s">
        <v>14</v>
      </c>
      <c r="E4" s="10" t="s">
        <v>15</v>
      </c>
      <c r="F4" s="10" t="s">
        <v>16</v>
      </c>
      <c r="G4" s="10" t="s">
        <v>3</v>
      </c>
      <c r="H4" s="10" t="s">
        <v>4</v>
      </c>
      <c r="I4" s="27"/>
      <c r="J4" s="18" t="s">
        <v>7</v>
      </c>
      <c r="K4" s="25">
        <f t="shared" ref="K4" ca="1" si="0">RAND()*RANDBETWEEN(MIN(C$5:C$21),MAX(C$5:C$21))</f>
        <v>5.8706140596293732</v>
      </c>
      <c r="L4" s="25">
        <f t="shared" ref="L4" ca="1" si="1">RAND()*RANDBETWEEN(MIN(D$5:D$21),MAX(D$5:D$21))</f>
        <v>0.5386523239139096</v>
      </c>
      <c r="M4" s="25">
        <f t="shared" ref="M4" ca="1" si="2">RAND()*RANDBETWEEN(MIN(E$5:E$21),MAX(E$5:E$21))</f>
        <v>1.9136447035366446</v>
      </c>
      <c r="N4" s="64">
        <f t="shared" ref="N4" ca="1" si="3">RAND()*RANDBETWEEN(MIN(F$5:F$21),MAX(F$5:F$21))</f>
        <v>6.910443516743312</v>
      </c>
      <c r="Z4" s="42">
        <f t="array" aca="1" ref="Z4:Z8" ca="1">MMULT($J$36:$Z$40,$G$5:$G$21)</f>
        <v>-56.996579484362798</v>
      </c>
      <c r="AB4" s="47"/>
      <c r="AC4" s="47"/>
      <c r="AD4" s="47"/>
      <c r="AE4" s="47"/>
      <c r="AF4" s="47"/>
    </row>
    <row r="5" spans="2:32" x14ac:dyDescent="0.3">
      <c r="B5" s="15">
        <v>1</v>
      </c>
      <c r="C5" s="53">
        <v>59</v>
      </c>
      <c r="D5" s="11">
        <v>1.0649167003612281</v>
      </c>
      <c r="E5" s="11">
        <v>1</v>
      </c>
      <c r="F5" s="54">
        <v>7</v>
      </c>
      <c r="G5" s="61">
        <f>C5+D5*E5+F5</f>
        <v>67.064916700361238</v>
      </c>
      <c r="H5" s="37">
        <f ca="1">ROUND($Z$4*C24+$Z$5*D24+$Z$6*E24+$Z$7*F24+$Z$8*G24,0)</f>
        <v>70</v>
      </c>
      <c r="I5" s="27"/>
      <c r="J5" s="3" t="s">
        <v>8</v>
      </c>
      <c r="K5" s="6">
        <f t="shared" ref="K5:K7" ca="1" si="4">RAND()*RANDBETWEEN(MIN(C$5:C$21),MAX(C$5:C$21))</f>
        <v>50.245848871986162</v>
      </c>
      <c r="L5" s="6">
        <f t="shared" ref="L5:L7" ca="1" si="5">RAND()*RANDBETWEEN(MIN(D$5:D$21),MAX(D$5:D$21))</f>
        <v>0.33687538523123473</v>
      </c>
      <c r="M5" s="6">
        <f t="shared" ref="M5:M7" ca="1" si="6">RAND()*RANDBETWEEN(MIN(E$5:E$21),MAX(E$5:E$21))</f>
        <v>1.2451005977378644</v>
      </c>
      <c r="N5" s="21">
        <f t="shared" ref="N5:N7" ca="1" si="7">RAND()*RANDBETWEEN(MIN(F$5:F$21),MAX(F$5:F$21))</f>
        <v>5.872053807137803</v>
      </c>
      <c r="Z5" s="42">
        <f ca="1"/>
        <v>-31.140639517795812</v>
      </c>
      <c r="AB5" s="66"/>
      <c r="AC5" s="1"/>
      <c r="AD5" s="1"/>
      <c r="AE5" s="1"/>
      <c r="AF5" s="1"/>
    </row>
    <row r="6" spans="2:32" x14ac:dyDescent="0.3">
      <c r="B6" s="15">
        <v>2</v>
      </c>
      <c r="C6" s="53">
        <v>29</v>
      </c>
      <c r="D6" s="11">
        <v>0.62474386931421955</v>
      </c>
      <c r="E6" s="11">
        <v>2</v>
      </c>
      <c r="F6" s="54">
        <v>12</v>
      </c>
      <c r="G6" s="62">
        <f t="shared" ref="G6:G21" si="8">C6+D6*E6+F6</f>
        <v>42.249487738628439</v>
      </c>
      <c r="H6" s="38">
        <f t="shared" ref="H6:H21" ca="1" si="9">ROUND($Z$4*C25+$Z$5*D25+$Z$6*E25+$Z$7*F25+$Z$8*G25,0)</f>
        <v>41</v>
      </c>
      <c r="I6" s="27"/>
      <c r="J6" s="3" t="s">
        <v>9</v>
      </c>
      <c r="K6" s="6">
        <f t="shared" ca="1" si="4"/>
        <v>31.14607857886736</v>
      </c>
      <c r="L6" s="6">
        <f t="shared" ca="1" si="5"/>
        <v>0.68695169297513414</v>
      </c>
      <c r="M6" s="6">
        <f t="shared" ca="1" si="6"/>
        <v>3.1948428951214081E-2</v>
      </c>
      <c r="N6" s="21">
        <f t="shared" ca="1" si="7"/>
        <v>3.2638731865403803</v>
      </c>
      <c r="Z6" s="42">
        <f ca="1"/>
        <v>-24.730081108349911</v>
      </c>
      <c r="AB6" s="66"/>
      <c r="AC6" s="1"/>
      <c r="AD6" s="1"/>
      <c r="AE6" s="1"/>
      <c r="AF6" s="1"/>
    </row>
    <row r="7" spans="2:32" ht="15" thickBot="1" x14ac:dyDescent="0.35">
      <c r="B7" s="15">
        <v>3</v>
      </c>
      <c r="C7" s="53">
        <v>36</v>
      </c>
      <c r="D7" s="11">
        <v>0.38946177266689141</v>
      </c>
      <c r="E7" s="11">
        <v>3</v>
      </c>
      <c r="F7" s="54">
        <v>13</v>
      </c>
      <c r="G7" s="62">
        <f t="shared" si="8"/>
        <v>50.168385318000674</v>
      </c>
      <c r="H7" s="38">
        <f t="shared" ca="1" si="9"/>
        <v>49</v>
      </c>
      <c r="I7" s="27"/>
      <c r="J7" s="19" t="s">
        <v>10</v>
      </c>
      <c r="K7" s="9">
        <f t="shared" ca="1" si="4"/>
        <v>17.832794378819628</v>
      </c>
      <c r="L7" s="9">
        <f t="shared" ca="1" si="5"/>
        <v>0.88134447558736129</v>
      </c>
      <c r="M7" s="9">
        <f t="shared" ca="1" si="6"/>
        <v>2.0053030855776086</v>
      </c>
      <c r="N7" s="22">
        <f t="shared" ca="1" si="7"/>
        <v>6.1167841407697772</v>
      </c>
      <c r="Z7" s="42">
        <f ca="1"/>
        <v>-14.903707740046634</v>
      </c>
      <c r="AB7" s="66"/>
      <c r="AC7" s="1"/>
      <c r="AD7" s="1"/>
      <c r="AE7" s="1"/>
      <c r="AF7" s="1"/>
    </row>
    <row r="8" spans="2:32" ht="15" thickBot="1" x14ac:dyDescent="0.35">
      <c r="B8" s="15">
        <v>4</v>
      </c>
      <c r="C8" s="53">
        <v>30</v>
      </c>
      <c r="D8" s="11">
        <v>0.63357938349180132</v>
      </c>
      <c r="E8" s="11">
        <v>3</v>
      </c>
      <c r="F8" s="54">
        <v>4</v>
      </c>
      <c r="G8" s="62">
        <f t="shared" si="8"/>
        <v>35.900738150475405</v>
      </c>
      <c r="H8" s="38">
        <f t="shared" ca="1" si="9"/>
        <v>37</v>
      </c>
      <c r="Z8" s="43">
        <f ca="1"/>
        <v>102.32609284576553</v>
      </c>
      <c r="AB8" s="66"/>
      <c r="AC8" s="1"/>
      <c r="AD8" s="1"/>
      <c r="AE8" s="1"/>
      <c r="AF8" s="1"/>
    </row>
    <row r="9" spans="2:32" ht="15" thickBot="1" x14ac:dyDescent="0.35">
      <c r="B9" s="15">
        <v>5</v>
      </c>
      <c r="C9" s="53">
        <v>51</v>
      </c>
      <c r="D9" s="11">
        <v>0.16387372408482959</v>
      </c>
      <c r="E9" s="11">
        <v>2</v>
      </c>
      <c r="F9" s="54">
        <v>12</v>
      </c>
      <c r="G9" s="62">
        <f t="shared" si="8"/>
        <v>63.32774744816966</v>
      </c>
      <c r="H9" s="38">
        <f t="shared" ca="1" si="9"/>
        <v>62</v>
      </c>
      <c r="J9" s="44"/>
      <c r="K9" s="12" t="s">
        <v>7</v>
      </c>
      <c r="L9" s="13" t="s">
        <v>8</v>
      </c>
      <c r="M9" s="13" t="s">
        <v>9</v>
      </c>
      <c r="N9" s="14" t="s">
        <v>10</v>
      </c>
      <c r="AB9" s="66"/>
      <c r="AC9" s="1"/>
      <c r="AD9" s="1"/>
      <c r="AE9" s="1"/>
      <c r="AF9" s="1"/>
    </row>
    <row r="10" spans="2:32" x14ac:dyDescent="0.3">
      <c r="B10" s="15">
        <v>6</v>
      </c>
      <c r="C10" s="53">
        <v>26</v>
      </c>
      <c r="D10" s="11">
        <v>0.79979590685895618</v>
      </c>
      <c r="E10" s="11">
        <v>1</v>
      </c>
      <c r="F10" s="54">
        <v>4</v>
      </c>
      <c r="G10" s="62">
        <f t="shared" si="8"/>
        <v>30.799795906858957</v>
      </c>
      <c r="H10" s="38">
        <f t="shared" ca="1" si="9"/>
        <v>32</v>
      </c>
      <c r="J10" s="40" t="s">
        <v>7</v>
      </c>
      <c r="K10" s="6">
        <f ca="1">SQRT(SUMXMY2($K4:$N4,$K4:$N4))</f>
        <v>0</v>
      </c>
      <c r="L10" s="6">
        <f ca="1">SQRT(SUMXMY2($K4:$N4,$K5:$N5))</f>
        <v>44.392875363003895</v>
      </c>
      <c r="M10" s="6">
        <f ca="1">SQRT(SUMXMY2($K6:$N6,$K4:$N4))</f>
        <v>25.606822438737442</v>
      </c>
      <c r="N10" s="21">
        <f ca="1">SQRT(SUMXMY2($K4:$N4,$K7:$N7))</f>
        <v>11.993727208991803</v>
      </c>
      <c r="P10" s="17"/>
      <c r="AB10" s="66"/>
      <c r="AC10" s="1"/>
      <c r="AD10" s="1"/>
      <c r="AE10" s="1"/>
      <c r="AF10" s="1"/>
    </row>
    <row r="11" spans="2:32" x14ac:dyDescent="0.3">
      <c r="B11" s="15">
        <v>7</v>
      </c>
      <c r="C11" s="53">
        <v>16</v>
      </c>
      <c r="D11" s="11">
        <v>0.68103347022151994</v>
      </c>
      <c r="E11" s="11">
        <v>3</v>
      </c>
      <c r="F11" s="54">
        <v>12</v>
      </c>
      <c r="G11" s="62">
        <f t="shared" si="8"/>
        <v>30.043100410664561</v>
      </c>
      <c r="H11" s="38">
        <f t="shared" ca="1" si="9"/>
        <v>29</v>
      </c>
      <c r="J11" s="45" t="s">
        <v>8</v>
      </c>
      <c r="K11" s="6">
        <f ca="1">SQRT(SUMXMY2($K4:$N4,$K5:$N5))</f>
        <v>44.392875363003895</v>
      </c>
      <c r="L11" s="6">
        <f ca="1">SQRT(SUMXMY2($K5:$N5,$K5:$N5))</f>
        <v>0</v>
      </c>
      <c r="M11" s="6">
        <f ca="1">SQRT(SUMXMY2($K6:$N6,$K5:$N5))</f>
        <v>19.318336445083432</v>
      </c>
      <c r="N11" s="21">
        <f ca="1">SQRT(SUMXMY2($K7:$N7,$K5:$N5))</f>
        <v>32.427462881422812</v>
      </c>
      <c r="AB11" s="66"/>
      <c r="AC11" s="1"/>
      <c r="AD11" s="1"/>
      <c r="AE11" s="1"/>
      <c r="AF11" s="1"/>
    </row>
    <row r="12" spans="2:32" x14ac:dyDescent="0.3">
      <c r="B12" s="15">
        <v>8</v>
      </c>
      <c r="C12" s="53">
        <v>59</v>
      </c>
      <c r="D12" s="11">
        <v>1.7844008194718528</v>
      </c>
      <c r="E12" s="11">
        <v>2</v>
      </c>
      <c r="F12" s="54">
        <v>15</v>
      </c>
      <c r="G12" s="62">
        <f t="shared" si="8"/>
        <v>77.568801638943711</v>
      </c>
      <c r="H12" s="38">
        <f t="shared" ca="1" si="9"/>
        <v>76</v>
      </c>
      <c r="J12" s="45" t="s">
        <v>9</v>
      </c>
      <c r="K12" s="6">
        <f ca="1">SQRT(SUMXMY2($K6:$N6,$K4:$N4))</f>
        <v>25.606822438737442</v>
      </c>
      <c r="L12" s="6">
        <f ca="1">SQRT(SUMXMY2($K6:$N6,$K5:$N5))</f>
        <v>19.318336445083432</v>
      </c>
      <c r="M12" s="6">
        <f ca="1">SQRT(SUMXMY2($K6:$N6,$K6:$N6))</f>
        <v>0</v>
      </c>
      <c r="N12" s="21">
        <f ca="1">SQRT(SUMXMY2($K6:$N6,$K7:$N7))</f>
        <v>13.759162556593459</v>
      </c>
      <c r="AB12" s="66"/>
      <c r="AC12" s="1"/>
      <c r="AD12" s="1"/>
      <c r="AE12" s="1"/>
      <c r="AF12" s="1"/>
    </row>
    <row r="13" spans="2:32" ht="15" thickBot="1" x14ac:dyDescent="0.35">
      <c r="B13" s="15">
        <v>9</v>
      </c>
      <c r="C13" s="53">
        <v>45</v>
      </c>
      <c r="D13" s="11">
        <v>1.2919082823695203</v>
      </c>
      <c r="E13" s="11">
        <v>2</v>
      </c>
      <c r="F13" s="54">
        <v>8</v>
      </c>
      <c r="G13" s="62">
        <f t="shared" si="8"/>
        <v>55.583816564739038</v>
      </c>
      <c r="H13" s="38">
        <f t="shared" ca="1" si="9"/>
        <v>52</v>
      </c>
      <c r="J13" s="46" t="s">
        <v>10</v>
      </c>
      <c r="K13" s="9">
        <f ca="1">SQRT(SUMXMY2($K7:$N7,$K4:$N4))</f>
        <v>11.993727208991803</v>
      </c>
      <c r="L13" s="9">
        <f ca="1">SQRT(SUMXMY2($K7:$N7,$K5:$N5))</f>
        <v>32.427462881422812</v>
      </c>
      <c r="M13" s="9">
        <f ca="1">SQRT(SUMXMY2($K7:$N7,$K6:$N6))</f>
        <v>13.759162556593459</v>
      </c>
      <c r="N13" s="22">
        <f ca="1">SQRT(SUMXMY2($K7:$N7,$K7:$N7))</f>
        <v>0</v>
      </c>
      <c r="AB13" s="66"/>
      <c r="AC13" s="1"/>
      <c r="AD13" s="1"/>
      <c r="AE13" s="1"/>
      <c r="AF13" s="1"/>
    </row>
    <row r="14" spans="2:32" ht="15" thickBot="1" x14ac:dyDescent="0.35">
      <c r="B14" s="15">
        <v>10</v>
      </c>
      <c r="C14" s="53">
        <v>33</v>
      </c>
      <c r="D14" s="11">
        <v>1.47707878252535</v>
      </c>
      <c r="E14" s="11">
        <v>1</v>
      </c>
      <c r="F14" s="54">
        <v>15</v>
      </c>
      <c r="G14" s="62">
        <f t="shared" si="8"/>
        <v>49.477078782525354</v>
      </c>
      <c r="H14" s="38">
        <f t="shared" ca="1" si="9"/>
        <v>50</v>
      </c>
      <c r="AB14" s="66"/>
      <c r="AC14" s="1"/>
      <c r="AD14" s="1"/>
      <c r="AE14" s="1"/>
      <c r="AF14" s="1"/>
    </row>
    <row r="15" spans="2:32" ht="15" thickBot="1" x14ac:dyDescent="0.35">
      <c r="B15" s="15">
        <v>11</v>
      </c>
      <c r="C15" s="53">
        <v>22</v>
      </c>
      <c r="D15" s="11">
        <v>0.18893092214424489</v>
      </c>
      <c r="E15" s="11">
        <v>3</v>
      </c>
      <c r="F15" s="54">
        <v>4</v>
      </c>
      <c r="G15" s="62">
        <f t="shared" si="8"/>
        <v>26.566792766432734</v>
      </c>
      <c r="H15" s="38">
        <f t="shared" ca="1" si="9"/>
        <v>29</v>
      </c>
      <c r="Z15" s="79" t="s">
        <v>25</v>
      </c>
      <c r="AB15" s="66"/>
      <c r="AC15" s="1"/>
      <c r="AD15" s="1"/>
      <c r="AE15" s="1"/>
      <c r="AF15" s="1"/>
    </row>
    <row r="16" spans="2:32" ht="15" thickBot="1" x14ac:dyDescent="0.35">
      <c r="B16" s="15">
        <v>12</v>
      </c>
      <c r="C16" s="53">
        <v>50</v>
      </c>
      <c r="D16" s="11">
        <v>1.7163227869981124</v>
      </c>
      <c r="E16" s="11">
        <v>3</v>
      </c>
      <c r="F16" s="54">
        <v>2</v>
      </c>
      <c r="G16" s="62">
        <f t="shared" si="8"/>
        <v>57.148968360994338</v>
      </c>
      <c r="H16" s="38">
        <f t="shared" ca="1" si="9"/>
        <v>58</v>
      </c>
      <c r="J16" s="90" t="s">
        <v>17</v>
      </c>
      <c r="K16" s="85"/>
      <c r="L16" s="85"/>
      <c r="M16" s="85"/>
      <c r="N16" s="86"/>
      <c r="Z16" s="80"/>
      <c r="AB16" s="66"/>
      <c r="AC16" s="1"/>
      <c r="AD16" s="1"/>
      <c r="AE16" s="1"/>
      <c r="AF16" s="1"/>
    </row>
    <row r="17" spans="2:32" ht="15" thickBot="1" x14ac:dyDescent="0.35">
      <c r="B17" s="15">
        <v>13</v>
      </c>
      <c r="C17" s="53">
        <v>20</v>
      </c>
      <c r="D17" s="11">
        <v>0.43132691487413788</v>
      </c>
      <c r="E17" s="11">
        <v>3</v>
      </c>
      <c r="F17" s="54">
        <v>14</v>
      </c>
      <c r="G17" s="62">
        <f t="shared" si="8"/>
        <v>35.293980744622417</v>
      </c>
      <c r="H17" s="38">
        <f t="shared" ca="1" si="9"/>
        <v>36</v>
      </c>
      <c r="J17" s="94">
        <f ca="1">MAX(K10:N13)</f>
        <v>44.392875363003895</v>
      </c>
      <c r="K17" s="92"/>
      <c r="L17" s="92"/>
      <c r="M17" s="92"/>
      <c r="N17" s="93"/>
      <c r="Z17" s="81">
        <f ca="1">SUMXMY2(G5:G21,H5:H21)</f>
        <v>95.036098640867124</v>
      </c>
      <c r="AB17" s="66"/>
      <c r="AC17" s="1"/>
      <c r="AD17" s="1"/>
      <c r="AE17" s="1"/>
      <c r="AF17" s="1"/>
    </row>
    <row r="18" spans="2:32" x14ac:dyDescent="0.3">
      <c r="B18" s="15">
        <v>14</v>
      </c>
      <c r="C18" s="53">
        <v>48</v>
      </c>
      <c r="D18" s="11">
        <v>0.96903373275457616</v>
      </c>
      <c r="E18" s="11">
        <v>1</v>
      </c>
      <c r="F18" s="54">
        <v>12</v>
      </c>
      <c r="G18" s="62">
        <f t="shared" si="8"/>
        <v>60.969033732754575</v>
      </c>
      <c r="H18" s="38">
        <f t="shared" ca="1" si="9"/>
        <v>58</v>
      </c>
      <c r="Z18" s="82"/>
      <c r="AB18" s="66"/>
      <c r="AC18" s="1"/>
      <c r="AD18" s="1"/>
      <c r="AE18" s="1"/>
      <c r="AF18" s="1"/>
    </row>
    <row r="19" spans="2:32" ht="15" thickBot="1" x14ac:dyDescent="0.35">
      <c r="B19" s="15">
        <v>15</v>
      </c>
      <c r="C19" s="53">
        <v>31</v>
      </c>
      <c r="D19" s="11">
        <v>0.61741039134269193</v>
      </c>
      <c r="E19" s="11">
        <v>2</v>
      </c>
      <c r="F19" s="54">
        <v>7</v>
      </c>
      <c r="G19" s="62">
        <f t="shared" si="8"/>
        <v>39.234820782685382</v>
      </c>
      <c r="H19" s="38">
        <f t="shared" ca="1" si="9"/>
        <v>38</v>
      </c>
      <c r="Z19" s="82"/>
      <c r="AB19" s="66"/>
      <c r="AC19" s="1"/>
      <c r="AD19" s="1"/>
      <c r="AE19" s="1"/>
      <c r="AF19" s="1"/>
    </row>
    <row r="20" spans="2:32" x14ac:dyDescent="0.3">
      <c r="B20" s="15">
        <v>16</v>
      </c>
      <c r="C20" s="53">
        <v>48</v>
      </c>
      <c r="D20" s="11">
        <v>0.14696969711591001</v>
      </c>
      <c r="E20" s="11">
        <v>3</v>
      </c>
      <c r="F20" s="54">
        <v>1</v>
      </c>
      <c r="G20" s="62">
        <f t="shared" si="8"/>
        <v>49.440909091347727</v>
      </c>
      <c r="H20" s="38">
        <f t="shared" ca="1" si="9"/>
        <v>56</v>
      </c>
      <c r="J20" s="84" t="s">
        <v>18</v>
      </c>
      <c r="K20" s="85"/>
      <c r="L20" s="85"/>
      <c r="M20" s="85"/>
      <c r="N20" s="86"/>
      <c r="Z20" s="82"/>
      <c r="AB20" s="66"/>
      <c r="AC20" s="1"/>
      <c r="AD20" s="1"/>
      <c r="AE20" s="1"/>
      <c r="AF20" s="1"/>
    </row>
    <row r="21" spans="2:32" ht="15" thickBot="1" x14ac:dyDescent="0.35">
      <c r="B21" s="16">
        <v>17</v>
      </c>
      <c r="C21" s="55">
        <v>19</v>
      </c>
      <c r="D21" s="26">
        <v>0.38276661825509672</v>
      </c>
      <c r="E21" s="26">
        <v>1</v>
      </c>
      <c r="F21" s="56">
        <v>7</v>
      </c>
      <c r="G21" s="63">
        <f t="shared" si="8"/>
        <v>26.382766618255097</v>
      </c>
      <c r="H21" s="39">
        <f t="shared" ca="1" si="9"/>
        <v>25</v>
      </c>
      <c r="J21" s="87">
        <f ca="1">-1/(2*POWER($J$17/SQRT(2*$J$3),2))</f>
        <v>-2.0297074240276831E-3</v>
      </c>
      <c r="K21" s="88"/>
      <c r="L21" s="88"/>
      <c r="M21" s="88"/>
      <c r="N21" s="89"/>
      <c r="Z21" s="83"/>
      <c r="AB21" s="66"/>
      <c r="AC21" s="1"/>
      <c r="AD21" s="1"/>
      <c r="AE21" s="1"/>
      <c r="AF21" s="1"/>
    </row>
    <row r="22" spans="2:32" ht="5.4" customHeight="1" thickBot="1" x14ac:dyDescent="0.35"/>
    <row r="23" spans="2:32" ht="15" thickBot="1" x14ac:dyDescent="0.35">
      <c r="C23" s="67" t="s">
        <v>19</v>
      </c>
      <c r="D23" s="69"/>
      <c r="E23" s="69"/>
      <c r="F23" s="69"/>
      <c r="G23" s="68"/>
      <c r="J23" s="67" t="s">
        <v>20</v>
      </c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8"/>
    </row>
    <row r="24" spans="2:32" x14ac:dyDescent="0.3">
      <c r="B24" s="7"/>
      <c r="C24" s="28">
        <f t="shared" ref="C24:C40" ca="1" si="10">EXP($J$21*SUMXMY2($C5:$F5,$K$4:$N$4))</f>
        <v>3.2419116968248301E-3</v>
      </c>
      <c r="D24" s="23">
        <f t="shared" ref="D24:D40" ca="1" si="11">EXP($J$21*SUMXMY2($C5:$F5,$K$5:$N$5))</f>
        <v>0.852717435630576</v>
      </c>
      <c r="E24" s="23">
        <f t="shared" ref="E24:E40" ca="1" si="12">EXP($J$21*SUMXMY2($C5:$F5,$K$6:$N$6))</f>
        <v>0.2008385110348673</v>
      </c>
      <c r="F24" s="23">
        <f t="shared" ref="F24:F40" ca="1" si="13">EXP($J$21*SUMXMY2($C5:$F5,$K$7:$N$7))</f>
        <v>3.19517934422257E-2</v>
      </c>
      <c r="G24" s="29">
        <f>1</f>
        <v>1</v>
      </c>
      <c r="J24" s="32">
        <f t="array" ref="J24:Z28" ca="1">TRANSPOSE(C24:G40)</f>
        <v>3.2419116968248301E-3</v>
      </c>
      <c r="K24" s="20">
        <f ca="1"/>
        <v>0.32031948112107672</v>
      </c>
      <c r="L24" s="20">
        <f ca="1"/>
        <v>0.14657248471864076</v>
      </c>
      <c r="M24" s="20">
        <f ca="1"/>
        <v>0.30078555968109444</v>
      </c>
      <c r="N24" s="20">
        <f ca="1"/>
        <v>1.5196291781703801E-2</v>
      </c>
      <c r="O24" s="20">
        <f ca="1"/>
        <v>0.4310861663599595</v>
      </c>
      <c r="P24" s="20">
        <f ca="1"/>
        <v>0.76853415378173962</v>
      </c>
      <c r="Q24" s="20">
        <f ca="1"/>
        <v>2.8361427585059901E-3</v>
      </c>
      <c r="R24" s="20">
        <f ca="1"/>
        <v>4.4543933728129523E-2</v>
      </c>
      <c r="S24" s="20">
        <f ca="1"/>
        <v>0.19589438744856294</v>
      </c>
      <c r="T24" s="20">
        <f ca="1"/>
        <v>0.57817457526381855</v>
      </c>
      <c r="U24" s="20">
        <f ca="1"/>
        <v>1.8191344642391447E-2</v>
      </c>
      <c r="V24" s="20">
        <f ca="1"/>
        <v>0.60070854205406132</v>
      </c>
      <c r="W24" s="20">
        <f ca="1"/>
        <v>2.5806096021171843E-2</v>
      </c>
      <c r="X24" s="20">
        <f ca="1"/>
        <v>0.27754397110689621</v>
      </c>
      <c r="Y24" s="20">
        <f ca="1"/>
        <v>2.5321312824171101E-2</v>
      </c>
      <c r="Z24" s="4">
        <f ca="1"/>
        <v>0.70353163727720924</v>
      </c>
    </row>
    <row r="25" spans="2:32" x14ac:dyDescent="0.3">
      <c r="B25" s="7"/>
      <c r="C25" s="28">
        <f t="shared" ca="1" si="10"/>
        <v>0.32031948112107672</v>
      </c>
      <c r="D25" s="23">
        <f t="shared" ca="1" si="11"/>
        <v>0.37019492239370627</v>
      </c>
      <c r="E25" s="23">
        <f t="shared" ca="1" si="12"/>
        <v>0.84187427569434081</v>
      </c>
      <c r="F25" s="23">
        <f t="shared" ca="1" si="13"/>
        <v>0.72360901295838109</v>
      </c>
      <c r="G25" s="29">
        <f>1</f>
        <v>1</v>
      </c>
      <c r="J25" s="32">
        <f ca="1"/>
        <v>0.852717435630576</v>
      </c>
      <c r="K25" s="20">
        <f ca="1"/>
        <v>0.37019492239370627</v>
      </c>
      <c r="L25" s="20">
        <f ca="1"/>
        <v>0.59374911575033085</v>
      </c>
      <c r="M25" s="20">
        <f ca="1"/>
        <v>0.42933898486405192</v>
      </c>
      <c r="N25" s="20">
        <f ca="1"/>
        <v>0.92441809879293935</v>
      </c>
      <c r="O25" s="20">
        <f ca="1"/>
        <v>0.30093638262540923</v>
      </c>
      <c r="P25" s="20">
        <f ca="1"/>
        <v>8.5169933258194039E-2</v>
      </c>
      <c r="Q25" s="20">
        <f ca="1"/>
        <v>0.71887301681373128</v>
      </c>
      <c r="R25" s="20">
        <f ca="1"/>
        <v>0.934209880766528</v>
      </c>
      <c r="S25" s="20">
        <f ca="1"/>
        <v>0.46045098916340554</v>
      </c>
      <c r="T25" s="20">
        <f ca="1"/>
        <v>0.19538839884106837</v>
      </c>
      <c r="U25" s="20">
        <f ca="1"/>
        <v>0.96014900743156351</v>
      </c>
      <c r="V25" s="20">
        <f ca="1"/>
        <v>0.13572045686666775</v>
      </c>
      <c r="W25" s="20">
        <f ca="1"/>
        <v>0.91632004500077424</v>
      </c>
      <c r="X25" s="20">
        <f ca="1"/>
        <v>0.46967803922387785</v>
      </c>
      <c r="Y25" s="20">
        <f ca="1"/>
        <v>0.93731064015116694</v>
      </c>
      <c r="Z25" s="4">
        <f ca="1"/>
        <v>0.13747432294946441</v>
      </c>
    </row>
    <row r="26" spans="2:32" x14ac:dyDescent="0.3">
      <c r="B26" s="7"/>
      <c r="C26" s="28">
        <f t="shared" ca="1" si="10"/>
        <v>0.14657248471864076</v>
      </c>
      <c r="D26" s="23">
        <f t="shared" ca="1" si="11"/>
        <v>0.59374911575033085</v>
      </c>
      <c r="E26" s="23">
        <f t="shared" ca="1" si="12"/>
        <v>0.77237786694171084</v>
      </c>
      <c r="F26" s="23">
        <f t="shared" ca="1" si="13"/>
        <v>0.46367856342164498</v>
      </c>
      <c r="G26" s="29">
        <f>1</f>
        <v>1</v>
      </c>
      <c r="J26" s="32">
        <f ca="1"/>
        <v>0.2008385110348673</v>
      </c>
      <c r="K26" s="20">
        <f ca="1"/>
        <v>0.84187427569434081</v>
      </c>
      <c r="L26" s="20">
        <f ca="1"/>
        <v>0.77237786694171084</v>
      </c>
      <c r="M26" s="20">
        <f ca="1"/>
        <v>0.97858070163053035</v>
      </c>
      <c r="N26" s="20">
        <f ca="1"/>
        <v>0.38159693602094363</v>
      </c>
      <c r="O26" s="20">
        <f ca="1"/>
        <v>0.94480307292429067</v>
      </c>
      <c r="P26" s="20">
        <f ca="1"/>
        <v>0.52813153301125604</v>
      </c>
      <c r="Q26" s="20">
        <f ca="1"/>
        <v>0.1549579722028499</v>
      </c>
      <c r="R26" s="20">
        <f ca="1"/>
        <v>0.64166010279708452</v>
      </c>
      <c r="S26" s="20">
        <f ca="1"/>
        <v>0.74848019388526021</v>
      </c>
      <c r="T26" s="20">
        <f ca="1"/>
        <v>0.82756287001728979</v>
      </c>
      <c r="U26" s="20">
        <f ca="1"/>
        <v>0.4748415688834155</v>
      </c>
      <c r="V26" s="20">
        <f ca="1"/>
        <v>0.60403273946419034</v>
      </c>
      <c r="W26" s="20">
        <f ca="1"/>
        <v>0.48021634879364361</v>
      </c>
      <c r="X26" s="20">
        <f ca="1"/>
        <v>0.96440243526010871</v>
      </c>
      <c r="Y26" s="20">
        <f ca="1"/>
        <v>0.54584373122791507</v>
      </c>
      <c r="Z26" s="4">
        <f ca="1"/>
        <v>0.71902513822159075</v>
      </c>
    </row>
    <row r="27" spans="2:32" x14ac:dyDescent="0.3">
      <c r="B27" s="7"/>
      <c r="C27" s="28">
        <f t="shared" ca="1" si="10"/>
        <v>0.30078555968109444</v>
      </c>
      <c r="D27" s="23">
        <f t="shared" ca="1" si="11"/>
        <v>0.42933898486405192</v>
      </c>
      <c r="E27" s="23">
        <f t="shared" ca="1" si="12"/>
        <v>0.97858070163053035</v>
      </c>
      <c r="F27" s="23">
        <f t="shared" ca="1" si="13"/>
        <v>0.73219588589546836</v>
      </c>
      <c r="G27" s="29">
        <f>1</f>
        <v>1</v>
      </c>
      <c r="J27" s="32">
        <f ca="1"/>
        <v>3.19517934422257E-2</v>
      </c>
      <c r="K27" s="20">
        <f ca="1"/>
        <v>0.72360901295838109</v>
      </c>
      <c r="L27" s="20">
        <f ca="1"/>
        <v>0.46367856342164498</v>
      </c>
      <c r="M27" s="20">
        <f ca="1"/>
        <v>0.73219588589546836</v>
      </c>
      <c r="N27" s="20">
        <f ca="1"/>
        <v>9.9848156004040678E-2</v>
      </c>
      <c r="O27" s="20">
        <f ca="1"/>
        <v>0.86368468104011453</v>
      </c>
      <c r="P27" s="20">
        <f ca="1"/>
        <v>0.92389168554282464</v>
      </c>
      <c r="Q27" s="20">
        <f ca="1"/>
        <v>2.7278768951184969E-2</v>
      </c>
      <c r="R27" s="20">
        <f ca="1"/>
        <v>0.22188846175220769</v>
      </c>
      <c r="S27" s="20">
        <f ca="1"/>
        <v>0.53266572400482703</v>
      </c>
      <c r="T27" s="20">
        <f ca="1"/>
        <v>0.9537791739768553</v>
      </c>
      <c r="U27" s="20">
        <f ca="1"/>
        <v>0.11788803038519466</v>
      </c>
      <c r="V27" s="20">
        <f ca="1"/>
        <v>0.8710214028164579</v>
      </c>
      <c r="W27" s="20">
        <f ca="1"/>
        <v>0.14668384331556067</v>
      </c>
      <c r="X27" s="20">
        <f ca="1"/>
        <v>0.70213758457823172</v>
      </c>
      <c r="Y27" s="20">
        <f ca="1"/>
        <v>0.14906098635535958</v>
      </c>
      <c r="Z27" s="4">
        <f ca="1"/>
        <v>0.99311941920128721</v>
      </c>
    </row>
    <row r="28" spans="2:32" ht="15" thickBot="1" x14ac:dyDescent="0.35">
      <c r="B28" s="7"/>
      <c r="C28" s="28">
        <f t="shared" ca="1" si="10"/>
        <v>1.5196291781703801E-2</v>
      </c>
      <c r="D28" s="23">
        <f t="shared" ca="1" si="11"/>
        <v>0.92441809879293935</v>
      </c>
      <c r="E28" s="23">
        <f t="shared" ca="1" si="12"/>
        <v>0.38159693602094363</v>
      </c>
      <c r="F28" s="23">
        <f t="shared" ca="1" si="13"/>
        <v>9.9848156004040678E-2</v>
      </c>
      <c r="G28" s="29">
        <f>1</f>
        <v>1</v>
      </c>
      <c r="J28" s="33">
        <v>1</v>
      </c>
      <c r="K28" s="34">
        <v>1</v>
      </c>
      <c r="L28" s="34">
        <v>1</v>
      </c>
      <c r="M28" s="34">
        <v>1</v>
      </c>
      <c r="N28" s="34">
        <v>1</v>
      </c>
      <c r="O28" s="34">
        <v>1</v>
      </c>
      <c r="P28" s="34">
        <v>1</v>
      </c>
      <c r="Q28" s="34">
        <v>1</v>
      </c>
      <c r="R28" s="34">
        <v>1</v>
      </c>
      <c r="S28" s="34">
        <v>1</v>
      </c>
      <c r="T28" s="34">
        <v>1</v>
      </c>
      <c r="U28" s="34">
        <v>1</v>
      </c>
      <c r="V28" s="34">
        <v>1</v>
      </c>
      <c r="W28" s="34">
        <v>1</v>
      </c>
      <c r="X28" s="34">
        <v>1</v>
      </c>
      <c r="Y28" s="34">
        <v>1</v>
      </c>
      <c r="Z28" s="5">
        <v>1</v>
      </c>
    </row>
    <row r="29" spans="2:32" ht="15" thickBot="1" x14ac:dyDescent="0.35">
      <c r="B29" s="7"/>
      <c r="C29" s="28">
        <f t="shared" ca="1" si="10"/>
        <v>0.4310861663599595</v>
      </c>
      <c r="D29" s="23">
        <f t="shared" ca="1" si="11"/>
        <v>0.30093638262540923</v>
      </c>
      <c r="E29" s="23">
        <f t="shared" ca="1" si="12"/>
        <v>0.94480307292429067</v>
      </c>
      <c r="F29" s="23">
        <f t="shared" ca="1" si="13"/>
        <v>0.86368468104011453</v>
      </c>
      <c r="G29" s="29">
        <f>1</f>
        <v>1</v>
      </c>
      <c r="J29" s="76" t="s">
        <v>21</v>
      </c>
      <c r="K29" s="77"/>
      <c r="L29" s="77"/>
      <c r="M29" s="77"/>
      <c r="N29" s="78"/>
      <c r="V29" s="67" t="s">
        <v>22</v>
      </c>
      <c r="W29" s="69"/>
      <c r="X29" s="69"/>
      <c r="Y29" s="69"/>
      <c r="Z29" s="68"/>
    </row>
    <row r="30" spans="2:32" x14ac:dyDescent="0.3">
      <c r="B30" s="7"/>
      <c r="C30" s="28">
        <f t="shared" ca="1" si="10"/>
        <v>0.76853415378173962</v>
      </c>
      <c r="D30" s="23">
        <f t="shared" ca="1" si="11"/>
        <v>8.5169933258194039E-2</v>
      </c>
      <c r="E30" s="23">
        <f t="shared" ca="1" si="12"/>
        <v>0.52813153301125604</v>
      </c>
      <c r="F30" s="23">
        <f t="shared" ca="1" si="13"/>
        <v>0.92389168554282464</v>
      </c>
      <c r="G30" s="29">
        <f>1</f>
        <v>1</v>
      </c>
      <c r="J30" s="35">
        <f t="array" aca="1" ref="J30:N34" ca="1">MMULT(J24:Z28,C24:G40)</f>
        <v>2.3004103595986582</v>
      </c>
      <c r="K30" s="6">
        <f ca="1"/>
        <v>1.1670144118110868</v>
      </c>
      <c r="L30" s="6">
        <f ca="1"/>
        <v>3.3221906972235047</v>
      </c>
      <c r="M30" s="6">
        <f ca="1"/>
        <v>3.6962257979063811</v>
      </c>
      <c r="N30" s="21">
        <f ca="1"/>
        <v>4.4582879922659577</v>
      </c>
      <c r="V30" s="32">
        <f t="array" aca="1" ref="V30:Z34" ca="1">MINVERSE(J30:N34)</f>
        <v>142.55784919610196</v>
      </c>
      <c r="W30" s="20">
        <f ca="1"/>
        <v>-63.369040281954554</v>
      </c>
      <c r="X30" s="20">
        <f ca="1"/>
        <v>98.104135649064276</v>
      </c>
      <c r="Y30" s="20">
        <f ca="1"/>
        <v>-200.10346953635653</v>
      </c>
      <c r="Z30" s="4">
        <f ca="1"/>
        <v>36.049261500389626</v>
      </c>
    </row>
    <row r="31" spans="2:32" x14ac:dyDescent="0.3">
      <c r="B31" s="7"/>
      <c r="C31" s="28">
        <f t="shared" ca="1" si="10"/>
        <v>2.8361427585059901E-3</v>
      </c>
      <c r="D31" s="23">
        <f t="shared" ca="1" si="11"/>
        <v>0.71887301681373128</v>
      </c>
      <c r="E31" s="23">
        <f t="shared" ca="1" si="12"/>
        <v>0.1549579722028499</v>
      </c>
      <c r="F31" s="23">
        <f t="shared" ca="1" si="13"/>
        <v>2.7278768951184969E-2</v>
      </c>
      <c r="G31" s="29">
        <f>1</f>
        <v>1</v>
      </c>
      <c r="J31" s="35">
        <f ca="1"/>
        <v>1.1670144118110868</v>
      </c>
      <c r="K31" s="6">
        <f ca="1"/>
        <v>6.8911214526099327</v>
      </c>
      <c r="L31" s="6">
        <f ca="1"/>
        <v>5.3022556090139705</v>
      </c>
      <c r="M31" s="6">
        <f ca="1"/>
        <v>2.9460571143240841</v>
      </c>
      <c r="N31" s="21">
        <f ca="1"/>
        <v>9.4220996705234565</v>
      </c>
      <c r="V31" s="32">
        <f ca="1"/>
        <v>-63.369040281958839</v>
      </c>
      <c r="W31" s="20">
        <f ca="1"/>
        <v>44.475779076982192</v>
      </c>
      <c r="X31" s="20">
        <f ca="1"/>
        <v>-50.630668847768661</v>
      </c>
      <c r="Y31" s="20">
        <f ca="1"/>
        <v>106.24720479691855</v>
      </c>
      <c r="Z31" s="4">
        <f ca="1"/>
        <v>-29.302279468957259</v>
      </c>
    </row>
    <row r="32" spans="2:32" x14ac:dyDescent="0.3">
      <c r="B32" s="7"/>
      <c r="C32" s="28">
        <f t="shared" ca="1" si="10"/>
        <v>4.4543933728129523E-2</v>
      </c>
      <c r="D32" s="23">
        <f t="shared" ca="1" si="11"/>
        <v>0.934209880766528</v>
      </c>
      <c r="E32" s="23">
        <f t="shared" ca="1" si="12"/>
        <v>0.64166010279708452</v>
      </c>
      <c r="F32" s="23">
        <f t="shared" ca="1" si="13"/>
        <v>0.22188846175220769</v>
      </c>
      <c r="G32" s="29">
        <f>1</f>
        <v>1</v>
      </c>
      <c r="J32" s="35">
        <f ca="1"/>
        <v>3.3221906972235047</v>
      </c>
      <c r="K32" s="6">
        <f ca="1"/>
        <v>5.3022556090139705</v>
      </c>
      <c r="L32" s="6">
        <f ca="1"/>
        <v>7.8672431050088241</v>
      </c>
      <c r="M32" s="6">
        <f ca="1"/>
        <v>6.4920374120934339</v>
      </c>
      <c r="N32" s="21">
        <f ca="1"/>
        <v>10.809225998011287</v>
      </c>
      <c r="V32" s="32">
        <f ca="1"/>
        <v>98.104135649065483</v>
      </c>
      <c r="W32" s="20">
        <f ca="1"/>
        <v>-50.630668847766174</v>
      </c>
      <c r="X32" s="20">
        <f ca="1"/>
        <v>72.657437134247871</v>
      </c>
      <c r="Y32" s="20">
        <f ca="1"/>
        <v>-146.2077067729409</v>
      </c>
      <c r="Z32" s="4">
        <f ca="1"/>
        <v>29.706870974581616</v>
      </c>
    </row>
    <row r="33" spans="2:26" x14ac:dyDescent="0.3">
      <c r="B33" s="7"/>
      <c r="C33" s="28">
        <f t="shared" ca="1" si="10"/>
        <v>0.19589438744856294</v>
      </c>
      <c r="D33" s="23">
        <f t="shared" ca="1" si="11"/>
        <v>0.46045098916340554</v>
      </c>
      <c r="E33" s="23">
        <f t="shared" ca="1" si="12"/>
        <v>0.74848019388526021</v>
      </c>
      <c r="F33" s="23">
        <f t="shared" ca="1" si="13"/>
        <v>0.53266572400482703</v>
      </c>
      <c r="G33" s="29">
        <f>1</f>
        <v>1</v>
      </c>
      <c r="J33" s="35">
        <f ca="1"/>
        <v>3.6962257979063811</v>
      </c>
      <c r="K33" s="6">
        <f ca="1"/>
        <v>2.9460571143240841</v>
      </c>
      <c r="L33" s="6">
        <f ca="1"/>
        <v>6.4920374120934339</v>
      </c>
      <c r="M33" s="6">
        <f ca="1"/>
        <v>6.4242369501970966</v>
      </c>
      <c r="N33" s="21">
        <f ca="1"/>
        <v>8.5543831736418667</v>
      </c>
      <c r="V33" s="32">
        <f ca="1"/>
        <v>-200.10346953636085</v>
      </c>
      <c r="W33" s="20">
        <f ca="1"/>
        <v>106.2472047969144</v>
      </c>
      <c r="X33" s="20">
        <f ca="1"/>
        <v>-146.20770677294223</v>
      </c>
      <c r="Y33" s="20">
        <f ca="1"/>
        <v>300.22288312731342</v>
      </c>
      <c r="Z33" s="4">
        <f ca="1"/>
        <v>-64.516605439598322</v>
      </c>
    </row>
    <row r="34" spans="2:26" ht="15" thickBot="1" x14ac:dyDescent="0.35">
      <c r="B34" s="7"/>
      <c r="C34" s="28">
        <f t="shared" ca="1" si="10"/>
        <v>0.57817457526381855</v>
      </c>
      <c r="D34" s="23">
        <f t="shared" ca="1" si="11"/>
        <v>0.19538839884106837</v>
      </c>
      <c r="E34" s="23">
        <f t="shared" ca="1" si="12"/>
        <v>0.82756287001728979</v>
      </c>
      <c r="F34" s="23">
        <f t="shared" ca="1" si="13"/>
        <v>0.9537791739768553</v>
      </c>
      <c r="G34" s="29">
        <f>1</f>
        <v>1</v>
      </c>
      <c r="J34" s="36">
        <f ca="1"/>
        <v>4.4582879922659577</v>
      </c>
      <c r="K34" s="9">
        <f ca="1"/>
        <v>9.4220996705234565</v>
      </c>
      <c r="L34" s="9">
        <f ca="1"/>
        <v>10.809225998011287</v>
      </c>
      <c r="M34" s="9">
        <f ca="1"/>
        <v>8.5543831736418667</v>
      </c>
      <c r="N34" s="22">
        <f ca="1"/>
        <v>17</v>
      </c>
      <c r="V34" s="33">
        <f ca="1"/>
        <v>36.049261500393399</v>
      </c>
      <c r="W34" s="34">
        <f ca="1"/>
        <v>-29.302279468957874</v>
      </c>
      <c r="X34" s="34">
        <f ca="1"/>
        <v>29.706870974583975</v>
      </c>
      <c r="Y34" s="34">
        <f ca="1"/>
        <v>-64.516605439602586</v>
      </c>
      <c r="Z34" s="5">
        <f ca="1"/>
        <v>20.421322940457799</v>
      </c>
    </row>
    <row r="35" spans="2:26" ht="15" thickBot="1" x14ac:dyDescent="0.35">
      <c r="B35" s="7"/>
      <c r="C35" s="28">
        <f t="shared" ca="1" si="10"/>
        <v>1.8191344642391447E-2</v>
      </c>
      <c r="D35" s="23">
        <f t="shared" ca="1" si="11"/>
        <v>0.96014900743156351</v>
      </c>
      <c r="E35" s="23">
        <f t="shared" ca="1" si="12"/>
        <v>0.4748415688834155</v>
      </c>
      <c r="F35" s="23">
        <f t="shared" ca="1" si="13"/>
        <v>0.11788803038519466</v>
      </c>
      <c r="G35" s="29">
        <f>1</f>
        <v>1</v>
      </c>
      <c r="J35" s="67" t="s">
        <v>23</v>
      </c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8"/>
    </row>
    <row r="36" spans="2:26" x14ac:dyDescent="0.3">
      <c r="B36" s="7"/>
      <c r="C36" s="28">
        <f t="shared" ca="1" si="10"/>
        <v>0.60070854205406132</v>
      </c>
      <c r="D36" s="23">
        <f t="shared" ca="1" si="11"/>
        <v>0.13572045686666775</v>
      </c>
      <c r="E36" s="23">
        <f t="shared" ca="1" si="12"/>
        <v>0.60403273946419034</v>
      </c>
      <c r="F36" s="23">
        <f t="shared" ca="1" si="13"/>
        <v>0.8710214028164579</v>
      </c>
      <c r="G36" s="29">
        <f>1</f>
        <v>1</v>
      </c>
      <c r="J36" s="32">
        <f t="array" aca="1" ref="J36:Z40" ca="1">MMULT($V$30:$Z$34,$J$24:$Z$28)</f>
        <v>-4.2150402640039459</v>
      </c>
      <c r="K36" s="20">
        <f ca="1"/>
        <v>-3.9509051032951774</v>
      </c>
      <c r="L36" s="20">
        <f ca="1"/>
        <v>2.308781780329781</v>
      </c>
      <c r="M36" s="20">
        <f ca="1"/>
        <v>1.2096812796972429</v>
      </c>
      <c r="N36" s="20">
        <f ca="1"/>
        <v>-2.9076004357818803</v>
      </c>
      <c r="O36" s="20">
        <f ca="1"/>
        <v>-1.7032839917477602</v>
      </c>
      <c r="P36" s="20">
        <f ca="1"/>
        <v>7.1506563679836503</v>
      </c>
      <c r="Q36" s="20">
        <f ca="1"/>
        <v>0.64272436505537911</v>
      </c>
      <c r="R36" s="20">
        <f ca="1"/>
        <v>1.7482240400072016</v>
      </c>
      <c r="S36" s="20">
        <f ca="1"/>
        <v>1.63794975957925</v>
      </c>
      <c r="T36" s="20">
        <f ca="1"/>
        <v>-3.5761717329007254</v>
      </c>
      <c r="U36" s="20">
        <f ca="1"/>
        <v>0.79297712665277231</v>
      </c>
      <c r="V36" s="20">
        <f ca="1"/>
        <v>-1.9517907840531521</v>
      </c>
      <c r="W36" s="20">
        <f ca="1"/>
        <v>-0.57893494692151393</v>
      </c>
      <c r="X36" s="20">
        <f ca="1"/>
        <v>-3.6012945329026991E-2</v>
      </c>
      <c r="Y36" s="20">
        <f ca="1"/>
        <v>3.9844445923370344</v>
      </c>
      <c r="Z36" s="4">
        <f ca="1"/>
        <v>-0.55569910760903696</v>
      </c>
    </row>
    <row r="37" spans="2:26" x14ac:dyDescent="0.3">
      <c r="B37" s="7"/>
      <c r="C37" s="28">
        <f t="shared" ca="1" si="10"/>
        <v>2.5806096021171843E-2</v>
      </c>
      <c r="D37" s="23">
        <f t="shared" ca="1" si="11"/>
        <v>0.91632004500077424</v>
      </c>
      <c r="E37" s="23">
        <f t="shared" ca="1" si="12"/>
        <v>0.48021634879364361</v>
      </c>
      <c r="F37" s="23">
        <f t="shared" ca="1" si="13"/>
        <v>0.14668384331556067</v>
      </c>
      <c r="G37" s="29">
        <f>1</f>
        <v>1</v>
      </c>
      <c r="J37" s="32">
        <f ca="1"/>
        <v>1.64375657773207</v>
      </c>
      <c r="K37" s="20">
        <f ca="1"/>
        <v>1.1208673411380587</v>
      </c>
      <c r="L37" s="20">
        <f ca="1"/>
        <v>-2.0244393767255495</v>
      </c>
      <c r="M37" s="20">
        <f ca="1"/>
        <v>-1.0200150815461555</v>
      </c>
      <c r="N37" s="20">
        <f ca="1"/>
        <v>2.1370406202266388</v>
      </c>
      <c r="O37" s="20">
        <f ca="1"/>
        <v>0.69265563470348468</v>
      </c>
      <c r="P37" s="20">
        <f ca="1"/>
        <v>-2.7942957143392491</v>
      </c>
      <c r="Q37" s="20">
        <f ca="1"/>
        <v>-2.4568984580150577</v>
      </c>
      <c r="R37" s="20">
        <f ca="1"/>
        <v>0.51207512912962727</v>
      </c>
      <c r="S37" s="20">
        <f ca="1"/>
        <v>-2.5388108974638861</v>
      </c>
      <c r="T37" s="20">
        <f ca="1"/>
        <v>2.1857134482063501</v>
      </c>
      <c r="U37" s="20">
        <f ca="1"/>
        <v>0.73205509327598506</v>
      </c>
      <c r="V37" s="20">
        <f ca="1"/>
        <v>0.62867755024871741</v>
      </c>
      <c r="W37" s="20">
        <f ca="1"/>
        <v>1.0875342881137655</v>
      </c>
      <c r="X37" s="20">
        <f ca="1"/>
        <v>-0.22886243555272756</v>
      </c>
      <c r="Y37" s="20">
        <f ca="1"/>
        <v>-1.018365857338619</v>
      </c>
      <c r="Z37" s="4">
        <f ca="1"/>
        <v>1.3413121382064119</v>
      </c>
    </row>
    <row r="38" spans="2:26" x14ac:dyDescent="0.3">
      <c r="B38" s="7"/>
      <c r="C38" s="28">
        <f t="shared" ca="1" si="10"/>
        <v>0.27754397110689621</v>
      </c>
      <c r="D38" s="23">
        <f t="shared" ca="1" si="11"/>
        <v>0.46967803922387785</v>
      </c>
      <c r="E38" s="23">
        <f t="shared" ca="1" si="12"/>
        <v>0.96440243526010871</v>
      </c>
      <c r="F38" s="23">
        <f t="shared" ca="1" si="13"/>
        <v>0.70213758457823172</v>
      </c>
      <c r="G38" s="29">
        <f>1</f>
        <v>1</v>
      </c>
      <c r="J38" s="32">
        <f ca="1"/>
        <v>-3.2279251414975469</v>
      </c>
      <c r="K38" s="20">
        <f ca="1"/>
        <v>-2.2404668469923941</v>
      </c>
      <c r="L38" s="20">
        <f ca="1"/>
        <v>2.3499399131822223</v>
      </c>
      <c r="M38" s="20">
        <f ca="1"/>
        <v>1.5259427808779797</v>
      </c>
      <c r="N38" s="20">
        <f ca="1"/>
        <v>-2.4789311172645618</v>
      </c>
      <c r="O38" s="20">
        <f ca="1"/>
        <v>-0.86879033191025101</v>
      </c>
      <c r="P38" s="20">
        <f ca="1"/>
        <v>4.0836381701190696</v>
      </c>
      <c r="Q38" s="20">
        <f ca="1"/>
        <v>0.85856952242896156</v>
      </c>
      <c r="R38" s="20">
        <f ca="1"/>
        <v>0.95671941235631763</v>
      </c>
      <c r="S38" s="20">
        <f ca="1"/>
        <v>2.1147976309211991</v>
      </c>
      <c r="T38" s="20">
        <f ca="1"/>
        <v>-2.7857259753401742</v>
      </c>
      <c r="U38" s="20">
        <f ca="1"/>
        <v>0.14316353851512176</v>
      </c>
      <c r="V38" s="20">
        <f ca="1"/>
        <v>-1.6953252989755647</v>
      </c>
      <c r="W38" s="20">
        <f ca="1"/>
        <v>-0.71036021628622237</v>
      </c>
      <c r="X38" s="20">
        <f ca="1"/>
        <v>0.56805232737239564</v>
      </c>
      <c r="Y38" s="20">
        <f ca="1"/>
        <v>2.6000734562008283</v>
      </c>
      <c r="Z38" s="4">
        <f ca="1"/>
        <v>-1.1933718237071709</v>
      </c>
    </row>
    <row r="39" spans="2:26" x14ac:dyDescent="0.3">
      <c r="B39" s="7"/>
      <c r="C39" s="28">
        <f t="shared" ca="1" si="10"/>
        <v>2.5321312824171101E-2</v>
      </c>
      <c r="D39" s="23">
        <f t="shared" ca="1" si="11"/>
        <v>0.93731064015116694</v>
      </c>
      <c r="E39" s="23">
        <f t="shared" ca="1" si="12"/>
        <v>0.54584373122791507</v>
      </c>
      <c r="F39" s="23">
        <f t="shared" ca="1" si="13"/>
        <v>0.14906098635535958</v>
      </c>
      <c r="G39" s="29">
        <f>1</f>
        <v>1</v>
      </c>
      <c r="J39" s="32">
        <f ca="1"/>
        <v>5.6620422174911766</v>
      </c>
      <c r="K39" s="20">
        <f ca="1"/>
        <v>4.8740076492026958</v>
      </c>
      <c r="L39" s="20">
        <f ca="1"/>
        <v>-4.4827658041984648</v>
      </c>
      <c r="M39" s="20">
        <f ca="1"/>
        <v>-2.3428528662329313</v>
      </c>
      <c r="N39" s="20">
        <f ca="1"/>
        <v>4.8436912544990776</v>
      </c>
      <c r="O39" s="20">
        <f ca="1"/>
        <v>2.3556208887572438</v>
      </c>
      <c r="P39" s="20">
        <f ca="1"/>
        <v>-9.097363512126833</v>
      </c>
      <c r="Q39" s="20">
        <f ca="1"/>
        <v>-3.1722179045670131</v>
      </c>
      <c r="R39" s="20">
        <f ca="1"/>
        <v>-1.3724710380121792</v>
      </c>
      <c r="S39" s="20">
        <f ca="1"/>
        <v>-4.3092547952738585</v>
      </c>
      <c r="T39" s="20">
        <f ca="1"/>
        <v>5.898391321464544</v>
      </c>
      <c r="U39" s="20">
        <f ca="1"/>
        <v>-0.17642088840391068</v>
      </c>
      <c r="V39" s="20">
        <f ca="1"/>
        <v>2.8857654574154026</v>
      </c>
      <c r="W39" s="20">
        <f ca="1"/>
        <v>1.5024639284905277</v>
      </c>
      <c r="X39" s="20">
        <f ca="1"/>
        <v>-0.35743665645196643</v>
      </c>
      <c r="Y39" s="20">
        <f ca="1"/>
        <v>-5.0518935602750616</v>
      </c>
      <c r="Z39" s="4">
        <f ca="1"/>
        <v>2.3406943082213161</v>
      </c>
    </row>
    <row r="40" spans="2:26" ht="15" thickBot="1" x14ac:dyDescent="0.35">
      <c r="B40" s="7"/>
      <c r="C40" s="30">
        <f t="shared" ca="1" si="10"/>
        <v>0.70353163727720924</v>
      </c>
      <c r="D40" s="24">
        <f t="shared" ca="1" si="11"/>
        <v>0.13747432294946441</v>
      </c>
      <c r="E40" s="24">
        <f t="shared" ca="1" si="12"/>
        <v>0.71902513822159075</v>
      </c>
      <c r="F40" s="24">
        <f t="shared" ca="1" si="13"/>
        <v>0.99311941920128721</v>
      </c>
      <c r="G40" s="31">
        <f>1</f>
        <v>1</v>
      </c>
      <c r="J40" s="33">
        <f ca="1"/>
        <v>-0.54351066048180741</v>
      </c>
      <c r="K40" s="34">
        <f ca="1"/>
        <v>-0.55429809161075383</v>
      </c>
      <c r="L40" s="34">
        <f ca="1"/>
        <v>1.3369129564654649</v>
      </c>
      <c r="M40" s="34">
        <f ca="1"/>
        <v>0.51558688227644467</v>
      </c>
      <c r="N40" s="34">
        <f ca="1"/>
        <v>-1.2242325823745261</v>
      </c>
      <c r="O40" s="34">
        <f ca="1"/>
        <v>-0.5113219124386319</v>
      </c>
      <c r="P40" s="34">
        <f ca="1"/>
        <v>1.7135183991140153</v>
      </c>
      <c r="Q40" s="34">
        <f ca="1"/>
        <v>2.3023286644543717</v>
      </c>
      <c r="R40" s="34">
        <f ca="1"/>
        <v>-0.60115660833953655</v>
      </c>
      <c r="S40" s="34">
        <f ca="1"/>
        <v>1.8601275737875724</v>
      </c>
      <c r="T40" s="34">
        <f ca="1"/>
        <v>-1.4115273118259211</v>
      </c>
      <c r="U40" s="34">
        <f ca="1"/>
        <v>-0.55712538931186728</v>
      </c>
      <c r="V40" s="34">
        <f ca="1"/>
        <v>-0.15191801754838252</v>
      </c>
      <c r="W40" s="34">
        <f ca="1"/>
        <v>-0.69647092744738615</v>
      </c>
      <c r="X40" s="34">
        <f ca="1"/>
        <v>1.3786170274961762E-2</v>
      </c>
      <c r="Y40" s="34">
        <f ca="1"/>
        <v>0.46719969379875437</v>
      </c>
      <c r="Z40" s="5">
        <f ca="1"/>
        <v>-0.95789883879267279</v>
      </c>
    </row>
    <row r="41" spans="2:26" x14ac:dyDescent="0.3">
      <c r="B41" s="7"/>
    </row>
    <row r="42" spans="2:26" x14ac:dyDescent="0.3">
      <c r="K42" s="98" t="s">
        <v>31</v>
      </c>
      <c r="L42" s="98"/>
      <c r="M42" s="98"/>
      <c r="N42" s="98"/>
    </row>
    <row r="43" spans="2:26" x14ac:dyDescent="0.3">
      <c r="K43">
        <v>7.5074681156487904</v>
      </c>
      <c r="L43">
        <v>0.35403741565694524</v>
      </c>
      <c r="M43">
        <v>2.9744520656706075</v>
      </c>
      <c r="N43">
        <v>0.74870213831257648</v>
      </c>
    </row>
    <row r="44" spans="2:26" x14ac:dyDescent="0.3">
      <c r="K44">
        <v>56.871254216313396</v>
      </c>
      <c r="L44">
        <v>0.83328733877297056</v>
      </c>
      <c r="M44">
        <v>1.2044524542140658</v>
      </c>
      <c r="N44">
        <v>11.463442353819556</v>
      </c>
    </row>
    <row r="45" spans="2:26" x14ac:dyDescent="0.3">
      <c r="K45">
        <v>1.4021555738416258</v>
      </c>
      <c r="L45">
        <v>0.86816723075457947</v>
      </c>
      <c r="M45">
        <v>0.69499507952102058</v>
      </c>
      <c r="N45">
        <v>6.0315620176007814</v>
      </c>
    </row>
    <row r="46" spans="2:26" x14ac:dyDescent="0.3">
      <c r="K46">
        <v>55.337477094682356</v>
      </c>
      <c r="L46">
        <v>0.19780065166890215</v>
      </c>
      <c r="M46">
        <v>0.68408995980352272</v>
      </c>
      <c r="N46">
        <v>9.5934028551562829</v>
      </c>
    </row>
  </sheetData>
  <mergeCells count="19">
    <mergeCell ref="K42:N42"/>
    <mergeCell ref="C23:G23"/>
    <mergeCell ref="J23:Z23"/>
    <mergeCell ref="J2:N2"/>
    <mergeCell ref="J3:N3"/>
    <mergeCell ref="J16:N16"/>
    <mergeCell ref="J17:N17"/>
    <mergeCell ref="C3:F3"/>
    <mergeCell ref="G3:H3"/>
    <mergeCell ref="B2:H2"/>
    <mergeCell ref="B3:B4"/>
    <mergeCell ref="J29:N29"/>
    <mergeCell ref="V29:Z29"/>
    <mergeCell ref="J35:Z35"/>
    <mergeCell ref="Z2:Z3"/>
    <mergeCell ref="Z17:Z21"/>
    <mergeCell ref="Z15:Z16"/>
    <mergeCell ref="J20:N20"/>
    <mergeCell ref="J21:N21"/>
  </mergeCells>
  <dataValidations count="1">
    <dataValidation type="whole" operator="lessThanOrEqual" allowBlank="1" showInputMessage="1" showErrorMessage="1" sqref="I4:I7" xr:uid="{F3125A21-9D55-45AC-B913-D2C740381735}">
      <formula1>17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EstaPastaDeTrabalho.CalcularRBF">
                <anchor moveWithCells="1" sizeWithCells="1">
                  <from>
                    <xdr:col>15</xdr:col>
                    <xdr:colOff>198120</xdr:colOff>
                    <xdr:row>29</xdr:row>
                    <xdr:rowOff>53340</xdr:rowOff>
                  </from>
                  <to>
                    <xdr:col>20</xdr:col>
                    <xdr:colOff>220980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Solução Tradicional</vt:lpstr>
      <vt:lpstr>Solução RBF (Gaussiana)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igorm</dc:creator>
  <cp:lastModifiedBy>igorm</cp:lastModifiedBy>
  <dcterms:created xsi:type="dcterms:W3CDTF">2019-04-11T18:24:29Z</dcterms:created>
  <dcterms:modified xsi:type="dcterms:W3CDTF">2019-07-28T23:07:53Z</dcterms:modified>
</cp:coreProperties>
</file>